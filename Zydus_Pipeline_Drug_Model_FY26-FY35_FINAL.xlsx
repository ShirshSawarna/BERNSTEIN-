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f0c5bb7d54b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e109f2ac51d488c"/>
    <x:sheet xmlns:r="http://schemas.openxmlformats.org/officeDocument/2006/relationships" name="Summary" sheetId="2" r:id="R9ae5a83831974e80"/>
    <x:sheet xmlns:r="http://schemas.openxmlformats.org/officeDocument/2006/relationships" name="Global Assump" sheetId="3" r:id="R63f9e65b9bae4024"/>
    <x:sheet xmlns:r="http://schemas.openxmlformats.org/officeDocument/2006/relationships" name="Saroglitazar" sheetId="4" r:id="R4651ac422150469b"/>
    <x:sheet xmlns:r="http://schemas.openxmlformats.org/officeDocument/2006/relationships" name="Usnoflast" sheetId="5" r:id="Re34277ac6e99490c"/>
    <x:sheet xmlns:r="http://schemas.openxmlformats.org/officeDocument/2006/relationships" name="Palbociclib" sheetId="6" r:id="R2ef8aff1ecfc4b79"/>
    <x:sheet xmlns:r="http://schemas.openxmlformats.org/officeDocument/2006/relationships" name="Olaparib" sheetId="7" r:id="Rc9d8262ea26a4392"/>
    <x:sheet xmlns:r="http://schemas.openxmlformats.org/officeDocument/2006/relationships" name="Ozanimod" sheetId="8" r:id="R0fae298d9fdb46c6"/>
    <x:sheet xmlns:r="http://schemas.openxmlformats.org/officeDocument/2006/relationships" name="Letermovir" sheetId="9" r:id="R6793de64ecde4907"/>
    <x:sheet xmlns:r="http://schemas.openxmlformats.org/officeDocument/2006/relationships" name="Rifaximin" sheetId="10" r:id="Rc46fa8e1499b4d74"/>
    <x:sheet xmlns:r="http://schemas.openxmlformats.org/officeDocument/2006/relationships" name="Ibrutinib" sheetId="11" r:id="R66db9f2fdb224a03"/>
    <x:sheet xmlns:r="http://schemas.openxmlformats.org/officeDocument/2006/relationships" name="Cabozantinib" sheetId="12" r:id="R3e5daebd3f6443db"/>
    <x:sheet xmlns:r="http://schemas.openxmlformats.org/officeDocument/2006/relationships" name="ZITUVIO Family" sheetId="13" r:id="R0c059d5baca147a2"/>
    <x:sheet xmlns:r="http://schemas.openxmlformats.org/officeDocument/2006/relationships" name="BEIZRAY" sheetId="14" r:id="Rd20188aa17554c5e"/>
    <x:sheet xmlns:r="http://schemas.openxmlformats.org/officeDocument/2006/relationships" name="Synthon 505b2" sheetId="15" r:id="R19fc07848b3c49e2"/>
    <x:sheet xmlns:r="http://schemas.openxmlformats.org/officeDocument/2006/relationships" name="NUFYMCO" sheetId="16" r:id="R652594bf12534620"/>
    <x:sheet xmlns:r="http://schemas.openxmlformats.org/officeDocument/2006/relationships" name="FYB206 Pembro" sheetId="17" r:id="Rb7faa979c7a64445"/>
    <x:sheet xmlns:r="http://schemas.openxmlformats.org/officeDocument/2006/relationships" name="RK Pharma Asset" sheetId="18" r:id="R79a981b787df4629"/>
    <x:sheet xmlns:r="http://schemas.openxmlformats.org/officeDocument/2006/relationships" name="LiqMeds" sheetId="19" r:id="Rc9aa7b165423424c"/>
    <x:sheet xmlns:r="http://schemas.openxmlformats.org/officeDocument/2006/relationships" name="Sentynl Orphans" sheetId="20" r:id="Rd722bddde1464a7b"/>
    <x:sheet xmlns:r="http://schemas.openxmlformats.org/officeDocument/2006/relationships" name="ROLVEDON" sheetId="21" r:id="R83f95f1a3f6a4185"/>
    <x:sheet xmlns:r="http://schemas.openxmlformats.org/officeDocument/2006/relationships" name="Zylidac BOT-BAL" sheetId="22" r:id="R1ad706f1b1e14374"/>
    <x:sheet xmlns:r="http://schemas.openxmlformats.org/officeDocument/2006/relationships" name="Tishtha" sheetId="23" r:id="Ra8b2992c49d044f4"/>
    <x:sheet xmlns:r="http://schemas.openxmlformats.org/officeDocument/2006/relationships" name="Semaglutide India" sheetId="24" r:id="R12f7cb6245be4e67"/>
    <x:sheet xmlns:r="http://schemas.openxmlformats.org/officeDocument/2006/relationships" name="Sources" sheetId="25" r:id="R2988989f8de640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-"/>
    <x:numFmt numFmtId="201" formatCode="#,##0.0;(#,##0.0);-"/>
    <x:numFmt numFmtId="202" formatCode="0.0%"/>
    <x:numFmt numFmtId="203" formatCode="0.0"/>
  </x:numFmts>
  <x:fonts count="9">
    <x:font>
      <x:sz val="11"/>
      <x:name val="Carlito"/>
    </x:font>
    <x:font>
      <x:sz val="9"/>
      <x:color rgb="FF000000"/>
      <x:name val="Arial"/>
    </x:font>
    <x:font>
      <x:b/>
      <x:sz val="11"/>
      <x:color rgb="FFFFFFFF"/>
      <x:name val="Arial"/>
    </x:font>
    <x:font>
      <x:b/>
      <x:sz val="9"/>
      <x:color rgb="FFFFFFFF"/>
      <x:name val="Arial"/>
    </x:font>
    <x:font>
      <x:b/>
      <x:sz val="9"/>
      <x:color rgb="FF000000"/>
      <x:name val="Arial"/>
    </x:font>
    <x:font>
      <x:sz val="9"/>
      <x:color rgb="FF1E9AD6"/>
      <x:name val="Arial"/>
    </x:font>
    <x:font>
      <x:i/>
      <x:sz val="8"/>
      <x:color rgb="FF000000"/>
      <x:name val="Arial"/>
    </x:font>
    <x:font>
      <x:b/>
      <x:sz val="14"/>
      <x:color rgb="FFFFFFFF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E9AD6"/>
      </x:patternFill>
    </x:fill>
  </x:fills>
  <x:borders count="3">
    <x:border>
      <x:left/>
      <x:right/>
      <x:top/>
      <x:bottom/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none"/>
      <x:right style="none"/>
      <x:top style="none"/>
      <x:bottom style="thin">
        <x:color rgb="FF1E9AD6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4" fillId="2" borderId="1" xfId="0" applyNumberFormat="1" applyFont="1" applyFill="1" applyBorder="1" applyAlignment="1">
      <x:alignment horizontal="right"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right" vertical="center"/>
    </x:xf>
    <x:xf numFmtId="0" fontId="2" fillId="3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3" fillId="3" borderId="1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vertical="center" wrapText="0"/>
    </x:xf>
    <x:xf numFmtId="0" fontId="3" fillId="3" borderId="1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right" vertical="center" wrapText="0"/>
    </x:xf>
    <x:xf numFmtId="0" fontId="3" fillId="3" borderId="1" xfId="0" applyNumberFormat="1" applyFont="1" applyFill="1" applyBorder="1" applyAlignment="1">
      <x:alignment horizontal="right" vertical="center" wrapText="0"/>
    </x:xf>
    <x:xf numFmtId="0" fontId="4" fillId="2" borderId="1" xfId="0" applyNumberFormat="1" applyFont="1" applyFill="1" applyBorder="1" applyAlignment="1">
      <x:alignment horizontal="right" vertical="center" wrapText="0"/>
    </x:xf>
    <x:xf numFmtId="0" fontId="1" fillId="2" borderId="2" xfId="0" applyNumberFormat="1" applyFont="1" applyFill="1" applyBorder="1" applyAlignment="1">
      <x:alignment vertical="center" wrapText="0"/>
    </x:xf>
    <x:xf numFmtId="0" fontId="1" fillId="2" borderId="2" xfId="0" applyNumberFormat="1" applyFont="1" applyFill="1" applyBorder="1" applyAlignment="1">
      <x:alignment horizontal="right" vertical="center" wrapText="0"/>
    </x:xf>
    <x:xf numFmtId="200" fontId="1" fillId="2" borderId="1" xfId="0" applyNumberFormat="1" applyFont="1" applyFill="1" applyBorder="1" applyAlignment="1">
      <x:alignment horizontal="right" vertical="center" wrapText="0"/>
    </x:xf>
    <x:xf numFmtId="201" fontId="1" fillId="2" borderId="1" xfId="0" applyNumberFormat="1" applyFont="1" applyFill="1" applyBorder="1" applyAlignment="1">
      <x:alignment horizontal="right" vertical="center" wrapText="0"/>
    </x:xf>
    <x:xf numFmtId="202" fontId="1" fillId="2" borderId="1" xfId="0" applyNumberFormat="1" applyFont="1" applyFill="1" applyBorder="1" applyAlignment="1">
      <x:alignment horizontal="right" vertical="center" wrapText="0"/>
    </x:xf>
    <x:xf numFmtId="201" fontId="3" fillId="3" borderId="1" xfId="0" applyNumberFormat="1" applyFont="1" applyFill="1" applyBorder="1" applyAlignment="1">
      <x:alignment horizontal="right" vertical="center" wrapText="0"/>
    </x:xf>
    <x:xf numFmtId="201" fontId="4" fillId="2" borderId="1" xfId="0" applyNumberFormat="1" applyFont="1" applyFill="1" applyBorder="1" applyAlignment="1">
      <x:alignment horizontal="right" vertical="center" wrapText="0"/>
    </x:xf>
    <x:xf numFmtId="201" fontId="1" fillId="2" borderId="2" xfId="0" applyNumberFormat="1" applyFont="1" applyFill="1" applyBorder="1" applyAlignment="1">
      <x:alignment horizontal="right" vertical="center" wrapText="0"/>
    </x:xf>
    <x:xf numFmtId="200" fontId="5" fillId="2" borderId="1" xfId="0" applyNumberFormat="1" applyFont="1" applyFill="1" applyBorder="1" applyAlignment="1">
      <x:alignment horizontal="right" vertical="center" wrapText="0"/>
    </x:xf>
    <x:xf numFmtId="201" fontId="5" fillId="2" borderId="1" xfId="0" applyNumberFormat="1" applyFont="1" applyFill="1" applyBorder="1" applyAlignment="1">
      <x:alignment horizontal="right" vertical="center" wrapText="0"/>
    </x:xf>
    <x:xf numFmtId="202" fontId="5" fillId="2" borderId="1" xfId="0" applyNumberFormat="1" applyFont="1" applyFill="1" applyBorder="1" applyAlignment="1">
      <x:alignment horizontal="right" vertical="center" wrapText="0"/>
    </x:xf>
    <x:xf numFmtId="0" fontId="6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horizontal="right" vertical="center"/>
    </x:xf>
    <x:xf numFmtId="201" fontId="3" fillId="3" borderId="1" xfId="0" applyNumberFormat="1" applyFont="1" applyFill="1" applyBorder="1" applyAlignment="1">
      <x:alignment horizontal="right" vertical="center"/>
    </x:xf>
    <x:xf numFmtId="201" fontId="4" fillId="2" borderId="1" xfId="0" applyNumberFormat="1" applyFont="1" applyFill="1" applyBorder="1" applyAlignment="1">
      <x:alignment horizontal="right" vertical="center"/>
    </x:xf>
    <x:xf numFmtId="201" fontId="1" fillId="2" borderId="2" xfId="0" applyNumberFormat="1" applyFont="1" applyFill="1" applyBorder="1" applyAlignment="1">
      <x:alignment horizontal="right"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203" fontId="1" fillId="2" borderId="1" xfId="0" applyNumberFormat="1" applyFont="1" applyFill="1" applyBorder="1" applyAlignment="1">
      <x:alignment horizontal="right" vertical="center"/>
    </x:xf>
    <x:xf numFmtId="203" fontId="5" fillId="2" borderId="1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ec5d1878e4fd8" /><Relationship Type="http://schemas.openxmlformats.org/officeDocument/2006/relationships/theme" Target="/xl/theme/theme1.xml" Id="R0d503fa3aebf4b27" /><Relationship Type="http://schemas.openxmlformats.org/officeDocument/2006/relationships/sharedStrings" Target="/xl/sharedStrings.xml" Id="R3dcf028dcd494c0f" /><Relationship Type="http://schemas.openxmlformats.org/officeDocument/2006/relationships/worksheet" Target="/xl/worksheets/sheet1.xml" Id="Rbe109f2ac51d488c" /><Relationship Type="http://schemas.openxmlformats.org/officeDocument/2006/relationships/worksheet" Target="/xl/worksheets/sheet2.xml" Id="R9ae5a83831974e80" /><Relationship Type="http://schemas.openxmlformats.org/officeDocument/2006/relationships/worksheet" Target="/xl/worksheets/sheet3.xml" Id="R63f9e65b9bae4024" /><Relationship Type="http://schemas.openxmlformats.org/officeDocument/2006/relationships/worksheet" Target="/xl/worksheets/sheet4.xml" Id="R4651ac422150469b" /><Relationship Type="http://schemas.openxmlformats.org/officeDocument/2006/relationships/worksheet" Target="/xl/worksheets/sheet5.xml" Id="Re34277ac6e99490c" /><Relationship Type="http://schemas.openxmlformats.org/officeDocument/2006/relationships/worksheet" Target="/xl/worksheets/sheet6.xml" Id="R2ef8aff1ecfc4b79" /><Relationship Type="http://schemas.openxmlformats.org/officeDocument/2006/relationships/worksheet" Target="/xl/worksheets/sheet7.xml" Id="Rc9d8262ea26a4392" /><Relationship Type="http://schemas.openxmlformats.org/officeDocument/2006/relationships/worksheet" Target="/xl/worksheets/sheet8.xml" Id="R0fae298d9fdb46c6" /><Relationship Type="http://schemas.openxmlformats.org/officeDocument/2006/relationships/worksheet" Target="/xl/worksheets/sheet9.xml" Id="R6793de64ecde4907" /><Relationship Type="http://schemas.openxmlformats.org/officeDocument/2006/relationships/worksheet" Target="/xl/worksheets/sheet10.xml" Id="Rc46fa8e1499b4d74" /><Relationship Type="http://schemas.openxmlformats.org/officeDocument/2006/relationships/worksheet" Target="/xl/worksheets/sheet11.xml" Id="R66db9f2fdb224a03" /><Relationship Type="http://schemas.openxmlformats.org/officeDocument/2006/relationships/worksheet" Target="/xl/worksheets/sheet12.xml" Id="R3e5daebd3f6443db" /><Relationship Type="http://schemas.openxmlformats.org/officeDocument/2006/relationships/worksheet" Target="/xl/worksheets/sheet13.xml" Id="R0c059d5baca147a2" /><Relationship Type="http://schemas.openxmlformats.org/officeDocument/2006/relationships/worksheet" Target="/xl/worksheets/sheet14.xml" Id="Rd20188aa17554c5e" /><Relationship Type="http://schemas.openxmlformats.org/officeDocument/2006/relationships/worksheet" Target="/xl/worksheets/sheet15.xml" Id="R19fc07848b3c49e2" /><Relationship Type="http://schemas.openxmlformats.org/officeDocument/2006/relationships/worksheet" Target="/xl/worksheets/sheet16.xml" Id="R652594bf12534620" /><Relationship Type="http://schemas.openxmlformats.org/officeDocument/2006/relationships/worksheet" Target="/xl/worksheets/sheet17.xml" Id="Rb7faa979c7a64445" /><Relationship Type="http://schemas.openxmlformats.org/officeDocument/2006/relationships/worksheet" Target="/xl/worksheets/sheet18.xml" Id="R79a981b787df4629" /><Relationship Type="http://schemas.openxmlformats.org/officeDocument/2006/relationships/worksheet" Target="/xl/worksheets/sheet19.xml" Id="Rc9aa7b165423424c" /><Relationship Type="http://schemas.openxmlformats.org/officeDocument/2006/relationships/worksheet" Target="/xl/worksheets/sheet20.xml" Id="Rd722bddde1464a7b" /><Relationship Type="http://schemas.openxmlformats.org/officeDocument/2006/relationships/worksheet" Target="/xl/worksheets/sheet21.xml" Id="R83f95f1a3f6a4185" /><Relationship Type="http://schemas.openxmlformats.org/officeDocument/2006/relationships/worksheet" Target="/xl/worksheets/sheet22.xml" Id="R1ad706f1b1e14374" /><Relationship Type="http://schemas.openxmlformats.org/officeDocument/2006/relationships/worksheet" Target="/xl/worksheets/sheet23.xml" Id="Ra8b2992c49d044f4" /><Relationship Type="http://schemas.openxmlformats.org/officeDocument/2006/relationships/worksheet" Target="/xl/worksheets/sheet24.xml" Id="R12f7cb6245be4e67" /><Relationship Type="http://schemas.openxmlformats.org/officeDocument/2006/relationships/worksheet" Target="/xl/worksheets/sheet25.xml" Id="R2988989f8de640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" hidden="0" customWidth="1"/>
    <x:col min="2" max="2" width="30" hidden="0" customWidth="1"/>
    <x:col min="3" max="3" width="18" hidden="0" customWidth="1"/>
  </x:cols>
  <x:sheetData>
    <x:row r="2" ht="24" customHeight="1">
      <x:c r="B2" s="44" t="str">
        <x:v>ZYDUS LIFESCIENCES</x:v>
      </x:c>
      <x:c r="C2" s="44"/>
      <x:c r="D2" s="4"/>
    </x:row>
    <x:row r="3">
      <x:c r="B3"/>
      <x:c r="C3"/>
      <x:c r="D3" s="4"/>
    </x:row>
    <x:row r="4">
      <x:c r="B4" s="45" t="str">
        <x:v>Pipeline revenue model</x:v>
      </x:c>
      <x:c r="C4"/>
      <x:c r="D4" s="4"/>
    </x:row>
    <x:row r="5">
      <x:c r="B5"/>
      <x:c r="C5"/>
      <x:c r="D5" s="4"/>
    </x:row>
    <x:row r="6">
      <x:c r="B6" s="46" t="str">
        <x:v>FY26A–FY35E</x:v>
      </x:c>
      <x:c r="C6"/>
      <x:c r="D6" s="4"/>
    </x:row>
    <x:row r="7" ht="1" customHeight="1">
      <x:c r="B7"/>
      <x:c r="C7"/>
      <x:c r="D7" s="4"/>
    </x:row>
    <x:row r="8" ht="1" customHeight="1">
      <x:c r="B8"/>
      <x:c r="C8"/>
      <x:c r="D8" s="4"/>
    </x:row>
    <x:row r="9" ht="1" customHeight="1">
      <x:c r="B9"/>
      <x:c r="C9"/>
      <x:c r="D9" s="4"/>
    </x:row>
    <x:row r="10" ht="1" customHeight="1">
      <x:c r="B10"/>
      <x:c r="C10"/>
      <x:c r="D10" s="4"/>
    </x:row>
    <x:row r="11" ht="1" customHeight="1">
      <x:c r="B11"/>
      <x:c r="C11"/>
      <x:c r="D11" s="4"/>
    </x:row>
    <x:row r="12" ht="1" customHeight="1">
      <x:c r="B12"/>
      <x:c r="C12"/>
      <x:c r="D12" s="4"/>
    </x:row>
    <x:row r="13" ht="1" customHeight="1">
      <x:c r="B13"/>
      <x:c r="C13"/>
      <x:c r="D13" s="4"/>
    </x:row>
    <x:row r="14" ht="1" customHeight="1">
      <x:c r="B14"/>
      <x:c r="C14"/>
      <x:c r="D14" s="4"/>
    </x:row>
    <x:row r="15" ht="1" customHeight="1">
      <x:c r="B15"/>
      <x:c r="C15"/>
      <x:c r="D15" s="4"/>
    </x:row>
    <x:row r="16" ht="1" customHeight="1">
      <x:c r="B16"/>
      <x:c r="C16"/>
      <x:c r="D16" s="4"/>
    </x:row>
    <x:row r="17" ht="1" customHeight="1">
      <x:c r="B17"/>
      <x:c r="C17"/>
      <x:c r="D17" s="4"/>
    </x:row>
    <x:row r="18" ht="1" customHeight="1">
      <x:c r="B18"/>
      <x:c r="C18"/>
      <x:c r="D18" s="4"/>
    </x:row>
    <x:row r="19" ht="1" customHeight="1">
      <x:c r="B19"/>
      <x:c r="C19"/>
      <x:c r="D19" s="4"/>
    </x:row>
    <x:row r="20" ht="1" customHeight="1">
      <x:c r="B20"/>
      <x:c r="C20"/>
      <x:c r="D2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5" hidden="0" customWidth="1"/>
    <x:col min="2" max="2" width="28" hidden="0" customWidth="1"/>
    <x:col min="3" max="3" width="16" hidden="0" customWidth="1"/>
    <x:col min="4" max="4" width="48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</x:cols>
  <x:sheetData>
    <x:row r="1" ht="20" customHeight="1">
      <x:c r="A1" s="6" t="str">
        <x:v>Zydus Lifesciences | Pipeline revenue model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/>
      <x:c r="P1"/>
      <x:c r="Q1"/>
      <x:c r="R1"/>
      <x:c r="S1"/>
      <x:c r="T1"/>
    </x:row>
    <x:row r="2" ht="14" customHeight="1">
      <x:c r="A2" s="34" t="str">
        <x:v>US$mn unless stated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/>
      <x:c r="P2"/>
      <x:c r="Q2"/>
      <x:c r="R2"/>
      <x:c r="S2"/>
      <x:c r="T2"/>
    </x:row>
    <x:row r="3" ht="6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/>
      <x:c r="P3"/>
      <x:c r="Q3"/>
      <x:c r="R3"/>
      <x:c r="S3"/>
      <x:c r="T3"/>
    </x:row>
    <x:row r="4" ht="17" customHeight="1">
      <x:c r="A4" s="7" t="str">
        <x:v>Portfolio summary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4"/>
      <x:c r="O4"/>
      <x:c r="P4"/>
      <x:c r="Q4"/>
      <x:c r="R4"/>
      <x:c r="S4"/>
      <x:c r="T4"/>
    </x:row>
    <x:row r="5" ht="17" customHeight="1">
      <x:c r="A5" s="7" t="str">
        <x:v>Metric</x:v>
      </x:c>
      <x:c r="B5" s="7" t="str">
        <x:v>Units</x:v>
      </x:c>
      <x:c r="C5" s="7"/>
      <x:c r="D5" s="9" t="str">
        <x:v>FY26A</x:v>
      </x:c>
      <x:c r="E5" s="9" t="str">
        <x:v>FY27E</x:v>
      </x:c>
      <x:c r="F5" s="9" t="str">
        <x:v>FY28E</x:v>
      </x:c>
      <x:c r="G5" s="9" t="str">
        <x:v>FY29E</x:v>
      </x:c>
      <x:c r="H5" s="9" t="str">
        <x:v>FY30E</x:v>
      </x:c>
      <x:c r="I5" s="9" t="str">
        <x:v>FY31E</x:v>
      </x:c>
      <x:c r="J5" s="9" t="str">
        <x:v>FY32E</x:v>
      </x:c>
      <x:c r="K5" s="9" t="str">
        <x:v>FY33E</x:v>
      </x:c>
      <x:c r="L5" s="9" t="str">
        <x:v>FY34E</x:v>
      </x:c>
      <x:c r="M5" s="9" t="str">
        <x:v>FY35E</x:v>
      </x:c>
      <x:c r="N5" s="4"/>
      <x:c r="O5"/>
      <x:c r="P5"/>
      <x:c r="Q5"/>
      <x:c r="R5"/>
      <x:c r="S5"/>
      <x:c r="T5"/>
    </x:row>
    <x:row r="6">
      <x:c r="A6" s="8" t="str">
        <x:v>Total reported revenue</x:v>
      </x:c>
      <x:c r="B6" s="8" t="str">
        <x:v>$m</x:v>
      </x:c>
      <x:c r="C6" s="8"/>
      <x:c r="D6" s="37" t="n">
        <x:f>SUM(Saroglitazar!D38,Usnoflast!D38,Palbociclib!D38,Olaparib!D38,Ozanimod!D38,Letermovir!D38,Rifaximin!D38,Ibrutinib!D38,Cabozantinib!D38,'ZITUVIO Family'!D38,BEIZRAY!D38,'Synthon 505b2'!D38,NUFYMCO!D38,'FYB206 Pembro'!D38,'RK Pharma Asset'!D38,LiqMeds!D38,'Sentynl Orphans'!D38,ROLVEDON!D38,'Zylidac BOT-BAL'!D38,Tishtha!D38,'Semaglutide India'!D38)</x:f>
        <x:v>113.3963953488372</x:v>
      </x:c>
      <x:c r="E6" s="37" t="n">
        <x:f>SUM(Saroglitazar!E38,Usnoflast!E38,Palbociclib!E38,Olaparib!E38,Ozanimod!E38,Letermovir!E38,Rifaximin!E38,Ibrutinib!E38,Cabozantinib!E38,'ZITUVIO Family'!E38,BEIZRAY!E38,'Synthon 505b2'!E38,NUFYMCO!E38,'FYB206 Pembro'!E38,'RK Pharma Asset'!E38,LiqMeds!E38,'Sentynl Orphans'!E38,ROLVEDON!E38,'Zylidac BOT-BAL'!E38,Tishtha!E38,'Semaglutide India'!E38)</x:f>
        <x:v>236.76977272727274</x:v>
      </x:c>
      <x:c r="F6" s="37" t="n">
        <x:f>SUM(Saroglitazar!F38,Usnoflast!F38,Palbociclib!F38,Olaparib!F38,Ozanimod!F38,Letermovir!F38,Rifaximin!F38,Ibrutinib!F38,Cabozantinib!F38,'ZITUVIO Family'!F38,BEIZRAY!F38,'Synthon 505b2'!F38,NUFYMCO!F38,'FYB206 Pembro'!F38,'RK Pharma Asset'!F38,LiqMeds!F38,'Sentynl Orphans'!F38,ROLVEDON!F38,'Zylidac BOT-BAL'!F38,Tishtha!F38,'Semaglutide India'!F38)</x:f>
        <x:v>546.3000000000001</x:v>
      </x:c>
      <x:c r="G6" s="37" t="n">
        <x:f>SUM(Saroglitazar!G38,Usnoflast!G38,Palbociclib!G38,Olaparib!G38,Ozanimod!G38,Letermovir!G38,Rifaximin!G38,Ibrutinib!G38,Cabozantinib!G38,'ZITUVIO Family'!G38,BEIZRAY!G38,'Synthon 505b2'!G38,NUFYMCO!G38,'FYB206 Pembro'!G38,'RK Pharma Asset'!G38,LiqMeds!G38,'Sentynl Orphans'!G38,ROLVEDON!G38,'Zylidac BOT-BAL'!G38,Tishtha!G38,'Semaglutide India'!G38)</x:f>
        <x:v>686.5331086956522</x:v>
      </x:c>
      <x:c r="H6" s="37" t="n">
        <x:f>SUM(Saroglitazar!H38,Usnoflast!H38,Palbociclib!H38,Olaparib!H38,Ozanimod!H38,Letermovir!H38,Rifaximin!H38,Ibrutinib!H38,Cabozantinib!H38,'ZITUVIO Family'!H38,BEIZRAY!H38,'Synthon 505b2'!H38,NUFYMCO!H38,'FYB206 Pembro'!H38,'RK Pharma Asset'!H38,LiqMeds!H38,'Sentynl Orphans'!H38,ROLVEDON!H38,'Zylidac BOT-BAL'!H38,Tishtha!H38,'Semaglutide India'!H38)</x:f>
        <x:v>1072.1768702127658</x:v>
      </x:c>
      <x:c r="I6" s="37" t="n">
        <x:f>SUM(Saroglitazar!I38,Usnoflast!I38,Palbociclib!I38,Olaparib!I38,Ozanimod!I38,Letermovir!I38,Rifaximin!I38,Ibrutinib!I38,Cabozantinib!I38,'ZITUVIO Family'!I38,BEIZRAY!I38,'Synthon 505b2'!I38,NUFYMCO!I38,'FYB206 Pembro'!I38,'RK Pharma Asset'!I38,LiqMeds!I38,'Sentynl Orphans'!I38,ROLVEDON!I38,'Zylidac BOT-BAL'!I38,Tishtha!I38,'Semaglutide India'!I38)</x:f>
        <x:v>1165.4385333333332</x:v>
      </x:c>
      <x:c r="J6" s="37" t="n">
        <x:f>SUM(Saroglitazar!J38,Usnoflast!J38,Palbociclib!J38,Olaparib!J38,Ozanimod!J38,Letermovir!J38,Rifaximin!J38,Ibrutinib!J38,Cabozantinib!J38,'ZITUVIO Family'!J38,BEIZRAY!J38,'Synthon 505b2'!J38,NUFYMCO!J38,'FYB206 Pembro'!J38,'RK Pharma Asset'!J38,LiqMeds!J38,'Sentynl Orphans'!J38,ROLVEDON!J38,'Zylidac BOT-BAL'!J38,Tishtha!J38,'Semaglutide India'!J38)</x:f>
        <x:v>1243.9264029209883</x:v>
      </x:c>
      <x:c r="K6" s="37" t="n">
        <x:f>SUM(Saroglitazar!K38,Usnoflast!K38,Palbociclib!K38,Olaparib!K38,Ozanimod!K38,Letermovir!K38,Rifaximin!K38,Ibrutinib!K38,Cabozantinib!K38,'ZITUVIO Family'!K38,BEIZRAY!K38,'Synthon 505b2'!K38,NUFYMCO!K38,'FYB206 Pembro'!K38,'RK Pharma Asset'!K38,LiqMeds!K38,'Sentynl Orphans'!K38,ROLVEDON!K38,'Zylidac BOT-BAL'!K38,Tishtha!K38,'Semaglutide India'!K38)</x:f>
        <x:v>1397.920337373579</x:v>
      </x:c>
      <x:c r="L6" s="37" t="n">
        <x:f>SUM(Saroglitazar!L38,Usnoflast!L38,Palbociclib!L38,Olaparib!L38,Ozanimod!L38,Letermovir!L38,Rifaximin!L38,Ibrutinib!L38,Cabozantinib!L38,'ZITUVIO Family'!L38,BEIZRAY!L38,'Synthon 505b2'!L38,NUFYMCO!L38,'FYB206 Pembro'!L38,'RK Pharma Asset'!L38,LiqMeds!L38,'Sentynl Orphans'!L38,ROLVEDON!L38,'Zylidac BOT-BAL'!L38,Tishtha!L38,'Semaglutide India'!L38)</x:f>
        <x:v>1508.5451328229683</x:v>
      </x:c>
      <x:c r="M6" s="37" t="n">
        <x:f>SUM(Saroglitazar!M38,Usnoflast!M38,Palbociclib!M38,Olaparib!M38,Ozanimod!M38,Letermovir!M38,Rifaximin!M38,Ibrutinib!M38,Cabozantinib!M38,'ZITUVIO Family'!M38,BEIZRAY!M38,'Synthon 505b2'!M38,NUFYMCO!M38,'FYB206 Pembro'!M38,'RK Pharma Asset'!M38,LiqMeds!M38,'Sentynl Orphans'!M38,ROLVEDON!M38,'Zylidac BOT-BAL'!M38,Tishtha!M38,'Semaglutide India'!M38)</x:f>
        <x:v>1597.4261953795358</x:v>
      </x:c>
      <x:c r="N6" s="4"/>
      <x:c r="O6"/>
      <x:c r="P6"/>
      <x:c r="Q6"/>
      <x:c r="R6"/>
      <x:c r="S6"/>
      <x:c r="T6"/>
    </x:row>
    <x:row r="7">
      <x:c r="A7" s="4" t="str">
        <x:v>Total risk-adjusted revenue</x:v>
      </x:c>
      <x:c r="B7" s="4" t="str">
        <x:v>$m</x:v>
      </x:c>
      <x:c r="C7" s="4"/>
      <x:c r="D7" s="35" t="n">
        <x:f>SUM(Saroglitazar!D39,Usnoflast!D39,Palbociclib!D39,Olaparib!D39,Ozanimod!D39,Letermovir!D39,Rifaximin!D39,Ibrutinib!D39,Cabozantinib!D39,'ZITUVIO Family'!D39,BEIZRAY!D39,'Synthon 505b2'!D39,NUFYMCO!D39,'FYB206 Pembro'!D39,'RK Pharma Asset'!D39,LiqMeds!D39,'Sentynl Orphans'!D39,ROLVEDON!D39,'Zylidac BOT-BAL'!D39,Tishtha!D39,'Semaglutide India'!D39)</x:f>
        <x:v>113.3963953488372</x:v>
      </x:c>
      <x:c r="E7" s="35" t="n">
        <x:f>SUM(Saroglitazar!E39,Usnoflast!E39,Palbociclib!E39,Olaparib!E39,Ozanimod!E39,Letermovir!E39,Rifaximin!E39,Ibrutinib!E39,Cabozantinib!E39,'ZITUVIO Family'!E39,BEIZRAY!E39,'Synthon 505b2'!E39,NUFYMCO!E39,'FYB206 Pembro'!E39,'RK Pharma Asset'!E39,LiqMeds!E39,'Sentynl Orphans'!E39,ROLVEDON!E39,'Zylidac BOT-BAL'!E39,Tishtha!E39,'Semaglutide India'!E39)</x:f>
        <x:v>236.76977272727274</x:v>
      </x:c>
      <x:c r="F7" s="35" t="n">
        <x:f>SUM(Saroglitazar!F39,Usnoflast!F39,Palbociclib!F39,Olaparib!F39,Ozanimod!F39,Letermovir!F39,Rifaximin!F39,Ibrutinib!F39,Cabozantinib!F39,'ZITUVIO Family'!F39,BEIZRAY!F39,'Synthon 505b2'!F39,NUFYMCO!F39,'FYB206 Pembro'!F39,'RK Pharma Asset'!F39,LiqMeds!F39,'Sentynl Orphans'!F39,ROLVEDON!F39,'Zylidac BOT-BAL'!F39,Tishtha!F39,'Semaglutide India'!F39)</x:f>
        <x:v>505.725</x:v>
      </x:c>
      <x:c r="G7" s="35" t="n">
        <x:f>SUM(Saroglitazar!G39,Usnoflast!G39,Palbociclib!G39,Olaparib!G39,Ozanimod!G39,Letermovir!G39,Rifaximin!G39,Ibrutinib!G39,Cabozantinib!G39,'ZITUVIO Family'!G39,BEIZRAY!G39,'Synthon 505b2'!G39,NUFYMCO!G39,'FYB206 Pembro'!G39,'RK Pharma Asset'!G39,LiqMeds!G39,'Sentynl Orphans'!G39,ROLVEDON!G39,'Zylidac BOT-BAL'!G39,Tishtha!G39,'Semaglutide India'!G39)</x:f>
        <x:v>631.3332336956522</x:v>
      </x:c>
      <x:c r="H7" s="35" t="n">
        <x:f>SUM(Saroglitazar!H39,Usnoflast!H39,Palbociclib!H39,Olaparib!H39,Ozanimod!H39,Letermovir!H39,Rifaximin!H39,Ibrutinib!H39,Cabozantinib!H39,'ZITUVIO Family'!H39,BEIZRAY!H39,'Synthon 505b2'!H39,NUFYMCO!H39,'FYB206 Pembro'!H39,'RK Pharma Asset'!H39,LiqMeds!H39,'Sentynl Orphans'!H39,ROLVEDON!H39,'Zylidac BOT-BAL'!H39,Tishtha!H39,'Semaglutide India'!H39)</x:f>
        <x:v>821.5040452127658</x:v>
      </x:c>
      <x:c r="I7" s="35" t="n">
        <x:f>SUM(Saroglitazar!I39,Usnoflast!I39,Palbociclib!I39,Olaparib!I39,Ozanimod!I39,Letermovir!I39,Rifaximin!I39,Ibrutinib!I39,Cabozantinib!I39,'ZITUVIO Family'!I39,BEIZRAY!I39,'Synthon 505b2'!I39,NUFYMCO!I39,'FYB206 Pembro'!I39,'RK Pharma Asset'!I39,LiqMeds!I39,'Sentynl Orphans'!I39,ROLVEDON!I39,'Zylidac BOT-BAL'!I39,Tishtha!I39,'Semaglutide India'!I39)</x:f>
        <x:v>899.9037758333335</x:v>
      </x:c>
      <x:c r="J7" s="35" t="n">
        <x:f>SUM(Saroglitazar!J39,Usnoflast!J39,Palbociclib!J39,Olaparib!J39,Ozanimod!J39,Letermovir!J39,Rifaximin!J39,Ibrutinib!J39,Cabozantinib!J39,'ZITUVIO Family'!J39,BEIZRAY!J39,'Synthon 505b2'!J39,NUFYMCO!J39,'FYB206 Pembro'!J39,'RK Pharma Asset'!J39,LiqMeds!J39,'Sentynl Orphans'!J39,ROLVEDON!J39,'Zylidac BOT-BAL'!J39,Tishtha!J39,'Semaglutide India'!J39)</x:f>
        <x:v>954.1794075669818</x:v>
      </x:c>
      <x:c r="K7" s="35" t="n">
        <x:f>SUM(Saroglitazar!K39,Usnoflast!K39,Palbociclib!K39,Olaparib!K39,Ozanimod!K39,Letermovir!K39,Rifaximin!K39,Ibrutinib!K39,Cabozantinib!K39,'ZITUVIO Family'!K39,BEIZRAY!K39,'Synthon 505b2'!K39,NUFYMCO!K39,'FYB206 Pembro'!K39,'RK Pharma Asset'!K39,LiqMeds!K39,'Sentynl Orphans'!K39,ROLVEDON!K39,'Zylidac BOT-BAL'!K39,Tishtha!K39,'Semaglutide India'!K39)</x:f>
        <x:v>1002.7725343433947</x:v>
      </x:c>
      <x:c r="L7" s="35" t="n">
        <x:f>SUM(Saroglitazar!L39,Usnoflast!L39,Palbociclib!L39,Olaparib!L39,Ozanimod!L39,Letermovir!L39,Rifaximin!L39,Ibrutinib!L39,Cabozantinib!L39,'ZITUVIO Family'!L39,BEIZRAY!L39,'Synthon 505b2'!L39,NUFYMCO!L39,'FYB206 Pembro'!L39,'RK Pharma Asset'!L39,LiqMeds!L39,'Sentynl Orphans'!L39,ROLVEDON!L39,'Zylidac BOT-BAL'!L39,Tishtha!L39,'Semaglutide India'!L39)</x:f>
        <x:v>1019.0717584998597</x:v>
      </x:c>
      <x:c r="M7" s="35" t="n">
        <x:f>SUM(Saroglitazar!M39,Usnoflast!M39,Palbociclib!M39,Olaparib!M39,Ozanimod!M39,Letermovir!M39,Rifaximin!M39,Ibrutinib!M39,Cabozantinib!M39,'ZITUVIO Family'!M39,BEIZRAY!M39,'Synthon 505b2'!M39,NUFYMCO!M39,'FYB206 Pembro'!M39,'RK Pharma Asset'!M39,LiqMeds!M39,'Sentynl Orphans'!M39,ROLVEDON!M39,'Zylidac BOT-BAL'!M39,Tishtha!M39,'Semaglutide India'!M39)</x:f>
        <x:v>1024.346651921807</x:v>
      </x:c>
      <x:c r="N7" s="4"/>
      <x:c r="O7"/>
      <x:c r="P7"/>
      <x:c r="Q7"/>
      <x:c r="R7"/>
      <x:c r="S7"/>
      <x:c r="T7"/>
    </x:row>
    <x:row r="8">
      <x:c r="A8" s="4" t="str">
        <x:v>Total contribution profit</x:v>
      </x:c>
      <x:c r="B8" s="4" t="str">
        <x:v>$m</x:v>
      </x:c>
      <x:c r="C8" s="4"/>
      <x:c r="D8" s="35" t="n">
        <x:f>SUM(Saroglitazar!D41,Usnoflast!D41,Palbociclib!D41,Olaparib!D41,Ozanimod!D41,Letermovir!D41,Rifaximin!D41,Ibrutinib!D41,Cabozantinib!D41,'ZITUVIO Family'!D41,BEIZRAY!D41,'Synthon 505b2'!D41,NUFYMCO!D41,'FYB206 Pembro'!D41,'RK Pharma Asset'!D41,LiqMeds!D41,'Sentynl Orphans'!D41,ROLVEDON!D41,'Zylidac BOT-BAL'!D41,Tishtha!D41,'Semaglutide India'!D41)</x:f>
        <x:v>31.352148837209302</x:v>
      </x:c>
      <x:c r="E8" s="35" t="n">
        <x:f>SUM(Saroglitazar!E41,Usnoflast!E41,Palbociclib!E41,Olaparib!E41,Ozanimod!E41,Letermovir!E41,Rifaximin!E41,Ibrutinib!E41,Cabozantinib!E41,'ZITUVIO Family'!E41,BEIZRAY!E41,'Synthon 505b2'!E41,NUFYMCO!E41,'FYB206 Pembro'!E41,'RK Pharma Asset'!E41,LiqMeds!E41,'Sentynl Orphans'!E41,ROLVEDON!E41,'Zylidac BOT-BAL'!E41,Tishtha!E41,'Semaglutide India'!E41)</x:f>
        <x:v>64.05152727272727</x:v>
      </x:c>
      <x:c r="F8" s="35" t="n">
        <x:f>SUM(Saroglitazar!F41,Usnoflast!F41,Palbociclib!F41,Olaparib!F41,Ozanimod!F41,Letermovir!F41,Rifaximin!F41,Ibrutinib!F41,Cabozantinib!F41,'ZITUVIO Family'!F41,BEIZRAY!F41,'Synthon 505b2'!F41,NUFYMCO!F41,'FYB206 Pembro'!F41,'RK Pharma Asset'!F41,LiqMeds!F41,'Sentynl Orphans'!F41,ROLVEDON!F41,'Zylidac BOT-BAL'!F41,Tishtha!F41,'Semaglutide India'!F41)</x:f>
        <x:v>148.13185</x:v>
      </x:c>
      <x:c r="G8" s="35" t="n">
        <x:f>SUM(Saroglitazar!G41,Usnoflast!G41,Palbociclib!G41,Olaparib!G41,Ozanimod!G41,Letermovir!G41,Rifaximin!G41,Ibrutinib!G41,Cabozantinib!G41,'ZITUVIO Family'!G41,BEIZRAY!G41,'Synthon 505b2'!G41,NUFYMCO!G41,'FYB206 Pembro'!G41,'RK Pharma Asset'!G41,LiqMeds!G41,'Sentynl Orphans'!G41,ROLVEDON!G41,'Zylidac BOT-BAL'!G41,Tishtha!G41,'Semaglutide India'!G41)</x:f>
        <x:v>201.13097826086957</x:v>
      </x:c>
      <x:c r="H8" s="35" t="n">
        <x:f>SUM(Saroglitazar!H41,Usnoflast!H41,Palbociclib!H41,Olaparib!H41,Ozanimod!H41,Letermovir!H41,Rifaximin!H41,Ibrutinib!H41,Cabozantinib!H41,'ZITUVIO Family'!H41,BEIZRAY!H41,'Synthon 505b2'!H41,NUFYMCO!H41,'FYB206 Pembro'!H41,'RK Pharma Asset'!H41,LiqMeds!H41,'Sentynl Orphans'!H41,ROLVEDON!H41,'Zylidac BOT-BAL'!H41,Tishtha!H41,'Semaglutide India'!H41)</x:f>
        <x:v>332.16734563829795</x:v>
      </x:c>
      <x:c r="I8" s="35" t="n">
        <x:f>SUM(Saroglitazar!I41,Usnoflast!I41,Palbociclib!I41,Olaparib!I41,Ozanimod!I41,Letermovir!I41,Rifaximin!I41,Ibrutinib!I41,Cabozantinib!I41,'ZITUVIO Family'!I41,BEIZRAY!I41,'Synthon 505b2'!I41,NUFYMCO!I41,'FYB206 Pembro'!I41,'RK Pharma Asset'!I41,LiqMeds!I41,'Sentynl Orphans'!I41,ROLVEDON!I41,'Zylidac BOT-BAL'!I41,Tishtha!I41,'Semaglutide India'!I41)</x:f>
        <x:v>362.620448</x:v>
      </x:c>
      <x:c r="J8" s="35" t="n">
        <x:f>SUM(Saroglitazar!J41,Usnoflast!J41,Palbociclib!J41,Olaparib!J41,Ozanimod!J41,Letermovir!J41,Rifaximin!J41,Ibrutinib!J41,Cabozantinib!J41,'ZITUVIO Family'!J41,BEIZRAY!J41,'Synthon 505b2'!J41,NUFYMCO!J41,'FYB206 Pembro'!J41,'RK Pharma Asset'!J41,LiqMeds!J41,'Sentynl Orphans'!J41,ROLVEDON!J41,'Zylidac BOT-BAL'!J41,Tishtha!J41,'Semaglutide India'!J41)</x:f>
        <x:v>393.68422227362834</x:v>
      </x:c>
      <x:c r="K8" s="35" t="n">
        <x:f>SUM(Saroglitazar!K41,Usnoflast!K41,Palbociclib!K41,Olaparib!K41,Ozanimod!K41,Letermovir!K41,Rifaximin!K41,Ibrutinib!K41,Cabozantinib!K41,'ZITUVIO Family'!K41,BEIZRAY!K41,'Synthon 505b2'!K41,NUFYMCO!K41,'FYB206 Pembro'!K41,'RK Pharma Asset'!K41,LiqMeds!K41,'Sentynl Orphans'!K41,ROLVEDON!K41,'Zylidac BOT-BAL'!K41,Tishtha!K41,'Semaglutide India'!K41)</x:f>
        <x:v>471.63970868678956</x:v>
      </x:c>
      <x:c r="L8" s="35" t="n">
        <x:f>SUM(Saroglitazar!L41,Usnoflast!L41,Palbociclib!L41,Olaparib!L41,Ozanimod!L41,Letermovir!L41,Rifaximin!L41,Ibrutinib!L41,Cabozantinib!L41,'ZITUVIO Family'!L41,BEIZRAY!L41,'Synthon 505b2'!L41,NUFYMCO!L41,'FYB206 Pembro'!L41,'RK Pharma Asset'!L41,LiqMeds!L41,'Sentynl Orphans'!L41,ROLVEDON!L41,'Zylidac BOT-BAL'!L41,Tishtha!L41,'Semaglutide India'!L41)</x:f>
        <x:v>544.1525003620615</x:v>
      </x:c>
      <x:c r="M8" s="35" t="n">
        <x:f>SUM(Saroglitazar!M41,Usnoflast!M41,Palbociclib!M41,Olaparib!M41,Ozanimod!M41,Letermovir!M41,Rifaximin!M41,Ibrutinib!M41,Cabozantinib!M41,'ZITUVIO Family'!M41,BEIZRAY!M41,'Synthon 505b2'!M41,NUFYMCO!M41,'FYB206 Pembro'!M41,'RK Pharma Asset'!M41,LiqMeds!M41,'Sentynl Orphans'!M41,ROLVEDON!M41,'Zylidac BOT-BAL'!M41,Tishtha!M41,'Semaglutide India'!M41)</x:f>
        <x:v>601.4887245204355</x:v>
      </x:c>
      <x:c r="N8" s="4"/>
      <x:c r="O8"/>
      <x:c r="P8"/>
      <x:c r="Q8"/>
      <x:c r="R8"/>
      <x:c r="S8"/>
      <x:c r="T8"/>
    </x:row>
    <x:row r="9">
      <x:c r="A9" s="4" t="str">
        <x:v>Risk-adjusted contribution profit</x:v>
      </x:c>
      <x:c r="B9" s="4" t="str">
        <x:v>$m</x:v>
      </x:c>
      <x:c r="C9" s="4"/>
      <x:c r="D9" s="35" t="n">
        <x:f>SUM(Saroglitazar!D42,Usnoflast!D42,Palbociclib!D42,Olaparib!D42,Ozanimod!D42,Letermovir!D42,Rifaximin!D42,Ibrutinib!D42,Cabozantinib!D42,'ZITUVIO Family'!D42,BEIZRAY!D42,'Synthon 505b2'!D42,NUFYMCO!D42,'FYB206 Pembro'!D42,'RK Pharma Asset'!D42,LiqMeds!D42,'Sentynl Orphans'!D42,ROLVEDON!D42,'Zylidac BOT-BAL'!D42,Tishtha!D42,'Semaglutide India'!D42)</x:f>
        <x:v>31.352148837209302</x:v>
      </x:c>
      <x:c r="E9" s="35" t="n">
        <x:f>SUM(Saroglitazar!E42,Usnoflast!E42,Palbociclib!E42,Olaparib!E42,Ozanimod!E42,Letermovir!E42,Rifaximin!E42,Ibrutinib!E42,Cabozantinib!E42,'ZITUVIO Family'!E42,BEIZRAY!E42,'Synthon 505b2'!E42,NUFYMCO!E42,'FYB206 Pembro'!E42,'RK Pharma Asset'!E42,LiqMeds!E42,'Sentynl Orphans'!E42,ROLVEDON!E42,'Zylidac BOT-BAL'!E42,Tishtha!E42,'Semaglutide India'!E42)</x:f>
        <x:v>64.05152727272727</x:v>
      </x:c>
      <x:c r="F9" s="35" t="n">
        <x:f>SUM(Saroglitazar!F42,Usnoflast!F42,Palbociclib!F42,Olaparib!F42,Ozanimod!F42,Letermovir!F42,Rifaximin!F42,Ibrutinib!F42,Cabozantinib!F42,'ZITUVIO Family'!F42,BEIZRAY!F42,'Synthon 505b2'!F42,NUFYMCO!F42,'FYB206 Pembro'!F42,'RK Pharma Asset'!F42,LiqMeds!F42,'Sentynl Orphans'!F42,ROLVEDON!F42,'Zylidac BOT-BAL'!F42,Tishtha!F42,'Semaglutide India'!F42)</x:f>
        <x:v>137.12785</x:v>
      </x:c>
      <x:c r="G9" s="35" t="n">
        <x:f>SUM(Saroglitazar!G42,Usnoflast!G42,Palbociclib!G42,Olaparib!G42,Ozanimod!G42,Letermovir!G42,Rifaximin!G42,Ibrutinib!G42,Cabozantinib!G42,'ZITUVIO Family'!G42,BEIZRAY!G42,'Synthon 505b2'!G42,NUFYMCO!G42,'FYB206 Pembro'!G42,'RK Pharma Asset'!G42,LiqMeds!G42,'Sentynl Orphans'!G42,ROLVEDON!G42,'Zylidac BOT-BAL'!G42,Tishtha!G42,'Semaglutide India'!G42)</x:f>
        <x:v>185.0382532608696</x:v>
      </x:c>
      <x:c r="H9" s="35" t="n">
        <x:f>SUM(Saroglitazar!H42,Usnoflast!H42,Palbociclib!H42,Olaparib!H42,Ozanimod!H42,Letermovir!H42,Rifaximin!H42,Ibrutinib!H42,Cabozantinib!H42,'ZITUVIO Family'!H42,BEIZRAY!H42,'Synthon 505b2'!H42,NUFYMCO!H42,'FYB206 Pembro'!H42,'RK Pharma Asset'!H42,LiqMeds!H42,'Sentynl Orphans'!H42,ROLVEDON!H42,'Zylidac BOT-BAL'!H42,Tishtha!H42,'Semaglutide India'!H42)</x:f>
        <x:v>251.53842538829784</x:v>
      </x:c>
      <x:c r="I9" s="35" t="n">
        <x:f>SUM(Saroglitazar!I42,Usnoflast!I42,Palbociclib!I42,Olaparib!I42,Ozanimod!I42,Letermovir!I42,Rifaximin!I42,Ibrutinib!I42,Cabozantinib!I42,'ZITUVIO Family'!I42,BEIZRAY!I42,'Synthon 505b2'!I42,NUFYMCO!I42,'FYB206 Pembro'!I42,'RK Pharma Asset'!I42,LiqMeds!I42,'Sentynl Orphans'!I42,ROLVEDON!I42,'Zylidac BOT-BAL'!I42,Tishtha!I42,'Semaglutide India'!I42)</x:f>
        <x:v>278.58579345</x:v>
      </x:c>
      <x:c r="J9" s="35" t="n">
        <x:f>SUM(Saroglitazar!J42,Usnoflast!J42,Palbociclib!J42,Olaparib!J42,Ozanimod!J42,Letermovir!J42,Rifaximin!J42,Ibrutinib!J42,Cabozantinib!J42,'ZITUVIO Family'!J42,BEIZRAY!J42,'Synthon 505b2'!J42,NUFYMCO!J42,'FYB206 Pembro'!J42,'RK Pharma Asset'!J42,LiqMeds!J42,'Sentynl Orphans'!J42,ROLVEDON!J42,'Zylidac BOT-BAL'!J42,Tishtha!J42,'Semaglutide India'!J42)</x:f>
        <x:v>300.9906918643255</x:v>
      </x:c>
      <x:c r="K9" s="35" t="n">
        <x:f>SUM(Saroglitazar!K42,Usnoflast!K42,Palbociclib!K42,Olaparib!K42,Ozanimod!K42,Letermovir!K42,Rifaximin!K42,Ibrutinib!K42,Cabozantinib!K42,'ZITUVIO Family'!K42,BEIZRAY!K42,'Synthon 505b2'!K42,NUFYMCO!K42,'FYB206 Pembro'!K42,'RK Pharma Asset'!K42,LiqMeds!K42,'Sentynl Orphans'!K42,ROLVEDON!K42,'Zylidac BOT-BAL'!K42,Tishtha!K42,'Semaglutide India'!K42)</x:f>
        <x:v>324.87619917169735</x:v>
      </x:c>
      <x:c r="L9" s="35" t="n">
        <x:f>SUM(Saroglitazar!L42,Usnoflast!L42,Palbociclib!L42,Olaparib!L42,Ozanimod!L42,Letermovir!L42,Rifaximin!L42,Ibrutinib!L42,Cabozantinib!L42,'ZITUVIO Family'!L42,BEIZRAY!L42,'Synthon 505b2'!L42,NUFYMCO!L42,'FYB206 Pembro'!L42,'RK Pharma Asset'!L42,LiqMeds!L42,'Sentynl Orphans'!L42,ROLVEDON!L42,'Zylidac BOT-BAL'!L42,Tishtha!L42,'Semaglutide India'!L42)</x:f>
        <x:v>340.64686811404476</x:v>
      </x:c>
      <x:c r="M9" s="35" t="n">
        <x:f>SUM(Saroglitazar!M42,Usnoflast!M42,Palbociclib!M42,Olaparib!M42,Ozanimod!M42,Letermovir!M42,Rifaximin!M42,Ibrutinib!M42,Cabozantinib!M42,'ZITUVIO Family'!M42,BEIZRAY!M42,'Synthon 505b2'!M42,NUFYMCO!M42,'FYB206 Pembro'!M42,'RK Pharma Asset'!M42,LiqMeds!M42,'Sentynl Orphans'!M42,ROLVEDON!M42,'Zylidac BOT-BAL'!M42,Tishtha!M42,'Semaglutide India'!M42)</x:f>
        <x:v>350.2632293224166</x:v>
      </x:c>
      <x:c r="N9" s="4"/>
      <x:c r="O9"/>
      <x:c r="P9"/>
      <x:c r="Q9"/>
      <x:c r="R9"/>
      <x:c r="S9"/>
      <x:c r="T9"/>
    </x:row>
    <x:row r="10">
      <x:c r="A10" s="8" t="str">
        <x:v>Total reported revenue</x:v>
      </x:c>
      <x:c r="B10" s="8" t="str">
        <x:v>INRm</x:v>
      </x:c>
      <x:c r="C10" s="8"/>
      <x:c r="D10" s="37" t="n">
        <x:f>SUM(Saroglitazar!D43,Usnoflast!D43,Palbociclib!D43,Olaparib!D43,Ozanimod!D43,Letermovir!D43,Rifaximin!D43,Ibrutinib!D43,Cabozantinib!D43,'ZITUVIO Family'!D43,BEIZRAY!D43,'Synthon 505b2'!D43,NUFYMCO!D43,'FYB206 Pembro'!D43,'RK Pharma Asset'!D43,LiqMeds!D43,'Sentynl Orphans'!D43,ROLVEDON!D43,'Zylidac BOT-BAL'!D43,Tishtha!D43,'Semaglutide India'!D43)</x:f>
        <x:v>9752.09</x:v>
      </x:c>
      <x:c r="E10" s="37" t="n">
        <x:f>SUM(Saroglitazar!E43,Usnoflast!E43,Palbociclib!E43,Olaparib!E43,Ozanimod!E43,Letermovir!E43,Rifaximin!E43,Ibrutinib!E43,Cabozantinib!E43,'ZITUVIO Family'!E43,BEIZRAY!E43,'Synthon 505b2'!E43,NUFYMCO!E43,'FYB206 Pembro'!E43,'RK Pharma Asset'!E43,LiqMeds!E43,'Sentynl Orphans'!E43,ROLVEDON!E43,'Zylidac BOT-BAL'!E43,Tishtha!E43,'Semaglutide India'!E43)</x:f>
        <x:v>20835.74</x:v>
      </x:c>
      <x:c r="F10" s="37" t="n">
        <x:f>SUM(Saroglitazar!F43,Usnoflast!F43,Palbociclib!F43,Olaparib!F43,Ozanimod!F43,Letermovir!F43,Rifaximin!F43,Ibrutinib!F43,Cabozantinib!F43,'ZITUVIO Family'!F43,BEIZRAY!F43,'Synthon 505b2'!F43,NUFYMCO!F43,'FYB206 Pembro'!F43,'RK Pharma Asset'!F43,LiqMeds!F43,'Sentynl Orphans'!F43,ROLVEDON!F43,'Zylidac BOT-BAL'!F43,Tishtha!F43,'Semaglutide India'!F43)</x:f>
        <x:v>49167</x:v>
      </x:c>
      <x:c r="G10" s="37" t="n">
        <x:f>SUM(Saroglitazar!G43,Usnoflast!G43,Palbociclib!G43,Olaparib!G43,Ozanimod!G43,Letermovir!G43,Rifaximin!G43,Ibrutinib!G43,Cabozantinib!G43,'ZITUVIO Family'!G43,BEIZRAY!G43,'Synthon 505b2'!G43,NUFYMCO!G43,'FYB206 Pembro'!G43,'RK Pharma Asset'!G43,LiqMeds!G43,'Sentynl Orphans'!G43,ROLVEDON!G43,'Zylidac BOT-BAL'!G43,Tishtha!G43,'Semaglutide India'!G43)</x:f>
        <x:v>63161.045999999995</x:v>
      </x:c>
      <x:c r="H10" s="37" t="n">
        <x:f>SUM(Saroglitazar!H43,Usnoflast!H43,Palbociclib!H43,Olaparib!H43,Ozanimod!H43,Letermovir!H43,Rifaximin!H43,Ibrutinib!H43,Cabozantinib!H43,'ZITUVIO Family'!H43,BEIZRAY!H43,'Synthon 505b2'!H43,NUFYMCO!H43,'FYB206 Pembro'!H43,'RK Pharma Asset'!H43,LiqMeds!H43,'Sentynl Orphans'!H43,ROLVEDON!H43,'Zylidac BOT-BAL'!H43,Tishtha!H43,'Semaglutide India'!H43)</x:f>
        <x:v>100784.62580000001</x:v>
      </x:c>
      <x:c r="I10" s="37" t="n">
        <x:f>SUM(Saroglitazar!I43,Usnoflast!I43,Palbociclib!I43,Olaparib!I43,Ozanimod!I43,Letermovir!I43,Rifaximin!I43,Ibrutinib!I43,Cabozantinib!I43,'ZITUVIO Family'!I43,BEIZRAY!I43,'Synthon 505b2'!I43,NUFYMCO!I43,'FYB206 Pembro'!I43,'RK Pharma Asset'!I43,LiqMeds!I43,'Sentynl Orphans'!I43,ROLVEDON!I43,'Zylidac BOT-BAL'!I43,Tishtha!I43,'Semaglutide India'!I43)</x:f>
        <x:v>111882.09920000003</x:v>
      </x:c>
      <x:c r="J10" s="37" t="n">
        <x:f>SUM(Saroglitazar!J43,Usnoflast!J43,Palbociclib!J43,Olaparib!J43,Ozanimod!J43,Letermovir!J43,Rifaximin!J43,Ibrutinib!J43,Cabozantinib!J43,'ZITUVIO Family'!J43,BEIZRAY!J43,'Synthon 505b2'!J43,NUFYMCO!J43,'FYB206 Pembro'!J43,'RK Pharma Asset'!J43,LiqMeds!J43,'Sentynl Orphans'!J43,ROLVEDON!J43,'Zylidac BOT-BAL'!J43,Tishtha!J43,'Semaglutide India'!J43)</x:f>
        <x:v>121904.78748625684</x:v>
      </x:c>
      <x:c r="K10" s="37" t="n">
        <x:f>SUM(Saroglitazar!K43,Usnoflast!K43,Palbociclib!K43,Olaparib!K43,Ozanimod!K43,Letermovir!K43,Rifaximin!K43,Ibrutinib!K43,Cabozantinib!K43,'ZITUVIO Family'!K43,BEIZRAY!K43,'Synthon 505b2'!K43,NUFYMCO!K43,'FYB206 Pembro'!K43,'RK Pharma Asset'!K43,LiqMeds!K43,'Sentynl Orphans'!K43,ROLVEDON!K43,'Zylidac BOT-BAL'!K43,Tishtha!K43,'Semaglutide India'!K43)</x:f>
        <x:v>139792.0337373579</x:v>
      </x:c>
      <x:c r="L10" s="37" t="n">
        <x:f>SUM(Saroglitazar!L43,Usnoflast!L43,Palbociclib!L43,Olaparib!L43,Ozanimod!L43,Letermovir!L43,Rifaximin!L43,Ibrutinib!L43,Cabozantinib!L43,'ZITUVIO Family'!L43,BEIZRAY!L43,'Synthon 505b2'!L43,NUFYMCO!L43,'FYB206 Pembro'!L43,'RK Pharma Asset'!L43,LiqMeds!L43,'Sentynl Orphans'!L43,ROLVEDON!L43,'Zylidac BOT-BAL'!L43,Tishtha!L43,'Semaglutide India'!L43)</x:f>
        <x:v>153871.6035479428</x:v>
      </x:c>
      <x:c r="M10" s="37" t="n">
        <x:f>SUM(Saroglitazar!M43,Usnoflast!M43,Palbociclib!M43,Olaparib!M43,Ozanimod!M43,Letermovir!M43,Rifaximin!M43,Ibrutinib!M43,Cabozantinib!M43,'ZITUVIO Family'!M43,BEIZRAY!M43,'Synthon 505b2'!M43,NUFYMCO!M43,'FYB206 Pembro'!M43,'RK Pharma Asset'!M43,LiqMeds!M43,'Sentynl Orphans'!M43,ROLVEDON!M43,'Zylidac BOT-BAL'!M43,Tishtha!M43,'Semaglutide India'!M43)</x:f>
        <x:v>166132.3243194717</x:v>
      </x:c>
      <x:c r="N10" s="4"/>
      <x:c r="O10"/>
      <x:c r="P10"/>
      <x:c r="Q10"/>
      <x:c r="R10"/>
      <x:c r="S10"/>
      <x:c r="T10"/>
    </x:row>
    <x:row r="11">
      <x:c r="A11" s="13" t="str">
        <x:v>Total risk-adjusted revenue</x:v>
      </x:c>
      <x:c r="B11" s="13" t="str">
        <x:v>INRm</x:v>
      </x:c>
      <x:c r="C11" s="13"/>
      <x:c r="D11" s="38" t="n">
        <x:f>SUM(Saroglitazar!D44,Usnoflast!D44,Palbociclib!D44,Olaparib!D44,Ozanimod!D44,Letermovir!D44,Rifaximin!D44,Ibrutinib!D44,Cabozantinib!D44,'ZITUVIO Family'!D44,BEIZRAY!D44,'Synthon 505b2'!D44,NUFYMCO!D44,'FYB206 Pembro'!D44,'RK Pharma Asset'!D44,LiqMeds!D44,'Sentynl Orphans'!D44,ROLVEDON!D44,'Zylidac BOT-BAL'!D44,Tishtha!D44,'Semaglutide India'!D44)</x:f>
        <x:v>9752.09</x:v>
      </x:c>
      <x:c r="E11" s="38" t="n">
        <x:f>SUM(Saroglitazar!E44,Usnoflast!E44,Palbociclib!E44,Olaparib!E44,Ozanimod!E44,Letermovir!E44,Rifaximin!E44,Ibrutinib!E44,Cabozantinib!E44,'ZITUVIO Family'!E44,BEIZRAY!E44,'Synthon 505b2'!E44,NUFYMCO!E44,'FYB206 Pembro'!E44,'RK Pharma Asset'!E44,LiqMeds!E44,'Sentynl Orphans'!E44,ROLVEDON!E44,'Zylidac BOT-BAL'!E44,Tishtha!E44,'Semaglutide India'!E44)</x:f>
        <x:v>20835.74</x:v>
      </x:c>
      <x:c r="F11" s="38" t="n">
        <x:f>SUM(Saroglitazar!F44,Usnoflast!F44,Palbociclib!F44,Olaparib!F44,Ozanimod!F44,Letermovir!F44,Rifaximin!F44,Ibrutinib!F44,Cabozantinib!F44,'ZITUVIO Family'!F44,BEIZRAY!F44,'Synthon 505b2'!F44,NUFYMCO!F44,'FYB206 Pembro'!F44,'RK Pharma Asset'!F44,LiqMeds!F44,'Sentynl Orphans'!F44,ROLVEDON!F44,'Zylidac BOT-BAL'!F44,Tishtha!F44,'Semaglutide India'!F44)</x:f>
        <x:v>45515.25</x:v>
      </x:c>
      <x:c r="G11" s="38" t="n">
        <x:f>SUM(Saroglitazar!G44,Usnoflast!G44,Palbociclib!G44,Olaparib!G44,Ozanimod!G44,Letermovir!G44,Rifaximin!G44,Ibrutinib!G44,Cabozantinib!G44,'ZITUVIO Family'!G44,BEIZRAY!G44,'Synthon 505b2'!G44,NUFYMCO!G44,'FYB206 Pembro'!G44,'RK Pharma Asset'!G44,LiqMeds!G44,'Sentynl Orphans'!G44,ROLVEDON!G44,'Zylidac BOT-BAL'!G44,Tishtha!G44,'Semaglutide India'!G44)</x:f>
        <x:v>58082.6575</x:v>
      </x:c>
      <x:c r="H11" s="38" t="n">
        <x:f>SUM(Saroglitazar!H44,Usnoflast!H44,Palbociclib!H44,Olaparib!H44,Ozanimod!H44,Letermovir!H44,Rifaximin!H44,Ibrutinib!H44,Cabozantinib!H44,'ZITUVIO Family'!H44,BEIZRAY!H44,'Synthon 505b2'!H44,NUFYMCO!H44,'FYB206 Pembro'!H44,'RK Pharma Asset'!H44,LiqMeds!H44,'Sentynl Orphans'!H44,ROLVEDON!H44,'Zylidac BOT-BAL'!H44,Tishtha!H44,'Semaglutide India'!H44)</x:f>
        <x:v>77221.38025</x:v>
      </x:c>
      <x:c r="I11" s="38" t="n">
        <x:f>SUM(Saroglitazar!I44,Usnoflast!I44,Palbociclib!I44,Olaparib!I44,Ozanimod!I44,Letermovir!I44,Rifaximin!I44,Ibrutinib!I44,Cabozantinib!I44,'ZITUVIO Family'!I44,BEIZRAY!I44,'Synthon 505b2'!I44,NUFYMCO!I44,'FYB206 Pembro'!I44,'RK Pharma Asset'!I44,LiqMeds!I44,'Sentynl Orphans'!I44,ROLVEDON!I44,'Zylidac BOT-BAL'!I44,Tishtha!I44,'Semaglutide India'!I44)</x:f>
        <x:v>86390.76248</x:v>
      </x:c>
      <x:c r="J11" s="38" t="n">
        <x:f>SUM(Saroglitazar!J44,Usnoflast!J44,Palbociclib!J44,Olaparib!J44,Ozanimod!J44,Letermovir!J44,Rifaximin!J44,Ibrutinib!J44,Cabozantinib!J44,'ZITUVIO Family'!J44,BEIZRAY!J44,'Synthon 505b2'!J44,NUFYMCO!J44,'FYB206 Pembro'!J44,'RK Pharma Asset'!J44,LiqMeds!J44,'Sentynl Orphans'!J44,ROLVEDON!J44,'Zylidac BOT-BAL'!J44,Tishtha!J44,'Semaglutide India'!J44)</x:f>
        <x:v>93509.58194156422</x:v>
      </x:c>
      <x:c r="K11" s="38" t="n">
        <x:f>SUM(Saroglitazar!K44,Usnoflast!K44,Palbociclib!K44,Olaparib!K44,Ozanimod!K44,Letermovir!K44,Rifaximin!K44,Ibrutinib!K44,Cabozantinib!K44,'ZITUVIO Family'!K44,BEIZRAY!K44,'Synthon 505b2'!K44,NUFYMCO!K44,'FYB206 Pembro'!K44,'RK Pharma Asset'!K44,LiqMeds!K44,'Sentynl Orphans'!K44,ROLVEDON!K44,'Zylidac BOT-BAL'!K44,Tishtha!K44,'Semaglutide India'!K44)</x:f>
        <x:v>100277.25343433948</x:v>
      </x:c>
      <x:c r="L11" s="38" t="n">
        <x:f>SUM(Saroglitazar!L44,Usnoflast!L44,Palbociclib!L44,Olaparib!L44,Ozanimod!L44,Letermovir!L44,Rifaximin!L44,Ibrutinib!L44,Cabozantinib!L44,'ZITUVIO Family'!L44,BEIZRAY!L44,'Synthon 505b2'!L44,NUFYMCO!L44,'FYB206 Pembro'!L44,'RK Pharma Asset'!L44,LiqMeds!L44,'Sentynl Orphans'!L44,ROLVEDON!L44,'Zylidac BOT-BAL'!L44,Tishtha!L44,'Semaglutide India'!L44)</x:f>
        <x:v>103945.31936698571</x:v>
      </x:c>
      <x:c r="M11" s="38" t="n">
        <x:f>SUM(Saroglitazar!M44,Usnoflast!M44,Palbociclib!M44,Olaparib!M44,Ozanimod!M44,Letermovir!M44,Rifaximin!M44,Ibrutinib!M44,Cabozantinib!M44,'ZITUVIO Family'!M44,BEIZRAY!M44,'Synthon 505b2'!M44,NUFYMCO!M44,'FYB206 Pembro'!M44,'RK Pharma Asset'!M44,LiqMeds!M44,'Sentynl Orphans'!M44,ROLVEDON!M44,'Zylidac BOT-BAL'!M44,Tishtha!M44,'Semaglutide India'!M44)</x:f>
        <x:v>106532.05179986791</x:v>
      </x:c>
      <x:c r="N11" s="4"/>
      <x:c r="O11"/>
      <x:c r="P11"/>
      <x:c r="Q11"/>
      <x:c r="R11"/>
      <x:c r="S11"/>
      <x:c r="T11"/>
    </x:row>
    <x:row r="12">
      <x:c r="A12" s="4"/>
      <x:c r="B12" s="4"/>
      <x:c r="C12" s="4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4"/>
      <x:c r="O12"/>
      <x:c r="P12"/>
      <x:c r="Q12"/>
      <x:c r="R12"/>
      <x:c r="S12"/>
      <x:c r="T12"/>
    </x:row>
    <x:row r="13" ht="17" customHeight="1">
      <x:c r="A13" s="7" t="str">
        <x:v>Risk-adjusted revenue by category</x:v>
      </x:c>
      <x:c r="B13" s="7"/>
      <x:c r="C13" s="7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4"/>
      <x:c r="O13"/>
      <x:c r="P13"/>
      <x:c r="Q13"/>
      <x:c r="R13"/>
      <x:c r="S13"/>
      <x:c r="T13"/>
    </x:row>
    <x:row r="14" ht="17" customHeight="1">
      <x:c r="A14" s="7" t="str">
        <x:v>Category</x:v>
      </x:c>
      <x:c r="B14" s="7"/>
      <x:c r="C14" s="7"/>
      <x:c r="D14" s="36" t="str">
        <x:v>FY26A</x:v>
      </x:c>
      <x:c r="E14" s="36" t="str">
        <x:v>FY27E</x:v>
      </x:c>
      <x:c r="F14" s="36" t="str">
        <x:v>FY28E</x:v>
      </x:c>
      <x:c r="G14" s="36" t="str">
        <x:v>FY29E</x:v>
      </x:c>
      <x:c r="H14" s="36" t="str">
        <x:v>FY30E</x:v>
      </x:c>
      <x:c r="I14" s="36" t="str">
        <x:v>FY31E</x:v>
      </x:c>
      <x:c r="J14" s="36" t="str">
        <x:v>FY32E</x:v>
      </x:c>
      <x:c r="K14" s="36" t="str">
        <x:v>FY33E</x:v>
      </x:c>
      <x:c r="L14" s="36" t="str">
        <x:v>FY34E</x:v>
      </x:c>
      <x:c r="M14" s="36" t="str">
        <x:v>FY35E</x:v>
      </x:c>
      <x:c r="N14" s="4"/>
      <x:c r="O14"/>
      <x:c r="P14"/>
      <x:c r="Q14"/>
      <x:c r="R14"/>
      <x:c r="S14"/>
      <x:c r="T14"/>
    </x:row>
    <x:row r="15">
      <x:c r="A15" s="4" t="str">
        <x:v>NCE / innovation</x:v>
      </x:c>
      <x:c r="B15" s="4"/>
      <x:c r="C15" s="4"/>
      <x:c r="D15" s="35" t="n">
        <x:f>SUM(Saroglitazar!D39,Usnoflast!D39)</x:f>
        <x:v>0</x:v>
      </x:c>
      <x:c r="E15" s="35" t="n">
        <x:f>SUM(Saroglitazar!E39,Usnoflast!E39)</x:f>
        <x:v>0</x:v>
      </x:c>
      <x:c r="F15" s="35" t="n">
        <x:f>SUM(Saroglitazar!F39,Usnoflast!F39)</x:f>
        <x:v>17</x:v>
      </x:c>
      <x:c r="G15" s="35" t="n">
        <x:f>SUM(Saroglitazar!G39,Usnoflast!G39)</x:f>
        <x:v>59.5</x:v>
      </x:c>
      <x:c r="H15" s="35" t="n">
        <x:f>SUM(Saroglitazar!H39,Usnoflast!H39)</x:f>
        <x:v>158.5</x:v>
      </x:c>
      <x:c r="I15" s="35" t="n">
        <x:f>SUM(Saroglitazar!I39,Usnoflast!I39)</x:f>
        <x:v>188.5</x:v>
      </x:c>
      <x:c r="J15" s="35" t="n">
        <x:f>SUM(Saroglitazar!J39,Usnoflast!J39)</x:f>
        <x:v>220.32209511800212</x:v>
      </x:c>
      <x:c r="K15" s="35" t="n">
        <x:f>SUM(Saroglitazar!K39,Usnoflast!K39)</x:f>
        <x:v>276.2593343433948</x:v>
      </x:c>
      <x:c r="L15" s="35" t="n">
        <x:f>SUM(Saroglitazar!L39,Usnoflast!L39)</x:f>
        <x:v>328.4813047743696</x:v>
      </x:c>
      <x:c r="M15" s="35" t="n">
        <x:f>SUM(Saroglitazar!M39,Usnoflast!M39)</x:f>
        <x:v>369.08569115257626</x:v>
      </x:c>
      <x:c r="N15" s="4"/>
      <x:c r="O15"/>
      <x:c r="P15"/>
      <x:c r="Q15"/>
      <x:c r="R15"/>
      <x:c r="S15"/>
      <x:c r="T15"/>
    </x:row>
    <x:row r="16">
      <x:c r="A16" s="4" t="str">
        <x:v>Paragraph IV / complex generic</x:v>
      </x:c>
      <x:c r="B16" s="4"/>
      <x:c r="C16" s="4"/>
      <x:c r="D16" s="35" t="n">
        <x:f>SUM(Palbociclib!D39,Olaparib!D39,Ozanimod!D39,Letermovir!D39,Rifaximin!D39,Ibrutinib!D39,Cabozantinib!D39)</x:f>
        <x:v>0</x:v>
      </x:c>
      <x:c r="E16" s="35" t="n">
        <x:f>SUM(Palbociclib!E39,Olaparib!E39,Ozanimod!E39,Letermovir!E39,Rifaximin!E39,Ibrutinib!E39,Cabozantinib!E39)</x:f>
        <x:v>0</x:v>
      </x:c>
      <x:c r="F16" s="35" t="n">
        <x:f>SUM(Palbociclib!F39,Olaparib!F39,Ozanimod!F39,Letermovir!F39,Rifaximin!F39,Ibrutinib!F39,Cabozantinib!F39)</x:f>
        <x:v>147.675</x:v>
      </x:c>
      <x:c r="G16" s="35" t="n">
        <x:f>SUM(Palbociclib!G39,Olaparib!G39,Ozanimod!G39,Letermovir!G39,Rifaximin!G39,Ibrutinib!G39,Cabozantinib!G39)</x:f>
        <x:v>130.090625</x:v>
      </x:c>
      <x:c r="H16" s="35" t="n">
        <x:f>SUM(Palbociclib!H39,Olaparib!H39,Ozanimod!H39,Letermovir!H39,Rifaximin!H39,Ibrutinib!H39,Cabozantinib!H39)</x:f>
        <x:v>155.017875</x:v>
      </x:c>
      <x:c r="I16" s="35" t="n">
        <x:f>SUM(Palbociclib!I39,Olaparib!I39,Ozanimod!I39,Letermovir!I39,Rifaximin!I39,Ibrutinib!I39,Cabozantinib!I39)</x:f>
        <x:v>140.9131925</x:v>
      </x:c>
      <x:c r="J16" s="35" t="n">
        <x:f>SUM(Palbociclib!J39,Olaparib!J39,Ozanimod!J39,Letermovir!J39,Rifaximin!J39,Ibrutinib!J39,Cabozantinib!J39)</x:f>
        <x:v>117.35954000000001</x:v>
      </x:c>
      <x:c r="K16" s="35" t="n">
        <x:f>SUM(Palbociclib!K39,Olaparib!K39,Ozanimod!K39,Letermovir!K39,Rifaximin!K39,Ibrutinib!K39,Cabozantinib!K39)</x:f>
        <x:v>87.7232</x:v>
      </x:c>
      <x:c r="L16" s="35" t="n">
        <x:f>SUM(Palbociclib!L39,Olaparib!L39,Ozanimod!L39,Letermovir!L39,Rifaximin!L39,Ibrutinib!L39,Cabozantinib!L39)</x:f>
        <x:v>62.26544</x:v>
      </x:c>
      <x:c r="M16" s="35" t="n">
        <x:f>SUM(Palbociclib!M39,Olaparib!M39,Ozanimod!M39,Letermovir!M39,Rifaximin!M39,Ibrutinib!M39,Cabozantinib!M39)</x:f>
        <x:v>45.49533000000001</x:v>
      </x:c>
      <x:c r="N16" s="4"/>
      <x:c r="O16"/>
      <x:c r="P16"/>
      <x:c r="Q16"/>
      <x:c r="R16"/>
      <x:c r="S16"/>
      <x:c r="T16"/>
    </x:row>
    <x:row r="17">
      <x:c r="A17" s="4" t="str">
        <x:v>505(b)(2) / differentiated</x:v>
      </x:c>
      <x:c r="B17" s="4"/>
      <x:c r="C17" s="4"/>
      <x:c r="D17" s="35" t="n">
        <x:f>SUM('ZITUVIO Family'!D39,BEIZRAY!D39,'Synthon 505b2'!D39,'RK Pharma Asset'!D39,LiqMeds!D39)</x:f>
        <x:v>47.825</x:v>
      </x:c>
      <x:c r="E17" s="35" t="n">
        <x:f>SUM('ZITUVIO Family'!E39,BEIZRAY!E39,'Synthon 505b2'!E39,'RK Pharma Asset'!E39,LiqMeds!E39)</x:f>
        <x:v>72.25</x:v>
      </x:c>
      <x:c r="F17" s="35" t="n">
        <x:f>SUM('ZITUVIO Family'!F39,BEIZRAY!F39,'Synthon 505b2'!F39,'RK Pharma Asset'!F39,LiqMeds!F39)</x:f>
        <x:v>107.5</x:v>
      </x:c>
      <x:c r="G17" s="35" t="n">
        <x:f>SUM('ZITUVIO Family'!G39,BEIZRAY!G39,'Synthon 505b2'!G39,'RK Pharma Asset'!G39,LiqMeds!G39)</x:f>
        <x:v>137.892</x:v>
      </x:c>
      <x:c r="H17" s="35" t="n">
        <x:f>SUM('ZITUVIO Family'!H39,BEIZRAY!H39,'Synthon 505b2'!H39,'RK Pharma Asset'!H39,LiqMeds!H39)</x:f>
        <x:v>169.428</x:v>
      </x:c>
      <x:c r="I17" s="35" t="n">
        <x:f>SUM('ZITUVIO Family'!I39,BEIZRAY!I39,'Synthon 505b2'!I39,'RK Pharma Asset'!I39,LiqMeds!I39)</x:f>
        <x:v>172.6735</x:v>
      </x:c>
      <x:c r="J17" s="35" t="n">
        <x:f>SUM('ZITUVIO Family'!J39,BEIZRAY!J39,'Synthon 505b2'!J39,'RK Pharma Asset'!J39,LiqMeds!J39)</x:f>
        <x:v>161.19664999999998</x:v>
      </x:c>
      <x:c r="K17" s="35" t="n">
        <x:f>SUM('ZITUVIO Family'!K39,BEIZRAY!K39,'Synthon 505b2'!K39,'RK Pharma Asset'!K39,LiqMeds!K39)</x:f>
        <x:v>148.336</x:v>
      </x:c>
      <x:c r="L17" s="35" t="n">
        <x:f>SUM('ZITUVIO Family'!L39,BEIZRAY!L39,'Synthon 505b2'!L39,'RK Pharma Asset'!L39,LiqMeds!L39)</x:f>
        <x:v>135.4577</x:v>
      </x:c>
      <x:c r="M17" s="35" t="n">
        <x:f>SUM('ZITUVIO Family'!M39,BEIZRAY!M39,'Synthon 505b2'!M39,'RK Pharma Asset'!M39,LiqMeds!M39)</x:f>
        <x:v>124.01939999999999</x:v>
      </x:c>
      <x:c r="N17" s="4"/>
      <x:c r="O17"/>
      <x:c r="P17"/>
      <x:c r="Q17"/>
      <x:c r="R17"/>
      <x:c r="S17"/>
      <x:c r="T17"/>
    </x:row>
    <x:row r="18">
      <x:c r="A18" s="4" t="str">
        <x:v>Acquired specialty / orphan</x:v>
      </x:c>
      <x:c r="B18" s="4"/>
      <x:c r="C18" s="4"/>
      <x:c r="D18" s="35" t="n">
        <x:f>SUM('Sentynl Orphans'!D39)</x:f>
        <x:v>59.99</x:v>
      </x:c>
      <x:c r="E18" s="35" t="n">
        <x:f>SUM('Sentynl Orphans'!E39)</x:f>
        <x:v>66.21000000000001</x:v>
      </x:c>
      <x:c r="F18" s="35" t="n">
        <x:f>SUM('Sentynl Orphans'!F39)</x:f>
        <x:v>74.22</x:v>
      </x:c>
      <x:c r="G18" s="35" t="n">
        <x:f>SUM('Sentynl Orphans'!G39)</x:f>
        <x:v>85.34</x:v>
      </x:c>
      <x:c r="H18" s="35" t="n">
        <x:f>SUM('Sentynl Orphans'!H39)</x:f>
        <x:v>94.91</x:v>
      </x:c>
      <x:c r="I18" s="35" t="n">
        <x:f>SUM('Sentynl Orphans'!I39)</x:f>
        <x:v>103.96</x:v>
      </x:c>
      <x:c r="J18" s="35" t="n">
        <x:f>SUM('Sentynl Orphans'!J39)</x:f>
        <x:v>112.26</x:v>
      </x:c>
      <x:c r="K18" s="35" t="n">
        <x:f>SUM('Sentynl Orphans'!K39)</x:f>
        <x:v>120.56</x:v>
      </x:c>
      <x:c r="L18" s="35" t="n">
        <x:f>SUM('Sentynl Orphans'!L39)</x:f>
        <x:v>128.86</x:v>
      </x:c>
      <x:c r="M18" s="35" t="n">
        <x:f>SUM('Sentynl Orphans'!M39)</x:f>
        <x:v>137.16</x:v>
      </x:c>
      <x:c r="N18" s="4"/>
      <x:c r="O18"/>
      <x:c r="P18"/>
      <x:c r="Q18"/>
      <x:c r="R18"/>
      <x:c r="S18"/>
      <x:c r="T18"/>
    </x:row>
    <x:row r="19">
      <x:c r="A19" s="4" t="str">
        <x:v>Acquired specialty / oncology supportive care</x:v>
      </x:c>
      <x:c r="B19" s="4"/>
      <x:c r="C19" s="4"/>
      <x:c r="D19" s="35" t="n">
        <x:f>SUM(ROLVEDON!D39)</x:f>
        <x:v>0</x:v>
      </x:c>
      <x:c r="E19" s="35" t="n">
        <x:f>SUM(ROLVEDON!E39)</x:f>
        <x:v>66.12</x:v>
      </x:c>
      <x:c r="F19" s="35" t="n">
        <x:f>SUM(ROLVEDON!F39)</x:f>
        <x:v>78.1</x:v>
      </x:c>
      <x:c r="G19" s="35" t="n">
        <x:f>SUM(ROLVEDON!G39)</x:f>
        <x:v>79.508</x:v>
      </x:c>
      <x:c r="H19" s="35" t="n">
        <x:f>SUM(ROLVEDON!H39)</x:f>
        <x:v>77.112</x:v>
      </x:c>
      <x:c r="I19" s="35" t="n">
        <x:f>SUM(ROLVEDON!I39)</x:f>
        <x:v>74.48</x:v>
      </x:c>
      <x:c r="J19" s="35" t="n">
        <x:f>SUM(ROLVEDON!J39)</x:f>
        <x:v>71.63</x:v>
      </x:c>
      <x:c r="K19" s="35" t="n">
        <x:f>SUM(ROLVEDON!K39)</x:f>
        <x:v>68.57999999999998</x:v>
      </x:c>
      <x:c r="L19" s="35" t="n">
        <x:f>SUM(ROLVEDON!L39)</x:f>
        <x:v>65.348</x:v>
      </x:c>
      <x:c r="M19" s="35" t="n">
        <x:f>SUM(ROLVEDON!M39)</x:f>
        <x:v>61.952</x:v>
      </x:c>
      <x:c r="N19" s="4"/>
      <x:c r="O19"/>
      <x:c r="P19"/>
      <x:c r="Q19"/>
      <x:c r="R19"/>
      <x:c r="S19"/>
      <x:c r="T19"/>
    </x:row>
    <x:row r="20">
      <x:c r="A20" s="4" t="str">
        <x:v>Biologics CDMO / innovation</x:v>
      </x:c>
      <x:c r="B20" s="4"/>
      <x:c r="C20" s="4"/>
      <x:c r="D20" s="35" t="n">
        <x:f>SUM('Zylidac BOT-BAL'!D39)</x:f>
        <x:v>0</x:v>
      </x:c>
      <x:c r="E20" s="35" t="n">
        <x:f>SUM('Zylidac BOT-BAL'!E39)</x:f>
        <x:v>12</x:v>
      </x:c>
      <x:c r="F20" s="35" t="n">
        <x:f>SUM('Zylidac BOT-BAL'!F39)</x:f>
        <x:v>24</x:v>
      </x:c>
      <x:c r="G20" s="35" t="n">
        <x:f>SUM('Zylidac BOT-BAL'!G39)</x:f>
        <x:v>40</x:v>
      </x:c>
      <x:c r="H20" s="35" t="n">
        <x:f>SUM('Zylidac BOT-BAL'!H39)</x:f>
        <x:v>44</x:v>
      </x:c>
      <x:c r="I20" s="35" t="n">
        <x:f>SUM('Zylidac BOT-BAL'!I39)</x:f>
        <x:v>48</x:v>
      </x:c>
      <x:c r="J20" s="35" t="n">
        <x:f>SUM('Zylidac BOT-BAL'!J39)</x:f>
        <x:v>53</x:v>
      </x:c>
      <x:c r="K20" s="35" t="n">
        <x:f>SUM('Zylidac BOT-BAL'!K39)</x:f>
        <x:v>60.599999999999994</x:v>
      </x:c>
      <x:c r="L20" s="35" t="n">
        <x:f>SUM('Zylidac BOT-BAL'!L39)</x:f>
        <x:v>67.4</x:v>
      </x:c>
      <x:c r="M20" s="35" t="n">
        <x:f>SUM('Zylidac BOT-BAL'!M39)</x:f>
        <x:v>75</x:v>
      </x:c>
      <x:c r="N20" s="4"/>
      <x:c r="O20"/>
      <x:c r="P20"/>
      <x:c r="Q20"/>
      <x:c r="R20"/>
      <x:c r="S20"/>
      <x:c r="T20"/>
    </x:row>
    <x:row r="21" ht="17" customHeight="1">
      <x:c r="A21" s="7" t="str">
        <x:v>Asset revenue</x:v>
      </x:c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/>
      <x:c r="P21"/>
      <x:c r="Q21"/>
      <x:c r="R21"/>
      <x:c r="S21"/>
      <x:c r="T21"/>
    </x:row>
    <x:row r="22" ht="17" customHeight="1">
      <x:c r="A22" s="7" t="str">
        <x:v>Asset</x:v>
      </x:c>
      <x:c r="B22" s="7" t="str">
        <x:v>Category</x:v>
      </x:c>
      <x:c r="C22" s="7" t="str">
        <x:v>Geography</x:v>
      </x:c>
      <x:c r="D22" s="7" t="str">
        <x:v>Status / launch</x:v>
      </x:c>
      <x:c r="E22" s="9" t="str">
        <x:v>FY26A</x:v>
      </x:c>
      <x:c r="F22" s="9" t="str">
        <x:v>FY27E</x:v>
      </x:c>
      <x:c r="G22" s="9" t="str">
        <x:v>FY28E</x:v>
      </x:c>
      <x:c r="H22" s="9" t="str">
        <x:v>FY29E</x:v>
      </x:c>
      <x:c r="I22" s="9" t="str">
        <x:v>FY30E</x:v>
      </x:c>
      <x:c r="J22" s="9" t="str">
        <x:v>FY31E</x:v>
      </x:c>
      <x:c r="K22" s="9" t="str">
        <x:v>FY32E</x:v>
      </x:c>
      <x:c r="L22" s="9" t="str">
        <x:v>FY33E</x:v>
      </x:c>
      <x:c r="M22" s="9" t="str">
        <x:v>FY34E</x:v>
      </x:c>
      <x:c r="N22" s="9" t="str">
        <x:v>FY35E</x:v>
      </x:c>
      <x:c r="O22"/>
      <x:c r="P22"/>
      <x:c r="Q22"/>
      <x:c r="R22"/>
      <x:c r="S22"/>
      <x:c r="T22"/>
    </x:row>
    <x:row r="23" ht="27" customHeight="1">
      <x:c r="A23" s="39" t="str">
        <x:f>'Saroglitazar'!B5</x:f>
        <x:v>Saroglitazar | US PBC + MASH</x:v>
      </x:c>
      <x:c r="B23" s="39" t="str">
        <x:f>'Saroglitazar'!B6</x:f>
        <x:v>NCE / innovation</x:v>
      </x:c>
      <x:c r="C23" s="39" t="str">
        <x:f>'Saroglitazar'!B7</x:f>
        <x:v>US</x:v>
      </x:c>
      <x:c r="D23" s="39" t="str">
        <x:f>'Saroglitazar'!B8</x:f>
        <x:v>PBC launch FY28; MASH follows registrational development</x:v>
      </x:c>
      <x:c r="E23" s="35" t="n">
        <x:f>'Saroglitazar'!D38</x:f>
        <x:v>0</x:v>
      </x:c>
      <x:c r="F23" s="35" t="n">
        <x:f>'Saroglitazar'!E38</x:f>
        <x:v>0</x:v>
      </x:c>
      <x:c r="G23" s="35" t="n">
        <x:f>'Saroglitazar'!F38</x:f>
        <x:v>20</x:v>
      </x:c>
      <x:c r="H23" s="35" t="n">
        <x:f>'Saroglitazar'!G38</x:f>
        <x:v>70</x:v>
      </x:c>
      <x:c r="I23" s="35" t="n">
        <x:f>'Saroglitazar'!H38</x:f>
        <x:v>310</x:v>
      </x:c>
      <x:c r="J23" s="35" t="n">
        <x:f>'Saroglitazar'!I38</x:f>
        <x:v>310</x:v>
      </x:c>
      <x:c r="K23" s="35" t="n">
        <x:f>'Saroglitazar'!J38</x:f>
        <x:v>300</x:v>
      </x:c>
      <x:c r="L23" s="35" t="n">
        <x:f>'Saroglitazar'!K38</x:f>
        <x:v>300</x:v>
      </x:c>
      <x:c r="M23" s="35" t="n">
        <x:f>'Saroglitazar'!L38</x:f>
        <x:v>300</x:v>
      </x:c>
      <x:c r="N23" s="35" t="n">
        <x:f>'Saroglitazar'!M38</x:f>
        <x:v>300</x:v>
      </x:c>
      <x:c r="O23"/>
      <x:c r="P23"/>
      <x:c r="Q23"/>
      <x:c r="R23"/>
      <x:c r="S23"/>
      <x:c r="T23"/>
    </x:row>
    <x:row r="24" ht="27" customHeight="1">
      <x:c r="A24" s="39" t="str">
        <x:f>'Usnoflast'!B5</x:f>
        <x:v>Usnoflast | US ALS</x:v>
      </x:c>
      <x:c r="B24" s="39" t="str">
        <x:f>'Usnoflast'!B6</x:f>
        <x:v>NCE / innovation</x:v>
      </x:c>
      <x:c r="C24" s="39" t="str">
        <x:f>'Usnoflast'!B7</x:f>
        <x:v>US</x:v>
      </x:c>
      <x:c r="D24" s="39" t="str">
        <x:f>'Usnoflast'!B8</x:f>
        <x:v>Phase IIb readout CY28; first revenue FY32E</x:v>
      </x:c>
      <x:c r="E24" s="35" t="n">
        <x:f>'Usnoflast'!D38</x:f>
        <x:v>0</x:v>
      </x:c>
      <x:c r="F24" s="35" t="n">
        <x:f>'Usnoflast'!E38</x:f>
        <x:v>0</x:v>
      </x:c>
      <x:c r="G24" s="35" t="n">
        <x:f>'Usnoflast'!F38</x:f>
        <x:v>0</x:v>
      </x:c>
      <x:c r="H24" s="35" t="n">
        <x:f>'Usnoflast'!G38</x:f>
        <x:v>0</x:v>
      </x:c>
      <x:c r="I24" s="35" t="n">
        <x:f>'Usnoflast'!H38</x:f>
        <x:v>0</x:v>
      </x:c>
      <x:c r="J24" s="35" t="n">
        <x:f>'Usnoflast'!I38</x:f>
        <x:v>0</x:v>
      </x:c>
      <x:c r="K24" s="35" t="n">
        <x:f>'Usnoflast'!J38</x:f>
        <x:v>29.288380472008544</x:v>
      </x:c>
      <x:c r="L24" s="35" t="n">
        <x:f>'Usnoflast'!K38</x:f>
        <x:v>181.03733737357922</x:v>
      </x:c>
      <x:c r="M24" s="35" t="n">
        <x:f>'Usnoflast'!L38</x:f>
        <x:v>341.92521909747853</x:v>
      </x:c>
      <x:c r="N24" s="35" t="n">
        <x:f>'Usnoflast'!M38</x:f>
        <x:v>480.3427646103049</x:v>
      </x:c>
      <x:c r="O24"/>
      <x:c r="P24"/>
      <x:c r="Q24"/>
      <x:c r="R24"/>
      <x:c r="S24"/>
      <x:c r="T24"/>
    </x:row>
    <x:row r="25" ht="27" customHeight="1">
      <x:c r="A25" s="39" t="str">
        <x:f>'Palbociclib'!B5</x:f>
        <x:v>Palbociclib | Paragraph IV</x:v>
      </x:c>
      <x:c r="B25" s="39" t="str">
        <x:f>'Palbociclib'!B6</x:f>
        <x:v>Paragraph IV / complex generic</x:v>
      </x:c>
      <x:c r="C25" s="39" t="str">
        <x:f>'Palbociclib'!B7</x:f>
        <x:v>US</x:v>
      </x:c>
      <x:c r="D25" s="39" t="str">
        <x:f>'Palbociclib'!B8</x:f>
        <x:v>Synthon sole first applicant for tablets; modeled launch FY28</x:v>
      </x:c>
      <x:c r="E25" s="35" t="n">
        <x:f>'Palbociclib'!D38</x:f>
        <x:v>0</x:v>
      </x:c>
      <x:c r="F25" s="35" t="n">
        <x:f>'Palbociclib'!E38</x:f>
        <x:v>0</x:v>
      </x:c>
      <x:c r="G25" s="35" t="n">
        <x:f>'Palbociclib'!F38</x:f>
        <x:v>120</x:v>
      </x:c>
      <x:c r="H25" s="35" t="n">
        <x:f>'Palbociclib'!G38</x:f>
        <x:v>70</x:v>
      </x:c>
      <x:c r="I25" s="35" t="n">
        <x:f>'Palbociclib'!H38</x:f>
        <x:v>42</x:v>
      </x:c>
      <x:c r="J25" s="35" t="n">
        <x:f>'Palbociclib'!I38</x:f>
        <x:v>27.000000000000004</x:v>
      </x:c>
      <x:c r="K25" s="35" t="n">
        <x:f>'Palbociclib'!J38</x:f>
        <x:v>18</x:v>
      </x:c>
      <x:c r="L25" s="35" t="n">
        <x:f>'Palbociclib'!K38</x:f>
        <x:v>13</x:v>
      </x:c>
      <x:c r="M25" s="35" t="n">
        <x:f>'Palbociclib'!L38</x:f>
        <x:v>9</x:v>
      </x:c>
      <x:c r="N25" s="35" t="n">
        <x:f>'Palbociclib'!M38</x:f>
        <x:v>6</x:v>
      </x:c>
      <x:c r="O25"/>
      <x:c r="P25"/>
      <x:c r="Q25"/>
      <x:c r="R25"/>
      <x:c r="S25"/>
      <x:c r="T25"/>
    </x:row>
    <x:row r="26" ht="27" customHeight="1">
      <x:c r="A26" s="39" t="str">
        <x:f>'Olaparib'!B5</x:f>
        <x:v>Olaparib | Paragraph IV</x:v>
      </x:c>
      <x:c r="B26" s="39" t="str">
        <x:f>'Olaparib'!B6</x:f>
        <x:v>Paragraph IV / complex generic</x:v>
      </x:c>
      <x:c r="C26" s="39" t="str">
        <x:f>'Olaparib'!B7</x:f>
        <x:v>US</x:v>
      </x:c>
      <x:c r="D26" s="39" t="str">
        <x:f>'Olaparib'!B8</x:f>
        <x:v>Earliest plausible entry Sep-2027; modeled FY28 partial-year launch</x:v>
      </x:c>
      <x:c r="E26" s="35" t="n">
        <x:f>'Olaparib'!D38</x:f>
        <x:v>0</x:v>
      </x:c>
      <x:c r="F26" s="35" t="n">
        <x:f>'Olaparib'!E38</x:f>
        <x:v>0</x:v>
      </x:c>
      <x:c r="G26" s="35" t="n">
        <x:f>'Olaparib'!F38</x:f>
        <x:v>65.25</x:v>
      </x:c>
      <x:c r="H26" s="35" t="n">
        <x:f>'Olaparib'!G38</x:f>
        <x:v>85</x:v>
      </x:c>
      <x:c r="I26" s="35" t="n">
        <x:f>'Olaparib'!H38</x:f>
        <x:v>57.04</x:v>
      </x:c>
      <x:c r="J26" s="35" t="n">
        <x:f>'Olaparib'!I38</x:f>
        <x:v>40.04</x:v>
      </x:c>
      <x:c r="K26" s="35" t="n">
        <x:f>'Olaparib'!J38</x:f>
        <x:v>27.5</x:v>
      </x:c>
      <x:c r="L26" s="35" t="n">
        <x:f>'Olaparib'!K38</x:f>
        <x:v>17.82</x:v>
      </x:c>
      <x:c r="M26" s="35" t="n">
        <x:f>'Olaparib'!L38</x:f>
        <x:v>12.920000000000002</x:v>
      </x:c>
      <x:c r="N26" s="35" t="n">
        <x:f>'Olaparib'!M38</x:f>
        <x:v>8.96</x:v>
      </x:c>
      <x:c r="O26"/>
      <x:c r="P26"/>
      <x:c r="Q26"/>
      <x:c r="R26"/>
      <x:c r="S26"/>
      <x:c r="T26"/>
    </x:row>
    <x:row r="27" ht="27" customHeight="1">
      <x:c r="A27" s="39" t="str">
        <x:f>'Ozanimod'!B5</x:f>
        <x:v>Ozanimod | Synthon Paragraph IV</x:v>
      </x:c>
      <x:c r="B27" s="39" t="str">
        <x:f>'Ozanimod'!B6</x:f>
        <x:v>Paragraph IV / complex generic</x:v>
      </x:c>
      <x:c r="C27" s="39" t="str">
        <x:f>'Ozanimod'!B7</x:f>
        <x:v>US</x:v>
      </x:c>
      <x:c r="D27" s="39" t="str">
        <x:f>'Ozanimod'!B8</x:f>
        <x:v>Partnered with Synthon; modeled launch FY30</x:v>
      </x:c>
      <x:c r="E27" s="35" t="n">
        <x:f>'Ozanimod'!D38</x:f>
        <x:v>0</x:v>
      </x:c>
      <x:c r="F27" s="35" t="n">
        <x:f>'Ozanimod'!E38</x:f>
        <x:v>0</x:v>
      </x:c>
      <x:c r="G27" s="35" t="n">
        <x:f>'Ozanimod'!F38</x:f>
        <x:v>0</x:v>
      </x:c>
      <x:c r="H27" s="35" t="n">
        <x:f>'Ozanimod'!G38</x:f>
        <x:v>0</x:v>
      </x:c>
      <x:c r="I27" s="35" t="n">
        <x:f>'Ozanimod'!H38</x:f>
        <x:v>42.997499999999995</x:v>
      </x:c>
      <x:c r="J27" s="35" t="n">
        <x:f>'Ozanimod'!I38</x:f>
        <x:v>39.6032</x:v>
      </x:c>
      <x:c r="K27" s="35" t="n">
        <x:f>'Ozanimod'!J38</x:f>
        <x:v>26.026000000000003</x:v>
      </x:c>
      <x:c r="L27" s="35" t="n">
        <x:f>'Ozanimod'!K38</x:f>
        <x:v>18.252000000000002</x:v>
      </x:c>
      <x:c r="M27" s="35" t="n">
        <x:f>'Ozanimod'!L38</x:f>
        <x:v>12.636</x:v>
      </x:c>
      <x:c r="N27" s="35" t="n">
        <x:f>'Ozanimod'!M38</x:f>
        <x:v>8.923200000000001</x:v>
      </x:c>
      <x:c r="O27"/>
      <x:c r="P27"/>
      <x:c r="Q27"/>
      <x:c r="R27"/>
      <x:c r="S27"/>
      <x:c r="T27"/>
    </x:row>
    <x:row r="28" ht="27" customHeight="1">
      <x:c r="A28" s="39" t="str">
        <x:f>'Letermovir'!B5</x:f>
        <x:v>Letermovir | Paragraph IV</x:v>
      </x:c>
      <x:c r="B28" s="39" t="str">
        <x:f>'Letermovir'!B6</x:f>
        <x:v>Paragraph IV / complex generic</x:v>
      </x:c>
      <x:c r="C28" s="39" t="str">
        <x:f>'Letermovir'!B7</x:f>
        <x:v>US</x:v>
      </x:c>
      <x:c r="D28" s="39" t="str">
        <x:f>'Letermovir'!B8</x:f>
        <x:v>Transplant anti-infective; modeled launch FY29</x:v>
      </x:c>
      <x:c r="E28" s="35" t="n">
        <x:f>'Letermovir'!D38</x:f>
        <x:v>0</x:v>
      </x:c>
      <x:c r="F28" s="35" t="n">
        <x:f>'Letermovir'!E38</x:f>
        <x:v>0</x:v>
      </x:c>
      <x:c r="G28" s="35" t="n">
        <x:f>'Letermovir'!F38</x:f>
        <x:v>0</x:v>
      </x:c>
      <x:c r="H28" s="35" t="n">
        <x:f>'Letermovir'!G38</x:f>
        <x:v>17.0625</x:v>
      </x:c>
      <x:c r="I28" s="35" t="n">
        <x:f>'Letermovir'!H38</x:f>
        <x:v>24.31</x:v>
      </x:c>
      <x:c r="J28" s="35" t="n">
        <x:f>'Letermovir'!I38</x:f>
        <x:v>18.463250000000002</x:v>
      </x:c>
      <x:c r="K28" s="35" t="n">
        <x:f>'Letermovir'!J38</x:f>
        <x:v>14.1856</x:v>
      </x:c>
      <x:c r="L28" s="35" t="n">
        <x:f>'Letermovir'!K38</x:f>
        <x:v>10.556000000000001</x:v>
      </x:c>
      <x:c r="M28" s="35" t="n">
        <x:f>'Letermovir'!L38</x:f>
        <x:v>7.5816</x:v>
      </x:c>
      <x:c r="N28" s="35" t="n">
        <x:f>'Letermovir'!M38</x:f>
        <x:v>5.525</x:v>
      </x:c>
      <x:c r="O28"/>
      <x:c r="P28"/>
      <x:c r="Q28"/>
      <x:c r="R28"/>
      <x:c r="S28"/>
      <x:c r="T28"/>
    </x:row>
    <x:row r="29" ht="27" customHeight="1">
      <x:c r="A29" s="39" t="str">
        <x:f>'Rifaximin'!B5</x:f>
        <x:v>Rifaximin 550mg | Paragraph IV</x:v>
      </x:c>
      <x:c r="B29" s="39" t="str">
        <x:f>'Rifaximin'!B6</x:f>
        <x:v>Paragraph IV / complex generic</x:v>
      </x:c>
      <x:c r="C29" s="39" t="str">
        <x:f>'Rifaximin'!B7</x:f>
        <x:v>US</x:v>
      </x:c>
      <x:c r="D29" s="39" t="str">
        <x:f>'Rifaximin'!B8</x:f>
        <x:v>Dense patent estate; modeled launch FY30</x:v>
      </x:c>
      <x:c r="E29" s="35" t="n">
        <x:f>'Rifaximin'!D38</x:f>
        <x:v>0</x:v>
      </x:c>
      <x:c r="F29" s="35" t="n">
        <x:f>'Rifaximin'!E38</x:f>
        <x:v>0</x:v>
      </x:c>
      <x:c r="G29" s="35" t="n">
        <x:f>'Rifaximin'!F38</x:f>
        <x:v>0</x:v>
      </x:c>
      <x:c r="H29" s="35" t="n">
        <x:f>'Rifaximin'!G38</x:f>
        <x:v>0</x:v>
      </x:c>
      <x:c r="I29" s="35" t="n">
        <x:f>'Rifaximin'!H38</x:f>
        <x:v>71.28</x:v>
      </x:c>
      <x:c r="J29" s="35" t="n">
        <x:f>'Rifaximin'!I38</x:f>
        <x:v>75.26400000000001</x:v>
      </x:c>
      <x:c r="K29" s="35" t="n">
        <x:f>'Rifaximin'!J38</x:f>
        <x:v>58.96800000000001</x:v>
      </x:c>
      <x:c r="L29" s="35" t="n">
        <x:f>'Rifaximin'!K38</x:f>
        <x:v>43.2</x:v>
      </x:c>
      <x:c r="M29" s="35" t="n">
        <x:f>'Rifaximin'!L38</x:f>
        <x:v>30.360000000000003</x:v>
      </x:c>
      <x:c r="N29" s="35" t="n">
        <x:f>'Rifaximin'!M38</x:f>
        <x:v>23.76</x:v>
      </x:c>
      <x:c r="O29"/>
      <x:c r="P29"/>
      <x:c r="Q29"/>
      <x:c r="R29"/>
      <x:c r="S29"/>
      <x:c r="T29"/>
    </x:row>
    <x:row r="30" ht="27" customHeight="1">
      <x:c r="A30" s="39" t="str">
        <x:f>'Ibrutinib'!B5</x:f>
        <x:v>Ibrutinib | Paragraph IV</x:v>
      </x:c>
      <x:c r="B30" s="39" t="str">
        <x:f>'Ibrutinib'!B6</x:f>
        <x:v>Paragraph IV / complex generic</x:v>
      </x:c>
      <x:c r="C30" s="39" t="str">
        <x:f>'Ibrutinib'!B7</x:f>
        <x:v>US</x:v>
      </x:c>
      <x:c r="D30" s="39" t="str">
        <x:f>'Ibrutinib'!B8</x:f>
        <x:v>Tentative approval / later oncology opportunity; modeled FY31</x:v>
      </x:c>
      <x:c r="E30" s="35" t="n">
        <x:f>'Ibrutinib'!D38</x:f>
        <x:v>0</x:v>
      </x:c>
      <x:c r="F30" s="35" t="n">
        <x:f>'Ibrutinib'!E38</x:f>
        <x:v>0</x:v>
      </x:c>
      <x:c r="G30" s="35" t="n">
        <x:f>'Ibrutinib'!F38</x:f>
        <x:v>0</x:v>
      </x:c>
      <x:c r="H30" s="35" t="n">
        <x:f>'Ibrutinib'!G38</x:f>
        <x:v>0</x:v>
      </x:c>
      <x:c r="I30" s="35" t="n">
        <x:f>'Ibrutinib'!H38</x:f>
        <x:v>0</x:v>
      </x:c>
      <x:c r="J30" s="35" t="n">
        <x:f>'Ibrutinib'!I38</x:f>
        <x:v>29.119999999999997</x:v>
      </x:c>
      <x:c r="K30" s="35" t="n">
        <x:f>'Ibrutinib'!J38</x:f>
        <x:v>32.20000000000001</x:v>
      </x:c>
      <x:c r="L30" s="35" t="n">
        <x:f>'Ibrutinib'!K38</x:f>
        <x:v>22.8</x:v>
      </x:c>
      <x:c r="M30" s="35" t="n">
        <x:f>'Ibrutinib'!L38</x:f>
        <x:v>15.299999999999999</x:v>
      </x:c>
      <x:c r="N30" s="35" t="n">
        <x:f>'Ibrutinib'!M38</x:f>
        <x:v>11.34</x:v>
      </x:c>
      <x:c r="O30"/>
      <x:c r="P30"/>
      <x:c r="Q30"/>
      <x:c r="R30"/>
      <x:c r="S30"/>
      <x:c r="T30"/>
    </x:row>
    <x:row r="31" ht="27" customHeight="1">
      <x:c r="A31" s="39" t="str">
        <x:f>'Cabozantinib'!B5</x:f>
        <x:v>Cabozantinib | Paragraph IV</x:v>
      </x:c>
      <x:c r="B31" s="39" t="str">
        <x:f>'Cabozantinib'!B6</x:f>
        <x:v>Paragraph IV / complex generic</x:v>
      </x:c>
      <x:c r="C31" s="39" t="str">
        <x:f>'Cabozantinib'!B7</x:f>
        <x:v>US</x:v>
      </x:c>
      <x:c r="D31" s="39" t="str">
        <x:f>'Cabozantinib'!B8</x:f>
        <x:v>Later oncology opportunity; modeled FY32</x:v>
      </x:c>
      <x:c r="E31" s="35" t="n">
        <x:f>'Cabozantinib'!D38</x:f>
        <x:v>0</x:v>
      </x:c>
      <x:c r="F31" s="35" t="n">
        <x:f>'Cabozantinib'!E38</x:f>
        <x:v>0</x:v>
      </x:c>
      <x:c r="G31" s="35" t="n">
        <x:f>'Cabozantinib'!F38</x:f>
        <x:v>0</x:v>
      </x:c>
      <x:c r="H31" s="35" t="n">
        <x:f>'Cabozantinib'!G38</x:f>
        <x:v>0</x:v>
      </x:c>
      <x:c r="I31" s="35" t="n">
        <x:f>'Cabozantinib'!H38</x:f>
        <x:v>0</x:v>
      </x:c>
      <x:c r="J31" s="35" t="n">
        <x:f>'Cabozantinib'!I38</x:f>
        <x:v>0</x:v>
      </x:c>
      <x:c r="K31" s="35" t="n">
        <x:f>'Cabozantinib'!J38</x:f>
        <x:v>27.72</x:v>
      </x:c>
      <x:c r="L31" s="35" t="n">
        <x:f>'Cabozantinib'!K38</x:f>
        <x:v>31.185</x:v>
      </x:c>
      <x:c r="M31" s="35" t="n">
        <x:f>'Cabozantinib'!L38</x:f>
        <x:v>24</x:v>
      </x:c>
      <x:c r="N31" s="35" t="n">
        <x:f>'Cabozantinib'!M38</x:f>
        <x:v>17.955000000000002</x:v>
      </x:c>
      <x:c r="O31"/>
      <x:c r="P31"/>
      <x:c r="Q31"/>
      <x:c r="R31"/>
      <x:c r="S31"/>
      <x:c r="T31"/>
    </x:row>
    <x:row r="32" ht="27" customHeight="1">
      <x:c r="A32" s="39" t="str">
        <x:f>'ZITUVIO Family'!B5</x:f>
        <x:v>ZITUVIO / ZITUVIMET / XR</x:v>
      </x:c>
      <x:c r="B32" s="39" t="str">
        <x:f>'ZITUVIO Family'!B6</x:f>
        <x:v>505(b)(2) / differentiated</x:v>
      </x:c>
      <x:c r="C32" s="39" t="str">
        <x:f>'ZITUVIO Family'!B7</x:f>
        <x:v>US</x:v>
      </x:c>
      <x:c r="D32" s="39" t="str">
        <x:f>'ZITUVIO Family'!B8</x:f>
        <x:v>Commercial; existing 505(b)(2) cluster</x:v>
      </x:c>
      <x:c r="E32" s="35" t="n">
        <x:f>'ZITUVIO Family'!D38</x:f>
        <x:v>27.200000000000003</x:v>
      </x:c>
      <x:c r="F32" s="35" t="n">
        <x:f>'ZITUVIO Family'!E38</x:f>
        <x:v>31.35</x:v>
      </x:c>
      <x:c r="G32" s="35" t="n">
        <x:f>'ZITUVIO Family'!F38</x:f>
        <x:v>34</x:v>
      </x:c>
      <x:c r="H32" s="35" t="n">
        <x:f>'ZITUVIO Family'!G38</x:f>
        <x:v>35</x:v>
      </x:c>
      <x:c r="I32" s="35" t="n">
        <x:f>'ZITUVIO Family'!H38</x:f>
        <x:v>35</x:v>
      </x:c>
      <x:c r="J32" s="35" t="n">
        <x:f>'ZITUVIO Family'!I38</x:f>
        <x:v>34</x:v>
      </x:c>
      <x:c r="K32" s="35" t="n">
        <x:f>'ZITUVIO Family'!J38</x:f>
        <x:v>33</x:v>
      </x:c>
      <x:c r="L32" s="35" t="n">
        <x:f>'ZITUVIO Family'!K38</x:f>
        <x:v>32</x:v>
      </x:c>
      <x:c r="M32" s="35" t="n">
        <x:f>'ZITUVIO Family'!L38</x:f>
        <x:v>29.45</x:v>
      </x:c>
      <x:c r="N32" s="35" t="n">
        <x:f>'ZITUVIO Family'!M38</x:f>
        <x:v>27</x:v>
      </x:c>
      <x:c r="O32"/>
      <x:c r="P32"/>
      <x:c r="Q32"/>
      <x:c r="R32"/>
      <x:c r="S32"/>
      <x:c r="T32"/>
    </x:row>
    <x:row r="33" ht="27" customHeight="1">
      <x:c r="A33" s="39" t="str">
        <x:f>'BEIZRAY'!B5</x:f>
        <x:v>BEIZRAY | Albumin-solubilised docetaxel</x:v>
      </x:c>
      <x:c r="B33" s="39" t="str">
        <x:f>'BEIZRAY'!B6</x:f>
        <x:v>505(b)(2) / differentiated</x:v>
      </x:c>
      <x:c r="C33" s="39" t="str">
        <x:f>'BEIZRAY'!B7</x:f>
        <x:v>US</x:v>
      </x:c>
      <x:c r="D33" s="39" t="str">
        <x:f>'BEIZRAY'!B8</x:f>
        <x:v>FDA-approved and launched; uptake slower than expected</x:v>
      </x:c>
      <x:c r="E33" s="35" t="n">
        <x:f>'BEIZRAY'!D38</x:f>
        <x:v>3.3</x:v>
      </x:c>
      <x:c r="F33" s="35" t="n">
        <x:f>'BEIZRAY'!E38</x:f>
        <x:v>17.5</x:v>
      </x:c>
      <x:c r="G33" s="35" t="n">
        <x:f>'BEIZRAY'!F38</x:f>
        <x:v>37.5</x:v>
      </x:c>
      <x:c r="H33" s="35" t="n">
        <x:f>'BEIZRAY'!G38</x:f>
        <x:v>47.5</x:v>
      </x:c>
      <x:c r="I33" s="35" t="n">
        <x:f>'BEIZRAY'!H38</x:f>
        <x:v>55</x:v>
      </x:c>
      <x:c r="J33" s="35" t="n">
        <x:f>'BEIZRAY'!I38</x:f>
        <x:v>45</x:v>
      </x:c>
      <x:c r="K33" s="35" t="n">
        <x:f>'BEIZRAY'!J38</x:f>
        <x:v>35</x:v>
      </x:c>
      <x:c r="L33" s="35" t="n">
        <x:f>'BEIZRAY'!K38</x:f>
        <x:v>25</x:v>
      </x:c>
      <x:c r="M33" s="35" t="n">
        <x:f>'BEIZRAY'!L38</x:f>
        <x:v>18</x:v>
      </x:c>
      <x:c r="N33" s="35" t="n">
        <x:f>'BEIZRAY'!M38</x:f>
        <x:v>12</x:v>
      </x:c>
      <x:c r="O33"/>
      <x:c r="P33"/>
      <x:c r="Q33"/>
      <x:c r="R33"/>
      <x:c r="S33"/>
      <x:c r="T33"/>
    </x:row>
    <x:row r="34" ht="27" customHeight="1">
      <x:c r="A34" s="39" t="str">
        <x:f>'Synthon 505b2'!B5</x:f>
        <x:v>Synthon | Undisclosed 505(b)(2)</x:v>
      </x:c>
      <x:c r="B34" s="39" t="str">
        <x:f>'Synthon 505b2'!B6</x:f>
        <x:v>505(b)(2) / differentiated</x:v>
      </x:c>
      <x:c r="C34" s="39" t="str">
        <x:f>'Synthon 505b2'!B7</x:f>
        <x:v>US</x:v>
      </x:c>
      <x:c r="D34" s="39" t="str">
        <x:f>'Synthon 505b2'!B8</x:f>
        <x:v>Partnered, molecule undisclosed; modeled launch FY30</x:v>
      </x:c>
      <x:c r="E34" s="35" t="n">
        <x:f>'Synthon 505b2'!D38</x:f>
        <x:v>0</x:v>
      </x:c>
      <x:c r="F34" s="35" t="n">
        <x:f>'Synthon 505b2'!E38</x:f>
        <x:v>0</x:v>
      </x:c>
      <x:c r="G34" s="35" t="n">
        <x:f>'Synthon 505b2'!F38</x:f>
        <x:v>0</x:v>
      </x:c>
      <x:c r="H34" s="35" t="n">
        <x:f>'Synthon 505b2'!G38</x:f>
        <x:v>0</x:v>
      </x:c>
      <x:c r="I34" s="35" t="n">
        <x:f>'Synthon 505b2'!H38</x:f>
        <x:v>15.667199999999998</x:v>
      </x:c>
      <x:c r="J34" s="35" t="n">
        <x:f>'Synthon 505b2'!I38</x:f>
        <x:v>28.611</x:v>
      </x:c>
      <x:c r="K34" s="35" t="n">
        <x:f>'Synthon 505b2'!J38</x:f>
        <x:v>27.657299999999996</x:v>
      </x:c>
      <x:c r="L34" s="35" t="n">
        <x:f>'Synthon 505b2'!K38</x:f>
        <x:v>23.936</x:v>
      </x:c>
      <x:c r="M34" s="35" t="n">
        <x:f>'Synthon 505b2'!L38</x:f>
        <x:v>20.553</x:v>
      </x:c>
      <x:c r="N34" s="35" t="n">
        <x:f>'Synthon 505b2'!M38</x:f>
        <x:v>17.85</x:v>
      </x:c>
      <x:c r="O34"/>
      <x:c r="P34"/>
      <x:c r="Q34"/>
      <x:c r="R34"/>
      <x:c r="S34"/>
      <x:c r="T34"/>
    </x:row>
    <x:row r="35" ht="27" customHeight="1">
      <x:c r="A35" s="39" t="str">
        <x:f>'NUFYMCO'!B5</x:f>
        <x:v>NUFYMCO | Ranibizumab biosimilar</x:v>
      </x:c>
      <x:c r="B35" s="39" t="str">
        <x:f>'NUFYMCO'!B6</x:f>
        <x:v>Biosimilar</x:v>
      </x:c>
      <x:c r="C35" s="39" t="str">
        <x:f>'NUFYMCO'!B7</x:f>
        <x:v>US</x:v>
      </x:c>
      <x:c r="D35" s="39" t="str">
        <x:f>'NUFYMCO'!B8</x:f>
        <x:v>FDA-approved interchangeable biosimilar; US launch ramp</x:v>
      </x:c>
      <x:c r="E35" s="35" t="n">
        <x:f>'NUFYMCO'!D38</x:f>
        <x:v>0</x:v>
      </x:c>
      <x:c r="F35" s="35" t="n">
        <x:f>'NUFYMCO'!E38</x:f>
        <x:v>0</x:v>
      </x:c>
      <x:c r="G35" s="35" t="n">
        <x:f>'NUFYMCO'!F38</x:f>
        <x:v>20.25</x:v>
      </x:c>
      <x:c r="H35" s="35" t="n">
        <x:f>'NUFYMCO'!G38</x:f>
        <x:v>48.720000000000006</x:v>
      </x:c>
      <x:c r="I35" s="35" t="n">
        <x:f>'NUFYMCO'!H38</x:f>
        <x:v>64.4</x:v>
      </x:c>
      <x:c r="J35" s="35" t="n">
        <x:f>'NUFYMCO'!I38</x:f>
        <x:v>65.34</x:v>
      </x:c>
      <x:c r="K35" s="35" t="n">
        <x:f>'NUFYMCO'!J38</x:f>
        <x:v>58.905</x:v>
      </x:c>
      <x:c r="L35" s="35" t="n">
        <x:f>'NUFYMCO'!K38</x:f>
        <x:v>48</x:v>
      </x:c>
      <x:c r="M35" s="35" t="n">
        <x:f>'NUFYMCO'!L38</x:f>
        <x:v>38.475</x:v>
      </x:c>
      <x:c r="N35" s="35" t="n">
        <x:f>'NUFYMCO'!M38</x:f>
        <x:v>30.240000000000002</x:v>
      </x:c>
      <x:c r="O35"/>
      <x:c r="P35"/>
      <x:c r="Q35"/>
      <x:c r="R35"/>
      <x:c r="S35"/>
      <x:c r="T35"/>
    </x:row>
    <x:row r="36" ht="27" customHeight="1">
      <x:c r="A36" s="39" t="str">
        <x:f>'FYB206 Pembro'!B5</x:f>
        <x:v>FYB206 | Pembrolizumab biosimilar</x:v>
      </x:c>
      <x:c r="B36" s="39" t="str">
        <x:f>'FYB206 Pembro'!B6</x:f>
        <x:v>Biosimilar</x:v>
      </x:c>
      <x:c r="C36" s="39" t="str">
        <x:f>'FYB206 Pembro'!B7</x:f>
        <x:v>US</x:v>
      </x:c>
      <x:c r="D36" s="39" t="str">
        <x:f>'FYB206 Pembro'!B8</x:f>
        <x:v>Positive PK study; filing path; modeled launch FY31</x:v>
      </x:c>
      <x:c r="E36" s="35" t="n">
        <x:f>'FYB206 Pembro'!D38</x:f>
        <x:v>0</x:v>
      </x:c>
      <x:c r="F36" s="35" t="n">
        <x:f>'FYB206 Pembro'!E38</x:f>
        <x:v>0</x:v>
      </x:c>
      <x:c r="G36" s="35" t="n">
        <x:f>'FYB206 Pembro'!F38</x:f>
        <x:v>0</x:v>
      </x:c>
      <x:c r="H36" s="35" t="n">
        <x:f>'FYB206 Pembro'!G38</x:f>
        <x:v>0</x:v>
      </x:c>
      <x:c r="I36" s="35" t="n">
        <x:f>'FYB206 Pembro'!H38</x:f>
        <x:v>0</x:v>
      </x:c>
      <x:c r="J36" s="35" t="n">
        <x:f>'FYB206 Pembro'!I38</x:f>
        <x:v>75.60000000000001</x:v>
      </x:c>
      <x:c r="K36" s="35" t="n">
        <x:f>'FYB206 Pembro'!J38</x:f>
        <x:v>162</x:v>
      </x:c>
      <x:c r="L36" s="35" t="n">
        <x:f>'FYB206 Pembro'!K38</x:f>
        <x:v>216</x:v>
      </x:c>
      <x:c r="M36" s="35" t="n">
        <x:f>'FYB206 Pembro'!L38</x:f>
        <x:v>216</x:v>
      </x:c>
      <x:c r="N36" s="35" t="n">
        <x:f>'FYB206 Pembro'!M38</x:f>
        <x:v>198</x:v>
      </x:c>
      <x:c r="O36"/>
      <x:c r="P36"/>
      <x:c r="Q36"/>
      <x:c r="R36"/>
      <x:c r="S36"/>
      <x:c r="T36"/>
    </x:row>
    <x:row r="37" ht="27" customHeight="1">
      <x:c r="A37" s="39" t="str">
        <x:f>'RK Pharma Asset'!B5</x:f>
        <x:v>RK Pharma | Undisclosed oncology supportive-care injectable</x:v>
      </x:c>
      <x:c r="B37" s="39" t="str">
        <x:f>'RK Pharma Asset'!B6</x:f>
        <x:v>505(b)(2) / differentiated</x:v>
      </x:c>
      <x:c r="C37" s="39" t="str">
        <x:f>'RK Pharma Asset'!B7</x:f>
        <x:v>US</x:v>
      </x:c>
      <x:c r="D37" s="39" t="str">
        <x:f>'RK Pharma Asset'!B8</x:f>
        <x:v>Molecule not publicly disclosed; NDA filing targeted in 2026; modeled launch FY29</x:v>
      </x:c>
      <x:c r="E37" s="35" t="n">
        <x:f>'RK Pharma Asset'!D38</x:f>
        <x:v>0</x:v>
      </x:c>
      <x:c r="F37" s="35" t="n">
        <x:f>'RK Pharma Asset'!E38</x:f>
        <x:v>0</x:v>
      </x:c>
      <x:c r="G37" s="35" t="n">
        <x:f>'RK Pharma Asset'!F38</x:f>
        <x:v>0</x:v>
      </x:c>
      <x:c r="H37" s="35" t="n">
        <x:f>'RK Pharma Asset'!G38</x:f>
        <x:v>6.82</x:v>
      </x:c>
      <x:c r="I37" s="35" t="n">
        <x:f>'RK Pharma Asset'!H38</x:f>
        <x:v>21.824</x:v>
      </x:c>
      <x:c r="J37" s="35" t="n">
        <x:f>'RK Pharma Asset'!I38</x:f>
        <x:v>27.28</x:v>
      </x:c>
      <x:c r="K37" s="35" t="n">
        <x:f>'RK Pharma Asset'!J38</x:f>
        <x:v>27.28</x:v>
      </x:c>
      <x:c r="L37" s="35" t="n">
        <x:f>'RK Pharma Asset'!K38</x:f>
        <x:v>27.28</x:v>
      </x:c>
      <x:c r="M37" s="35" t="n">
        <x:f>'RK Pharma Asset'!L38</x:f>
        <x:v>24.552000000000003</x:v>
      </x:c>
      <x:c r="N37" s="35" t="n">
        <x:f>'RK Pharma Asset'!M38</x:f>
        <x:v>21.824</x:v>
      </x:c>
      <x:c r="O37"/>
      <x:c r="P37"/>
      <x:c r="Q37"/>
      <x:c r="R37"/>
      <x:c r="S37"/>
      <x:c r="T37"/>
    </x:row>
    <x:row r="38" ht="27" customHeight="1">
      <x:c r="A38" s="39" t="str">
        <x:f>'LiqMeds'!B5</x:f>
        <x:v>LiqMeds | Oral-liquid portfolio</x:v>
      </x:c>
      <x:c r="B38" s="39" t="str">
        <x:f>'LiqMeds'!B6</x:f>
        <x:v>505(b)(2) / differentiated</x:v>
      </x:c>
      <x:c r="C38" s="39" t="str">
        <x:f>'LiqMeds'!B7</x:f>
        <x:v>US</x:v>
      </x:c>
      <x:c r="D38" s="39" t="str">
        <x:f>'LiqMeds'!B8</x:f>
        <x:v>14 filings, 10 approvals, 7 launches disclosed</x:v>
      </x:c>
      <x:c r="E38" s="35" t="n">
        <x:f>'LiqMeds'!D38</x:f>
        <x:v>17.325000000000003</x:v>
      </x:c>
      <x:c r="F38" s="35" t="n">
        <x:f>'LiqMeds'!E38</x:f>
        <x:v>23.400000000000002</x:v>
      </x:c>
      <x:c r="G38" s="35" t="n">
        <x:f>'LiqMeds'!F38</x:f>
        <x:v>36</x:v>
      </x:c>
      <x:c r="H38" s="35" t="n">
        <x:f>'LiqMeds'!G38</x:f>
        <x:v>51.3</x:v>
      </x:c>
      <x:c r="I38" s="35" t="n">
        <x:f>'LiqMeds'!H38</x:f>
        <x:v>58.5</x:v>
      </x:c>
      <x:c r="J38" s="35" t="n">
        <x:f>'LiqMeds'!I38</x:f>
        <x:v>63</x:v>
      </x:c>
      <x:c r="K38" s="35" t="n">
        <x:f>'LiqMeds'!J38</x:f>
        <x:v>63</x:v>
      </x:c>
      <x:c r="L38" s="35" t="n">
        <x:f>'LiqMeds'!K38</x:f>
        <x:v>63</x:v>
      </x:c>
      <x:c r="M38" s="35" t="n">
        <x:f>'LiqMeds'!L38</x:f>
        <x:v>63</x:v>
      </x:c>
      <x:c r="N38" s="35" t="n">
        <x:f>'LiqMeds'!M38</x:f>
        <x:v>63</x:v>
      </x:c>
      <x:c r="O38"/>
      <x:c r="P38"/>
      <x:c r="Q38"/>
      <x:c r="R38"/>
      <x:c r="S38"/>
      <x:c r="T38"/>
    </x:row>
    <x:row r="39" ht="27" customHeight="1">
      <x:c r="A39" s="39" t="str">
        <x:f>'Sentynl Orphans'!B5</x:f>
        <x:v>Sentynl | Combined orphan-drug portfolio</x:v>
      </x:c>
      <x:c r="B39" s="39" t="str">
        <x:f>'Sentynl Orphans'!B6</x:f>
        <x:v>Acquired specialty / orphan</x:v>
      </x:c>
      <x:c r="C39" s="39" t="str">
        <x:f>'Sentynl Orphans'!B7</x:f>
        <x:v>US / select ex-US</x:v>
      </x:c>
      <x:c r="D39" s="39" t="str">
        <x:f>'Sentynl Orphans'!B8</x:f>
        <x:v>Commercial: NULIBRY, ZOKINVY, ZYCUBO</x:v>
      </x:c>
      <x:c r="E39" s="35" t="n">
        <x:f>'Sentynl Orphans'!D38</x:f>
        <x:v>59.99</x:v>
      </x:c>
      <x:c r="F39" s="35" t="n">
        <x:f>'Sentynl Orphans'!E38</x:f>
        <x:v>66.21000000000001</x:v>
      </x:c>
      <x:c r="G39" s="35" t="n">
        <x:f>'Sentynl Orphans'!F38</x:f>
        <x:v>74.22</x:v>
      </x:c>
      <x:c r="H39" s="35" t="n">
        <x:f>'Sentynl Orphans'!G38</x:f>
        <x:v>85.34</x:v>
      </x:c>
      <x:c r="I39" s="35" t="n">
        <x:f>'Sentynl Orphans'!H38</x:f>
        <x:v>94.91</x:v>
      </x:c>
      <x:c r="J39" s="35" t="n">
        <x:f>'Sentynl Orphans'!I38</x:f>
        <x:v>103.96</x:v>
      </x:c>
      <x:c r="K39" s="35" t="n">
        <x:f>'Sentynl Orphans'!J38</x:f>
        <x:v>112.26</x:v>
      </x:c>
      <x:c r="L39" s="35" t="n">
        <x:f>'Sentynl Orphans'!K38</x:f>
        <x:v>120.56</x:v>
      </x:c>
      <x:c r="M39" s="35" t="n">
        <x:f>'Sentynl Orphans'!L38</x:f>
        <x:v>128.86</x:v>
      </x:c>
      <x:c r="N39" s="35" t="n">
        <x:f>'Sentynl Orphans'!M38</x:f>
        <x:v>137.16</x:v>
      </x:c>
      <x:c r="O39"/>
      <x:c r="P39"/>
      <x:c r="Q39"/>
      <x:c r="R39"/>
      <x:c r="S39"/>
      <x:c r="T39"/>
    </x:row>
    <x:row r="40" ht="27" customHeight="1">
      <x:c r="A40" s="39" t="str">
        <x:f>'ROLVEDON'!B5</x:f>
        <x:v>ROLVEDON | Long-acting G-CSF</x:v>
      </x:c>
      <x:c r="B40" s="39" t="str">
        <x:f>'ROLVEDON'!B6</x:f>
        <x:v>Acquired specialty / oncology supportive care</x:v>
      </x:c>
      <x:c r="C40" s="39" t="str">
        <x:f>'ROLVEDON'!B7</x:f>
        <x:v>US</x:v>
      </x:c>
      <x:c r="D40" s="39" t="str">
        <x:f>'ROLVEDON'!B8</x:f>
        <x:v>Commercial; Assertio acquisition; US$15-20m quarterly run-rate guided from Q2FY27</x:v>
      </x:c>
      <x:c r="E40" s="35" t="n">
        <x:f>'ROLVEDON'!D38</x:f>
        <x:v>0</x:v>
      </x:c>
      <x:c r="F40" s="35" t="n">
        <x:f>'ROLVEDON'!E38</x:f>
        <x:v>66.12</x:v>
      </x:c>
      <x:c r="G40" s="35" t="n">
        <x:f>'ROLVEDON'!F38</x:f>
        <x:v>78.1</x:v>
      </x:c>
      <x:c r="H40" s="35" t="n">
        <x:f>'ROLVEDON'!G38</x:f>
        <x:v>79.508</x:v>
      </x:c>
      <x:c r="I40" s="35" t="n">
        <x:f>'ROLVEDON'!H38</x:f>
        <x:v>77.112</x:v>
      </x:c>
      <x:c r="J40" s="35" t="n">
        <x:f>'ROLVEDON'!I38</x:f>
        <x:v>74.48</x:v>
      </x:c>
      <x:c r="K40" s="35" t="n">
        <x:f>'ROLVEDON'!J38</x:f>
        <x:v>71.63</x:v>
      </x:c>
      <x:c r="L40" s="35" t="n">
        <x:f>'ROLVEDON'!K38</x:f>
        <x:v>68.57999999999998</x:v>
      </x:c>
      <x:c r="M40" s="35" t="n">
        <x:f>'ROLVEDON'!L38</x:f>
        <x:v>65.348</x:v>
      </x:c>
      <x:c r="N40" s="35" t="n">
        <x:f>'ROLVEDON'!M38</x:f>
        <x:v>61.952</x:v>
      </x:c>
      <x:c r="O40"/>
      <x:c r="P40"/>
      <x:c r="Q40"/>
      <x:c r="R40"/>
      <x:c r="S40"/>
      <x:c r="T40"/>
    </x:row>
    <x:row r="41" ht="27" customHeight="1">
      <x:c r="A41" s="39" t="str">
        <x:f>'Zylidac BOT-BAL'!B5</x:f>
        <x:v>Zylidac Bio | BOT/BAL CDMO + regional rights</x:v>
      </x:c>
      <x:c r="B41" s="39" t="str">
        <x:f>'Zylidac BOT-BAL'!B6</x:f>
        <x:v>Biologics CDMO / innovation</x:v>
      </x:c>
      <x:c r="C41" s="39" t="str">
        <x:f>'Zylidac BOT-BAL'!B7</x:f>
        <x:v>US manufacturing; India/Sri Lanka rights</x:v>
      </x:c>
      <x:c r="D41" s="39" t="str">
        <x:f>'Zylidac BOT-BAL'!B8</x:f>
        <x:v>Two US facilities acquired; BOT/BAL manufacturing live; regional launch FY32 earliest</x:v>
      </x:c>
      <x:c r="E41" s="35" t="n">
        <x:f>'Zylidac BOT-BAL'!D38</x:f>
        <x:v>0</x:v>
      </x:c>
      <x:c r="F41" s="35" t="n">
        <x:f>'Zylidac BOT-BAL'!E38</x:f>
        <x:v>12</x:v>
      </x:c>
      <x:c r="G41" s="35" t="n">
        <x:f>'Zylidac BOT-BAL'!F38</x:f>
        <x:v>24</x:v>
      </x:c>
      <x:c r="H41" s="35" t="n">
        <x:f>'Zylidac BOT-BAL'!G38</x:f>
        <x:v>40</x:v>
      </x:c>
      <x:c r="I41" s="35" t="n">
        <x:f>'Zylidac BOT-BAL'!H38</x:f>
        <x:v>44</x:v>
      </x:c>
      <x:c r="J41" s="35" t="n">
        <x:f>'Zylidac BOT-BAL'!I38</x:f>
        <x:v>48</x:v>
      </x:c>
      <x:c r="K41" s="35" t="n">
        <x:f>'Zylidac BOT-BAL'!J38</x:f>
        <x:v>57</x:v>
      </x:c>
      <x:c r="L41" s="35" t="n">
        <x:f>'Zylidac BOT-BAL'!K38</x:f>
        <x:v>72.6</x:v>
      </x:c>
      <x:c r="M41" s="35" t="n">
        <x:f>'Zylidac BOT-BAL'!L38</x:f>
        <x:v>87.4</x:v>
      </x:c>
      <x:c r="N41" s="35" t="n">
        <x:f>'Zylidac BOT-BAL'!M38</x:f>
        <x:v>103</x:v>
      </x:c>
      <x:c r="O41"/>
      <x:c r="P41"/>
      <x:c r="Q41"/>
      <x:c r="R41"/>
      <x:c r="S41"/>
      <x:c r="T41"/>
    </x:row>
    <x:row r="42" ht="27" customHeight="1">
      <x:c r="A42" s="39" t="str">
        <x:f>'Tishtha'!B5</x:f>
        <x:v>Tishtha | India nivolumab biosimilar</x:v>
      </x:c>
      <x:c r="B42" s="39" t="str">
        <x:f>'Tishtha'!B6</x:f>
        <x:v>Biosimilar</x:v>
      </x:c>
      <x:c r="C42" s="39" t="str">
        <x:f>'Tishtha'!B7</x:f>
        <x:v>India</x:v>
      </x:c>
      <x:c r="D42" s="39" t="str">
        <x:f>'Tishtha'!B8</x:f>
        <x:v>Commercial launch Jan-2026</x:v>
      </x:c>
      <x:c r="E42" s="35" t="n">
        <x:f>'Tishtha'!D38</x:f>
        <x:v>5.5813953488372094</x:v>
      </x:c>
      <x:c r="F42" s="35" t="n">
        <x:f>'Tishtha'!E38</x:f>
        <x:v>9.971590909090908</x:v>
      </x:c>
      <x:c r="G42" s="35" t="n">
        <x:f>'Tishtha'!F38</x:f>
        <x:v>17.48</x:v>
      </x:c>
      <x:c r="H42" s="35" t="n">
        <x:f>'Tishtha'!G38</x:f>
        <x:v>25.33695652173913</x:v>
      </x:c>
      <x:c r="I42" s="35" t="n">
        <x:f>'Tishtha'!H38</x:f>
        <x:v>29.412765957446812</x:v>
      </x:c>
      <x:c r="J42" s="35" t="n">
        <x:f>'Tishtha'!I38</x:f>
        <x:v>29.53125</x:v>
      </x:c>
      <x:c r="K42" s="35" t="n">
        <x:f>'Tishtha'!J38</x:f>
        <x:v>29.142857142857146</x:v>
      </x:c>
      <x:c r="L42" s="35" t="n">
        <x:f>'Tishtha'!K38</x:f>
        <x:v>28.314</x:v>
      </x:c>
      <x:c r="M42" s="35" t="n">
        <x:f>'Tishtha'!L38</x:f>
        <x:v>27.105882352941173</x:v>
      </x:c>
      <x:c r="N42" s="35" t="n">
        <x:f>'Tishtha'!M38</x:f>
        <x:v>25.575000000000003</x:v>
      </x:c>
      <x:c r="O42"/>
      <x:c r="P42"/>
      <x:c r="Q42"/>
      <x:c r="R42"/>
      <x:c r="S42"/>
      <x:c r="T42"/>
    </x:row>
    <x:row r="43" ht="27" customHeight="1">
      <x:c r="A43" s="40" t="str">
        <x:f>'Semaglutide India'!B5</x:f>
        <x:v>Semaglutide | India cartridge platform</x:v>
      </x:c>
      <x:c r="B43" s="40" t="str">
        <x:f>'Semaglutide India'!B6</x:f>
        <x:v>India differentiated product</x:v>
      </x:c>
      <x:c r="C43" s="40" t="str">
        <x:f>'Semaglutide India'!B7</x:f>
        <x:v>India</x:v>
      </x:c>
      <x:c r="D43" s="40" t="str">
        <x:f>'Semaglutide India'!B8</x:f>
        <x:v>Launched; Zydus own brands plus Lupin and Torrent co-marketing</x:v>
      </x:c>
      <x:c r="E43" s="38" t="n">
        <x:f>'Semaglutide India'!D38</x:f>
        <x:v>0</x:v>
      </x:c>
      <x:c r="F43" s="38" t="n">
        <x:f>'Semaglutide India'!E38</x:f>
        <x:v>10.218181818181819</x:v>
      </x:c>
      <x:c r="G43" s="38" t="n">
        <x:f>'Semaglutide India'!F38</x:f>
        <x:v>19.5</x:v>
      </x:c>
      <x:c r="H43" s="38" t="n">
        <x:f>'Semaglutide India'!G38</x:f>
        <x:v>24.945652173913043</x:v>
      </x:c>
      <x:c r="I43" s="38" t="n">
        <x:f>'Semaglutide India'!H38</x:f>
        <x:v>28.72340425531915</x:v>
      </x:c>
      <x:c r="J43" s="38" t="n">
        <x:f>'Semaglutide India'!I38</x:f>
        <x:v>31.145833333333332</x:v>
      </x:c>
      <x:c r="K43" s="38" t="n">
        <x:f>'Semaglutide India'!J38</x:f>
        <x:v>33.16326530612245</x:v>
      </x:c>
      <x:c r="L43" s="38" t="n">
        <x:f>'Semaglutide India'!K38</x:f>
        <x:v>34.8</x:v>
      </x:c>
      <x:c r="M43" s="38" t="n">
        <x:f>'Semaglutide India'!L38</x:f>
        <x:v>36.07843137254902</x:v>
      </x:c>
      <x:c r="N43" s="38" t="n">
        <x:f>'Semaglutide India'!M38</x:f>
        <x:v>37.01923076923077</x:v>
      </x:c>
      <x:c r="O43"/>
      <x:c r="P43"/>
      <x:c r="Q43"/>
      <x:c r="R43"/>
      <x:c r="S43"/>
      <x:c r="T43"/>
    </x:row>
    <x:row r="44" ht="1" customHeight="1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/>
      <x:c r="P44"/>
      <x:c r="Q44"/>
      <x:c r="R44"/>
      <x:c r="S44"/>
      <x:c r="T44"/>
    </x:row>
    <x:row r="45" ht="1" customHeight="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/>
      <x:c r="P45"/>
      <x:c r="Q45"/>
      <x:c r="R45"/>
      <x:c r="S45"/>
      <x:c r="T45"/>
    </x:row>
    <x:row r="46" ht="1" customHeight="1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/>
      <x:c r="P46"/>
      <x:c r="Q46"/>
      <x:c r="R46"/>
      <x:c r="S46"/>
      <x:c r="T46"/>
    </x:row>
    <x:row r="47" ht="1" customHeight="1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/>
      <x:c r="P47"/>
      <x:c r="Q47"/>
      <x:c r="R47"/>
      <x:c r="S47"/>
      <x:c r="T47"/>
    </x:row>
    <x:row r="48" ht="1" customHeight="1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/>
      <x:c r="P48"/>
      <x:c r="Q48"/>
      <x:c r="R48"/>
      <x:c r="S48"/>
      <x:c r="T48"/>
    </x:row>
    <x:row r="49" ht="1" customHeight="1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/>
      <x:c r="P49"/>
      <x:c r="Q49"/>
      <x:c r="R49"/>
      <x:c r="S49"/>
      <x:c r="T49"/>
    </x:row>
    <x:row r="50" ht="1" customHeight="1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/>
      <x:c r="P50"/>
      <x:c r="Q50"/>
      <x:c r="R50"/>
      <x:c r="S50"/>
      <x:c r="T50"/>
    </x:row>
    <x:row r="51" ht="1" customHeight="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/>
      <x:c r="P51"/>
      <x:c r="Q51"/>
      <x:c r="R51"/>
      <x:c r="S51"/>
      <x:c r="T51"/>
    </x:row>
    <x:row r="52" ht="1" customHeight="1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/>
      <x:c r="P52"/>
      <x:c r="Q52"/>
      <x:c r="R52"/>
      <x:c r="S52"/>
      <x:c r="T52"/>
    </x:row>
    <x:row r="53" ht="1" customHeight="1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/>
      <x:c r="P53"/>
      <x:c r="Q53"/>
      <x:c r="R53"/>
      <x:c r="S53"/>
      <x:c r="T53"/>
    </x:row>
    <x:row r="54" ht="1" customHeight="1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/>
      <x:c r="P54"/>
      <x:c r="Q54"/>
      <x:c r="R54"/>
      <x:c r="S54"/>
      <x:c r="T54"/>
    </x:row>
    <x:row r="55" ht="1" customHeight="1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/>
      <x:c r="P55"/>
      <x:c r="Q55"/>
      <x:c r="R55"/>
      <x:c r="S55"/>
      <x:c r="T55"/>
    </x:row>
    <x:row r="56" ht="1" customHeight="1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/>
      <x:c r="P56"/>
      <x:c r="Q56"/>
      <x:c r="R56"/>
      <x:c r="S56"/>
      <x:c r="T56"/>
    </x:row>
    <x:row r="57" ht="1" customHeight="1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/>
      <x:c r="P57"/>
      <x:c r="Q57"/>
      <x:c r="R57"/>
      <x:c r="S57"/>
      <x:c r="T5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>
      <x:c r="A1" s="6" t="str">
        <x:v>FX assumptions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7" t="str">
        <x:v>INR / US$</x:v>
      </x:c>
      <x:c r="B3" s="7" t="str">
        <x:v>INR per US$</x:v>
      </x:c>
      <x:c r="C3" s="7"/>
      <x:c r="D3" s="9" t="str">
        <x:v>FY26A</x:v>
      </x:c>
      <x:c r="E3" s="9" t="str">
        <x:v>FY27E</x:v>
      </x:c>
      <x:c r="F3" s="9" t="str">
        <x:v>FY28E</x:v>
      </x:c>
      <x:c r="G3" s="9" t="str">
        <x:v>FY29E</x:v>
      </x:c>
      <x:c r="H3" s="9" t="str">
        <x:v>FY30E</x:v>
      </x:c>
      <x:c r="I3" s="9" t="str">
        <x:v>FY31E</x:v>
      </x:c>
      <x:c r="J3" s="9" t="str">
        <x:v>FY32E</x:v>
      </x:c>
      <x:c r="K3" s="9" t="str">
        <x:v>FY33E</x:v>
      </x:c>
      <x:c r="L3" s="9" t="str">
        <x:v>FY34E</x:v>
      </x:c>
      <x:c r="M3" s="9" t="str">
        <x:v>FY35E</x:v>
      </x:c>
    </x:row>
    <x:row r="4">
      <x:c r="A4" s="4" t="str">
        <x:v>INR / US$</x:v>
      </x:c>
      <x:c r="B4" s="4" t="str">
        <x:v>INR per US$</x:v>
      </x:c>
      <x:c r="C4" s="4"/>
      <x:c r="D4" s="42" t="n">
        <x:v>86</x:v>
      </x:c>
      <x:c r="E4" s="42" t="n">
        <x:v>88</x:v>
      </x:c>
      <x:c r="F4" s="42" t="n">
        <x:v>90</x:v>
      </x:c>
      <x:c r="G4" s="42" t="n">
        <x:v>92</x:v>
      </x:c>
      <x:c r="H4" s="42" t="n">
        <x:v>94</x:v>
      </x:c>
      <x:c r="I4" s="42" t="n">
        <x:v>96</x:v>
      </x:c>
      <x:c r="J4" s="42" t="n">
        <x:v>98</x:v>
      </x:c>
      <x:c r="K4" s="42" t="n">
        <x:v>100</x:v>
      </x:c>
      <x:c r="L4" s="42" t="n">
        <x:v>102</x:v>
      </x:c>
      <x:c r="M4" s="42" t="n">
        <x:v>104</x:v>
      </x:c>
    </x:row>
    <x:row r="5" ht="1" customHeight="1">
      <x:c r="A5" s="4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</x:row>
    <x:row r="6" ht="1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</x:row>
    <x:row r="7" ht="1" customHeight="1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</x:row>
    <x:row r="8" ht="1" customHeight="1">
      <x:c r="A8" s="4"/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</x:row>
    <x:row r="9" ht="1" customHeight="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</x:row>
    <x:row r="10" ht="1" customHeight="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</x:row>
    <x:row r="11" ht="1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</x:row>
    <x:row r="12" ht="1" customHeight="1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</x:row>
    <x:row r="13" ht="1" customHeight="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</x:row>
    <x:row r="14" ht="1" customHeight="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</x:row>
    <x:row r="15" ht="1" customHeight="1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</x:row>
    <x:row r="16" ht="1" customHeight="1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</x:row>
    <x:row r="17" ht="1" customHeight="1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</x:row>
    <x:row r="18" ht="1" customHeight="1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</x:row>
    <x:row r="19" ht="1" customHeight="1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</x:row>
    <x:row r="20" ht="1" customHeight="1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</x:row>
    <x:row r="21" ht="1" customHeight="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Saroglitazar | US PBC + MASH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Saroglitazar | US PBC + MASH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NCE / innovation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PBC launch FY28; MASH follows registrational development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PBC access and MASH registrational timing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PBC revenue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20</x:v>
      </x:c>
      <x:c r="G20" s="32" t="n">
        <x:v>70</x:v>
      </x:c>
      <x:c r="H20" s="32" t="n">
        <x:v>135</x:v>
      </x:c>
      <x:c r="I20" s="32" t="n">
        <x:v>185</x:v>
      </x:c>
      <x:c r="J20" s="32" t="n">
        <x:v>230</x:v>
      </x:c>
      <x:c r="K20" s="32" t="n">
        <x:v>260</x:v>
      </x:c>
      <x:c r="L20" s="32" t="n">
        <x:v>280</x:v>
      </x:c>
      <x:c r="M20" s="32" t="n">
        <x:v>290</x:v>
      </x:c>
    </x:row>
    <x:row r="21">
      <x:c r="A21" s="16" t="str">
        <x:v>MASH revenue</x:v>
      </x:c>
      <x:c r="B21" s="16" t="str">
        <x:v>$m</x:v>
      </x:c>
      <x:c r="C21" s="16"/>
      <x:c r="D21" s="32" t="n">
        <x:v>0</x:v>
      </x:c>
      <x:c r="E21" s="32" t="n">
        <x:v>0</x:v>
      </x:c>
      <x:c r="F21" s="32" t="n">
        <x:v>0</x:v>
      </x:c>
      <x:c r="G21" s="32" t="n">
        <x:v>0</x:v>
      </x:c>
      <x:c r="H21" s="32" t="n">
        <x:v>175</x:v>
      </x:c>
      <x:c r="I21" s="32" t="n">
        <x:v>125</x:v>
      </x:c>
      <x:c r="J21" s="32" t="n">
        <x:v>70</x:v>
      </x:c>
      <x:c r="K21" s="32" t="n">
        <x:v>40</x:v>
      </x:c>
      <x:c r="L21" s="32" t="n">
        <x:v>20</x:v>
      </x:c>
      <x:c r="M21" s="32" t="n">
        <x:v>10</x:v>
      </x:c>
    </x:row>
    <x:row r="22">
      <x:c r="A22" s="16" t="str">
        <x:v>Total end-market sales</x:v>
      </x:c>
      <x:c r="B22" s="16" t="str">
        <x:v>$m</x:v>
      </x:c>
      <x:c r="C22" s="16"/>
      <x:c r="D22" s="32" t="n">
        <x:f>D20+D21</x:f>
        <x:v>0</x:v>
      </x:c>
      <x:c r="E22" s="32" t="n">
        <x:f>E20+E21</x:f>
        <x:v>0</x:v>
      </x:c>
      <x:c r="F22" s="32" t="n">
        <x:f>F20+F21</x:f>
        <x:v>20</x:v>
      </x:c>
      <x:c r="G22" s="32" t="n">
        <x:f>G20+G21</x:f>
        <x:v>70</x:v>
      </x:c>
      <x:c r="H22" s="32" t="n">
        <x:f>H20+H21</x:f>
        <x:v>310</x:v>
      </x:c>
      <x:c r="I22" s="32" t="n">
        <x:f>I20+I21</x:f>
        <x:v>310</x:v>
      </x:c>
      <x:c r="J22" s="32" t="n">
        <x:f>J20+J21</x:f>
        <x:v>300</x:v>
      </x:c>
      <x:c r="K22" s="32" t="n">
        <x:f>K20+K21</x:f>
        <x:v>300</x:v>
      </x:c>
      <x:c r="L22" s="32" t="n">
        <x:f>L20+L21</x:f>
        <x:v>300</x:v>
      </x:c>
      <x:c r="M22" s="32" t="n">
        <x:f>M20+M21</x:f>
        <x:v>300</x:v>
      </x:c>
    </x:row>
    <x:row r="23">
      <x:c r="A23" s="16" t="str">
        <x:v>Zydus economics share</x:v>
      </x:c>
      <x:c r="B23" s="16" t="str">
        <x:v>%</x:v>
      </x:c>
      <x:c r="C23" s="16"/>
      <x:c r="D23" s="33" t="n">
        <x:v>1</x:v>
      </x:c>
      <x:c r="E23" s="33" t="n">
        <x:v>1</x:v>
      </x:c>
      <x:c r="F23" s="33" t="n">
        <x:v>1</x:v>
      </x:c>
      <x:c r="G23" s="33" t="n">
        <x:v>1</x:v>
      </x:c>
      <x:c r="H23" s="33" t="n">
        <x:v>1</x:v>
      </x:c>
      <x:c r="I23" s="33" t="n">
        <x:v>1</x:v>
      </x:c>
      <x:c r="J23" s="33" t="n">
        <x:v>1</x:v>
      </x:c>
      <x:c r="K23" s="33" t="n">
        <x:v>1</x:v>
      </x:c>
      <x:c r="L23" s="33" t="n">
        <x:v>1</x:v>
      </x:c>
      <x:c r="M23" s="33" t="n">
        <x:v>1</x:v>
      </x:c>
    </x:row>
    <x:row r="24">
      <x:c r="A24" s="16" t="str">
        <x:v>PBC probability of success</x:v>
      </x:c>
      <x:c r="B24" s="16" t="str">
        <x:v>%</x:v>
      </x:c>
      <x:c r="C24" s="16"/>
      <x:c r="D24" s="33" t="n">
        <x:v>0.85</x:v>
      </x:c>
      <x:c r="E24" s="33" t="n">
        <x:v>0.85</x:v>
      </x:c>
      <x:c r="F24" s="33" t="n">
        <x:v>0.85</x:v>
      </x:c>
      <x:c r="G24" s="33" t="n">
        <x:v>0.85</x:v>
      </x:c>
      <x:c r="H24" s="33" t="n">
        <x:v>0.85</x:v>
      </x:c>
      <x:c r="I24" s="33" t="n">
        <x:v>0.85</x:v>
      </x:c>
      <x:c r="J24" s="33" t="n">
        <x:v>0.85</x:v>
      </x:c>
      <x:c r="K24" s="33" t="n">
        <x:v>0.85</x:v>
      </x:c>
      <x:c r="L24" s="33" t="n">
        <x:v>0.85</x:v>
      </x:c>
      <x:c r="M24" s="33" t="n">
        <x:v>0.85</x:v>
      </x:c>
    </x:row>
    <x:row r="25">
      <x:c r="A25" s="16" t="str">
        <x:v>MASH probability of success</x:v>
      </x:c>
      <x:c r="B25" s="16" t="str">
        <x:v>%</x:v>
      </x:c>
      <x:c r="C25" s="16"/>
      <x:c r="D25" s="33" t="n">
        <x:v>0.25</x:v>
      </x:c>
      <x:c r="E25" s="33" t="n">
        <x:v>0.25</x:v>
      </x:c>
      <x:c r="F25" s="33" t="n">
        <x:v>0.25</x:v>
      </x:c>
      <x:c r="G25" s="33" t="n">
        <x:v>0.25</x:v>
      </x:c>
      <x:c r="H25" s="33" t="n">
        <x:v>0.25</x:v>
      </x:c>
      <x:c r="I25" s="33" t="n">
        <x:v>0.25</x:v>
      </x:c>
      <x:c r="J25" s="33" t="n">
        <x:v>0.25</x:v>
      </x:c>
      <x:c r="K25" s="33" t="n">
        <x:v>0.25</x:v>
      </x:c>
      <x:c r="L25" s="33" t="n">
        <x:v>0.25</x:v>
      </x:c>
      <x:c r="M25" s="33" t="n">
        <x:v>0.25</x:v>
      </x:c>
    </x:row>
    <x:row r="26">
      <x:c r="A26" s="16" t="str">
        <x:v>Contribution margin</x:v>
      </x:c>
      <x:c r="B26" s="16" t="str">
        <x:v>%</x:v>
      </x:c>
      <x:c r="C26" s="16"/>
      <x:c r="D26" s="33" t="n">
        <x:v>0</x:v>
      </x:c>
      <x:c r="E26" s="33" t="n">
        <x:v>0</x:v>
      </x:c>
      <x:c r="F26" s="33" t="n">
        <x:v>0.2</x:v>
      </x:c>
      <x:c r="G26" s="33" t="n">
        <x:v>0.3</x:v>
      </x:c>
      <x:c r="H26" s="33" t="n">
        <x:v>0.35</x:v>
      </x:c>
      <x:c r="I26" s="33" t="n">
        <x:v>0.38</x:v>
      </x:c>
      <x:c r="J26" s="33" t="n">
        <x:v>0.4</x:v>
      </x:c>
      <x:c r="K26" s="33" t="n">
        <x:v>0.4</x:v>
      </x:c>
      <x:c r="L26" s="33" t="n">
        <x:v>0.4</x:v>
      </x:c>
      <x:c r="M26" s="33" t="n">
        <x:v>0.4</x:v>
      </x:c>
    </x:row>
    <x:row r="27">
      <x:c r="A27" s="16" t="str">
        <x:v>Risk-adjusted revenue</x:v>
      </x:c>
      <x:c r="B27" s="16" t="str">
        <x:v>$m</x:v>
      </x:c>
      <x:c r="C27" s="16"/>
      <x:c r="D27" s="32" t="n">
        <x:f>D20*D24+D21*D25</x:f>
        <x:v>0</x:v>
      </x:c>
      <x:c r="E27" s="32" t="n">
        <x:f>E20*E24+E21*E25</x:f>
        <x:v>0</x:v>
      </x:c>
      <x:c r="F27" s="32" t="n">
        <x:f>F20*F24+F21*F25</x:f>
        <x:v>17</x:v>
      </x:c>
      <x:c r="G27" s="32" t="n">
        <x:f>G20*G24+G21*G25</x:f>
        <x:v>59.5</x:v>
      </x:c>
      <x:c r="H27" s="32" t="n">
        <x:f>H20*H24+H21*H25</x:f>
        <x:v>158.5</x:v>
      </x:c>
      <x:c r="I27" s="32" t="n">
        <x:f>I20*I24+I21*I25</x:f>
        <x:v>188.5</x:v>
      </x:c>
      <x:c r="J27" s="32" t="n">
        <x:f>J20*J24+J21*J25</x:f>
        <x:v>213</x:v>
      </x:c>
      <x:c r="K27" s="32" t="n">
        <x:f>K20*K24+K21*K25</x:f>
        <x:v>231</x:v>
      </x:c>
      <x:c r="L27" s="32" t="n">
        <x:f>L20*L24+L21*L25</x:f>
        <x:v>243</x:v>
      </x:c>
      <x:c r="M27" s="32" t="n">
        <x:f>M20*M24+M21*M25</x:f>
        <x:v>249</x:v>
      </x:c>
    </x:row>
    <x:row r="28">
      <x:c r="A28" s="16"/>
      <x:c r="B28" s="16"/>
      <x:c r="C28" s="16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D22</x:f>
        <x:v>0</x:v>
      </x:c>
      <x:c r="E37" s="26" t="n">
        <x:f>E22</x:f>
        <x:v>0</x:v>
      </x:c>
      <x:c r="F37" s="26" t="n">
        <x:f>F22</x:f>
        <x:v>20</x:v>
      </x:c>
      <x:c r="G37" s="26" t="n">
        <x:f>G22</x:f>
        <x:v>70</x:v>
      </x:c>
      <x:c r="H37" s="26" t="n">
        <x:f>H22</x:f>
        <x:v>310</x:v>
      </x:c>
      <x:c r="I37" s="26" t="n">
        <x:f>I22</x:f>
        <x:v>310</x:v>
      </x:c>
      <x:c r="J37" s="26" t="n">
        <x:f>J22</x:f>
        <x:v>300</x:v>
      </x:c>
      <x:c r="K37" s="26" t="n">
        <x:f>K22</x:f>
        <x:v>300</x:v>
      </x:c>
      <x:c r="L37" s="26" t="n">
        <x:f>L22</x:f>
        <x:v>300</x:v>
      </x:c>
      <x:c r="M37" s="26" t="n">
        <x:f>M22</x:f>
        <x:v>300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D22*D23</x:f>
        <x:v>0</x:v>
      </x:c>
      <x:c r="E38" s="29" t="n">
        <x:f>E22*E23</x:f>
        <x:v>0</x:v>
      </x:c>
      <x:c r="F38" s="29" t="n">
        <x:f>F22*F23</x:f>
        <x:v>20</x:v>
      </x:c>
      <x:c r="G38" s="29" t="n">
        <x:f>G22*G23</x:f>
        <x:v>70</x:v>
      </x:c>
      <x:c r="H38" s="29" t="n">
        <x:f>H22*H23</x:f>
        <x:v>310</x:v>
      </x:c>
      <x:c r="I38" s="29" t="n">
        <x:f>I22*I23</x:f>
        <x:v>310</x:v>
      </x:c>
      <x:c r="J38" s="29" t="n">
        <x:f>J22*J23</x:f>
        <x:v>300</x:v>
      </x:c>
      <x:c r="K38" s="29" t="n">
        <x:f>K22*K23</x:f>
        <x:v>300</x:v>
      </x:c>
      <x:c r="L38" s="29" t="n">
        <x:f>L22*L23</x:f>
        <x:v>300</x:v>
      </x:c>
      <x:c r="M38" s="29" t="n">
        <x:f>M22*M23</x:f>
        <x:v>300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D27*D23</x:f>
        <x:v>0</x:v>
      </x:c>
      <x:c r="E39" s="26" t="n">
        <x:f>E27*E23</x:f>
        <x:v>0</x:v>
      </x:c>
      <x:c r="F39" s="26" t="n">
        <x:f>F27*F23</x:f>
        <x:v>17</x:v>
      </x:c>
      <x:c r="G39" s="26" t="n">
        <x:f>G27*G23</x:f>
        <x:v>59.5</x:v>
      </x:c>
      <x:c r="H39" s="26" t="n">
        <x:f>H27*H23</x:f>
        <x:v>158.5</x:v>
      </x:c>
      <x:c r="I39" s="26" t="n">
        <x:f>I27*I23</x:f>
        <x:v>188.5</x:v>
      </x:c>
      <x:c r="J39" s="26" t="n">
        <x:f>J27*J23</x:f>
        <x:v>213</x:v>
      </x:c>
      <x:c r="K39" s="26" t="n">
        <x:f>K27*K23</x:f>
        <x:v>231</x:v>
      </x:c>
      <x:c r="L39" s="26" t="n">
        <x:f>L27*L23</x:f>
        <x:v>243</x:v>
      </x:c>
      <x:c r="M39" s="26" t="n">
        <x:f>M27*M23</x:f>
        <x:v>249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D26</x:f>
        <x:v>0</x:v>
      </x:c>
      <x:c r="E40" s="27" t="n">
        <x:f>E26</x:f>
        <x:v>0</x:v>
      </x:c>
      <x:c r="F40" s="27" t="n">
        <x:f>F26</x:f>
        <x:v>0.2</x:v>
      </x:c>
      <x:c r="G40" s="27" t="n">
        <x:f>G26</x:f>
        <x:v>0.3</x:v>
      </x:c>
      <x:c r="H40" s="27" t="n">
        <x:f>H26</x:f>
        <x:v>0.35</x:v>
      </x:c>
      <x:c r="I40" s="27" t="n">
        <x:f>I26</x:f>
        <x:v>0.38</x:v>
      </x:c>
      <x:c r="J40" s="27" t="n">
        <x:f>J26</x:f>
        <x:v>0.4</x:v>
      </x:c>
      <x:c r="K40" s="27" t="n">
        <x:f>K26</x:f>
        <x:v>0.4</x:v>
      </x:c>
      <x:c r="L40" s="27" t="n">
        <x:f>L26</x:f>
        <x:v>0.4</x:v>
      </x:c>
      <x:c r="M40" s="27" t="n">
        <x:f>M26</x:f>
        <x:v>0.4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4</x:v>
      </x:c>
      <x:c r="G41" s="29" t="n">
        <x:f>G38*G40</x:f>
        <x:v>21</x:v>
      </x:c>
      <x:c r="H41" s="29" t="n">
        <x:f>H38*H40</x:f>
        <x:v>108.5</x:v>
      </x:c>
      <x:c r="I41" s="29" t="n">
        <x:f>I38*I40</x:f>
        <x:v>117.8</x:v>
      </x:c>
      <x:c r="J41" s="29" t="n">
        <x:f>J38*J40</x:f>
        <x:v>120</x:v>
      </x:c>
      <x:c r="K41" s="29" t="n">
        <x:f>K38*K40</x:f>
        <x:v>120</x:v>
      </x:c>
      <x:c r="L41" s="29" t="n">
        <x:f>L38*L40</x:f>
        <x:v>120</x:v>
      </x:c>
      <x:c r="M41" s="29" t="n">
        <x:f>M38*M40</x:f>
        <x:v>120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3.4000000000000004</x:v>
      </x:c>
      <x:c r="G42" s="26" t="n">
        <x:f>G39*G40</x:f>
        <x:v>17.849999999999998</x:v>
      </x:c>
      <x:c r="H42" s="26" t="n">
        <x:f>H39*H40</x:f>
        <x:v>55.474999999999994</x:v>
      </x:c>
      <x:c r="I42" s="26" t="n">
        <x:f>I39*I40</x:f>
        <x:v>71.63</x:v>
      </x:c>
      <x:c r="J42" s="26" t="n">
        <x:f>J39*J40</x:f>
        <x:v>85.2</x:v>
      </x:c>
      <x:c r="K42" s="26" t="n">
        <x:f>K39*K40</x:f>
        <x:v>92.4</x:v>
      </x:c>
      <x:c r="L42" s="26" t="n">
        <x:f>L39*L40</x:f>
        <x:v>97.2</x:v>
      </x:c>
      <x:c r="M42" s="26" t="n">
        <x:f>M39*M40</x:f>
        <x:v>99.60000000000001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1800</x:v>
      </x:c>
      <x:c r="G43" s="26" t="n">
        <x:f>G38*'Global Assump'!G$4</x:f>
        <x:v>6440</x:v>
      </x:c>
      <x:c r="H43" s="26" t="n">
        <x:f>H38*'Global Assump'!H$4</x:f>
        <x:v>29140</x:v>
      </x:c>
      <x:c r="I43" s="26" t="n">
        <x:f>I38*'Global Assump'!I$4</x:f>
        <x:v>29760</x:v>
      </x:c>
      <x:c r="J43" s="26" t="n">
        <x:f>J38*'Global Assump'!J$4</x:f>
        <x:v>29400</x:v>
      </x:c>
      <x:c r="K43" s="26" t="n">
        <x:f>K38*'Global Assump'!K$4</x:f>
        <x:v>30000</x:v>
      </x:c>
      <x:c r="L43" s="26" t="n">
        <x:f>L38*'Global Assump'!L$4</x:f>
        <x:v>30600</x:v>
      </x:c>
      <x:c r="M43" s="26" t="n">
        <x:f>M38*'Global Assump'!M$4</x:f>
        <x:v>31200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1530</x:v>
      </x:c>
      <x:c r="G44" s="30" t="n">
        <x:f>G39*'Global Assump'!G$4</x:f>
        <x:v>5474</x:v>
      </x:c>
      <x:c r="H44" s="30" t="n">
        <x:f>H39*'Global Assump'!H$4</x:f>
        <x:v>14899</x:v>
      </x:c>
      <x:c r="I44" s="30" t="n">
        <x:f>I39*'Global Assump'!I$4</x:f>
        <x:v>18096</x:v>
      </x:c>
      <x:c r="J44" s="30" t="n">
        <x:f>J39*'Global Assump'!J$4</x:f>
        <x:v>20874</x:v>
      </x:c>
      <x:c r="K44" s="30" t="n">
        <x:f>K39*'Global Assump'!K$4</x:f>
        <x:v>23100</x:v>
      </x:c>
      <x:c r="L44" s="30" t="n">
        <x:f>L39*'Global Assump'!L$4</x:f>
        <x:v>24786</x:v>
      </x:c>
      <x:c r="M44" s="30" t="n">
        <x:f>M39*'Global Assump'!M$4</x:f>
        <x:v>25896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Usnoflast | US ALS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Usnoflast | US ALS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NCE / innovation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Phase IIb readout CY28; first revenue FY32E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Phase IIb efficacy, Phase III requirement, regulatory path and retained US economics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US prevalent ALS patients</x:v>
      </x:c>
      <x:c r="B20" s="16" t="str">
        <x:v>patients</x:v>
      </x:c>
      <x:c r="C20" s="16"/>
      <x:c r="D20" s="31" t="n">
        <x:v>35000</x:v>
      </x:c>
      <x:c r="E20" s="31" t="n">
        <x:v>35350</x:v>
      </x:c>
      <x:c r="F20" s="31" t="n">
        <x:v>35703.5</x:v>
      </x:c>
      <x:c r="G20" s="31" t="n">
        <x:v>36060.535</x:v>
      </x:c>
      <x:c r="H20" s="31" t="n">
        <x:v>36421.14035</x:v>
      </x:c>
      <x:c r="I20" s="31" t="n">
        <x:v>36785.3517535</x:v>
      </x:c>
      <x:c r="J20" s="31" t="n">
        <x:v>37153.205271035</x:v>
      </x:c>
      <x:c r="K20" s="31" t="n">
        <x:v>37524.7373237454</x:v>
      </x:c>
      <x:c r="L20" s="31" t="n">
        <x:v>37899.9846969828</x:v>
      </x:c>
      <x:c r="M20" s="31" t="n">
        <x:v>38278.9845439526</x:v>
      </x:c>
    </x:row>
    <x:row r="21">
      <x:c r="A21" s="16" t="str">
        <x:v>Net annual revenue per patient</x:v>
      </x:c>
      <x:c r="B21" s="16" t="str">
        <x:v>$000</x:v>
      </x:c>
      <x:c r="C21" s="16"/>
      <x:c r="D21" s="32" t="n">
        <x:v>140</x:v>
      </x:c>
      <x:c r="E21" s="32" t="n">
        <x:v>142.8</x:v>
      </x:c>
      <x:c r="F21" s="32" t="n">
        <x:v>145.656</x:v>
      </x:c>
      <x:c r="G21" s="32" t="n">
        <x:v>148.56912</x:v>
      </x:c>
      <x:c r="H21" s="32" t="n">
        <x:v>151.5405024</x:v>
      </x:c>
      <x:c r="I21" s="32" t="n">
        <x:v>154.571312448</x:v>
      </x:c>
      <x:c r="J21" s="32" t="n">
        <x:v>157.66273869696</x:v>
      </x:c>
      <x:c r="K21" s="32" t="n">
        <x:v>160.815993470899</x:v>
      </x:c>
      <x:c r="L21" s="32" t="n">
        <x:v>164.032313340317</x:v>
      </x:c>
      <x:c r="M21" s="32" t="n">
        <x:v>167.312959607124</x:v>
      </x:c>
    </x:row>
    <x:row r="22">
      <x:c r="A22" s="16" t="str">
        <x:v>Average treated share</x:v>
      </x:c>
      <x:c r="B22" s="16" t="str">
        <x:v>%</x:v>
      </x:c>
      <x:c r="C22" s="16"/>
      <x:c r="D22" s="33" t="n">
        <x:v>0</x:v>
      </x:c>
      <x:c r="E22" s="33" t="n">
        <x:v>0</x:v>
      </x:c>
      <x:c r="F22" s="33" t="n">
        <x:v>0</x:v>
      </x:c>
      <x:c r="G22" s="33" t="n">
        <x:v>0</x:v>
      </x:c>
      <x:c r="H22" s="33" t="n">
        <x:v>0</x:v>
      </x:c>
      <x:c r="I22" s="33" t="n">
        <x:v>0</x:v>
      </x:c>
      <x:c r="J22" s="33" t="n">
        <x:v>0.01</x:v>
      </x:c>
      <x:c r="K22" s="33" t="n">
        <x:v>0.03</x:v>
      </x:c>
      <x:c r="L22" s="33" t="n">
        <x:v>0.055</x:v>
      </x:c>
      <x:c r="M22" s="33" t="n">
        <x:v>0.075</x:v>
      </x:c>
    </x:row>
    <x:row r="23">
      <x:c r="A23" s="16" t="str">
        <x:v>Launch-year factor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</x:v>
      </x:c>
      <x:c r="H23" s="33" t="n">
        <x:v>0</x:v>
      </x:c>
      <x:c r="I23" s="33" t="n">
        <x:v>0</x:v>
      </x:c>
      <x:c r="J23" s="33" t="n">
        <x:v>0.5</x:v>
      </x:c>
      <x:c r="K23" s="33" t="n">
        <x:v>1</x:v>
      </x:c>
      <x:c r="L23" s="33" t="n">
        <x:v>1</x:v>
      </x:c>
      <x:c r="M23" s="33" t="n">
        <x:v>1</x:v>
      </x:c>
    </x:row>
    <x:row r="24">
      <x:c r="A24" s="16" t="str">
        <x:v>Treated patient equivalents</x:v>
      </x:c>
      <x:c r="B24" s="16" t="str">
        <x:v>patients</x:v>
      </x:c>
      <x:c r="C24" s="16"/>
      <x:c r="D24" s="25" t="n">
        <x:f>D20*D22*D23</x:f>
        <x:v>0</x:v>
      </x:c>
      <x:c r="E24" s="25" t="n">
        <x:f>E20*E22*E23</x:f>
        <x:v>0</x:v>
      </x:c>
      <x:c r="F24" s="25" t="n">
        <x:f>F20*F22*F23</x:f>
        <x:v>0</x:v>
      </x:c>
      <x:c r="G24" s="25" t="n">
        <x:f>G20*G22*G23</x:f>
        <x:v>0</x:v>
      </x:c>
      <x:c r="H24" s="25" t="n">
        <x:f>H20*H22*H23</x:f>
        <x:v>0</x:v>
      </x:c>
      <x:c r="I24" s="25" t="n">
        <x:f>I20*I22*I23</x:f>
        <x:v>0</x:v>
      </x:c>
      <x:c r="J24" s="25" t="n">
        <x:f>J20*J22*J23</x:f>
        <x:v>185.76602635517503</x:v>
      </x:c>
      <x:c r="K24" s="25" t="n">
        <x:f>K20*K22*K23</x:f>
        <x:v>1125.742119712362</x:v>
      </x:c>
      <x:c r="L24" s="25" t="n">
        <x:f>L20*L22*L23</x:f>
        <x:v>2084.499158334054</x:v>
      </x:c>
      <x:c r="M24" s="25" t="n">
        <x:f>M20*M22*M23</x:f>
        <x:v>2870.9238407964453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D24*D21/1000</x:f>
        <x:v>0</x:v>
      </x:c>
      <x:c r="E25" s="26" t="n">
        <x:f>E24*E21/1000</x:f>
        <x:v>0</x:v>
      </x:c>
      <x:c r="F25" s="26" t="n">
        <x:f>F24*F21/1000</x:f>
        <x:v>0</x:v>
      </x:c>
      <x:c r="G25" s="26" t="n">
        <x:f>G24*G21/1000</x:f>
        <x:v>0</x:v>
      </x:c>
      <x:c r="H25" s="26" t="n">
        <x:f>H24*H21/1000</x:f>
        <x:v>0</x:v>
      </x:c>
      <x:c r="I25" s="26" t="n">
        <x:f>I24*I21/1000</x:f>
        <x:v>0</x:v>
      </x:c>
      <x:c r="J25" s="26" t="n">
        <x:f>J24*J21/1000</x:f>
        <x:v>29.288380472008544</x:v>
      </x:c>
      <x:c r="K25" s="26" t="n">
        <x:f>K24*K21/1000</x:f>
        <x:v>181.03733737357922</x:v>
      </x:c>
      <x:c r="L25" s="26" t="n">
        <x:f>L24*L21/1000</x:f>
        <x:v>341.92521909747853</x:v>
      </x:c>
      <x:c r="M25" s="26" t="n">
        <x:f>M24*M21/1000</x:f>
        <x:v>480.3427646103049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0.25</x:v>
      </x:c>
      <x:c r="E27" s="33" t="n">
        <x:v>0.25</x:v>
      </x:c>
      <x:c r="F27" s="33" t="n">
        <x:v>0.25</x:v>
      </x:c>
      <x:c r="G27" s="33" t="n">
        <x:v>0.25</x:v>
      </x:c>
      <x:c r="H27" s="33" t="n">
        <x:v>0.25</x:v>
      </x:c>
      <x:c r="I27" s="33" t="n">
        <x:v>0.25</x:v>
      </x:c>
      <x:c r="J27" s="33" t="n">
        <x:v>0.25</x:v>
      </x:c>
      <x:c r="K27" s="33" t="n">
        <x:v>0.25</x:v>
      </x:c>
      <x:c r="L27" s="33" t="n">
        <x:v>0.25</x:v>
      </x:c>
      <x:c r="M27" s="33" t="n">
        <x:v>0.25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</x:v>
      </x:c>
      <x:c r="H28" s="33" t="n">
        <x:v>0</x:v>
      </x:c>
      <x:c r="I28" s="33" t="n">
        <x:v>0</x:v>
      </x:c>
      <x:c r="J28" s="33" t="n">
        <x:v>0.45</x:v>
      </x:c>
      <x:c r="K28" s="33" t="n">
        <x:v>0.5</x:v>
      </x:c>
      <x:c r="L28" s="33" t="n">
        <x:v>0.52</x:v>
      </x:c>
      <x:c r="M28" s="33" t="n">
        <x:v>0.52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0</x:v>
      </x:c>
      <x:c r="H37" s="26" t="n">
        <x:f>H25</x:f>
        <x:v>0</x:v>
      </x:c>
      <x:c r="I37" s="26" t="n">
        <x:f>I25</x:f>
        <x:v>0</x:v>
      </x:c>
      <x:c r="J37" s="26" t="n">
        <x:f>J25</x:f>
        <x:v>29.288380472008544</x:v>
      </x:c>
      <x:c r="K37" s="26" t="n">
        <x:f>K25</x:f>
        <x:v>181.03733737357922</x:v>
      </x:c>
      <x:c r="L37" s="26" t="n">
        <x:f>L25</x:f>
        <x:v>341.92521909747853</x:v>
      </x:c>
      <x:c r="M37" s="26" t="n">
        <x:f>M25</x:f>
        <x:v>480.3427646103049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0</x:v>
      </x:c>
      <x:c r="H38" s="29" t="n">
        <x:f>H25*H26</x:f>
        <x:v>0</x:v>
      </x:c>
      <x:c r="I38" s="29" t="n">
        <x:f>I25*I26</x:f>
        <x:v>0</x:v>
      </x:c>
      <x:c r="J38" s="29" t="n">
        <x:f>J25*J26</x:f>
        <x:v>29.288380472008544</x:v>
      </x:c>
      <x:c r="K38" s="29" t="n">
        <x:f>K25*K26</x:f>
        <x:v>181.03733737357922</x:v>
      </x:c>
      <x:c r="L38" s="29" t="n">
        <x:f>L25*L26</x:f>
        <x:v>341.92521909747853</x:v>
      </x:c>
      <x:c r="M38" s="29" t="n">
        <x:f>M25*M26</x:f>
        <x:v>480.3427646103049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0</x:v>
      </x:c>
      <x:c r="H39" s="26" t="n">
        <x:f>H38*H27</x:f>
        <x:v>0</x:v>
      </x:c>
      <x:c r="I39" s="26" t="n">
        <x:f>I38*I27</x:f>
        <x:v>0</x:v>
      </x:c>
      <x:c r="J39" s="26" t="n">
        <x:f>J38*J27</x:f>
        <x:v>7.322095118002136</x:v>
      </x:c>
      <x:c r="K39" s="26" t="n">
        <x:f>K38*K27</x:f>
        <x:v>45.259334343394805</x:v>
      </x:c>
      <x:c r="L39" s="26" t="n">
        <x:f>L38*L27</x:f>
        <x:v>85.48130477436963</x:v>
      </x:c>
      <x:c r="M39" s="26" t="n">
        <x:f>M38*M27</x:f>
        <x:v>120.08569115257623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</x:v>
      </x:c>
      <x:c r="H40" s="27" t="n">
        <x:f>H28</x:f>
        <x:v>0</x:v>
      </x:c>
      <x:c r="I40" s="27" t="n">
        <x:f>I28</x:f>
        <x:v>0</x:v>
      </x:c>
      <x:c r="J40" s="27" t="n">
        <x:f>J28</x:f>
        <x:v>0.45</x:v>
      </x:c>
      <x:c r="K40" s="27" t="n">
        <x:f>K28</x:f>
        <x:v>0.5</x:v>
      </x:c>
      <x:c r="L40" s="27" t="n">
        <x:f>L28</x:f>
        <x:v>0.52</x:v>
      </x:c>
      <x:c r="M40" s="27" t="n">
        <x:f>M28</x:f>
        <x:v>0.52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0</x:v>
      </x:c>
      <x:c r="H41" s="29" t="n">
        <x:f>H38*H40</x:f>
        <x:v>0</x:v>
      </x:c>
      <x:c r="I41" s="29" t="n">
        <x:f>I38*I40</x:f>
        <x:v>0</x:v>
      </x:c>
      <x:c r="J41" s="29" t="n">
        <x:f>J38*J40</x:f>
        <x:v>13.179771212403844</x:v>
      </x:c>
      <x:c r="K41" s="29" t="n">
        <x:f>K38*K40</x:f>
        <x:v>90.51866868678961</x:v>
      </x:c>
      <x:c r="L41" s="29" t="n">
        <x:f>L38*L40</x:f>
        <x:v>177.80111393068884</x:v>
      </x:c>
      <x:c r="M41" s="29" t="n">
        <x:f>M38*M40</x:f>
        <x:v>249.77823759735858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</x:v>
      </x:c>
      <x:c r="H42" s="26" t="n">
        <x:f>H39*H40</x:f>
        <x:v>0</x:v>
      </x:c>
      <x:c r="I42" s="26" t="n">
        <x:f>I39*I40</x:f>
        <x:v>0</x:v>
      </x:c>
      <x:c r="J42" s="26" t="n">
        <x:f>J39*J40</x:f>
        <x:v>3.294942803100961</x:v>
      </x:c>
      <x:c r="K42" s="26" t="n">
        <x:f>K39*K40</x:f>
        <x:v>22.629667171697402</x:v>
      </x:c>
      <x:c r="L42" s="26" t="n">
        <x:f>L39*L40</x:f>
        <x:v>44.45027848267221</x:v>
      </x:c>
      <x:c r="M42" s="26" t="n">
        <x:f>M39*M40</x:f>
        <x:v>62.444559399339646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0</x:v>
      </x:c>
      <x:c r="H43" s="26" t="n">
        <x:f>H38*'Global Assump'!H$4</x:f>
        <x:v>0</x:v>
      </x:c>
      <x:c r="I43" s="26" t="n">
        <x:f>I38*'Global Assump'!I$4</x:f>
        <x:v>0</x:v>
      </x:c>
      <x:c r="J43" s="26" t="n">
        <x:f>J38*'Global Assump'!J$4</x:f>
        <x:v>2870.261286256837</x:v>
      </x:c>
      <x:c r="K43" s="26" t="n">
        <x:f>K38*'Global Assump'!K$4</x:f>
        <x:v>18103.73373735792</x:v>
      </x:c>
      <x:c r="L43" s="26" t="n">
        <x:f>L38*'Global Assump'!L$4</x:f>
        <x:v>34876.37234794281</x:v>
      </x:c>
      <x:c r="M43" s="26" t="n">
        <x:f>M38*'Global Assump'!M$4</x:f>
        <x:v>49955.64751947171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0</x:v>
      </x:c>
      <x:c r="H44" s="30" t="n">
        <x:f>H39*'Global Assump'!H$4</x:f>
        <x:v>0</x:v>
      </x:c>
      <x:c r="I44" s="30" t="n">
        <x:f>I39*'Global Assump'!I$4</x:f>
        <x:v>0</x:v>
      </x:c>
      <x:c r="J44" s="30" t="n">
        <x:f>J39*'Global Assump'!J$4</x:f>
        <x:v>717.5653215642093</x:v>
      </x:c>
      <x:c r="K44" s="30" t="n">
        <x:f>K39*'Global Assump'!K$4</x:f>
        <x:v>4525.93343433948</x:v>
      </x:c>
      <x:c r="L44" s="30" t="n">
        <x:f>L39*'Global Assump'!L$4</x:f>
        <x:v>8719.093086985702</x:v>
      </x:c>
      <x:c r="M44" s="30" t="n">
        <x:f>M39*'Global Assump'!M$4</x:f>
        <x:v>12488.911879867928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Palbociclib | Paragraph IV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Palbociclib | Paragraph IV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Paragraph IV / complex generic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Synthon sole first applicant for tablets; modeled launch FY28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Settlement timing, capsule competition, entrant count and Synthon economics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2700</x:v>
      </x:c>
      <x:c r="E20" s="32" t="n">
        <x:v>2550</x:v>
      </x:c>
      <x:c r="F20" s="32" t="n">
        <x:v>2400</x:v>
      </x:c>
      <x:c r="G20" s="32" t="n">
        <x:v>2300</x:v>
      </x:c>
      <x:c r="H20" s="32" t="n">
        <x:v>2100</x:v>
      </x:c>
      <x:c r="I20" s="32" t="n">
        <x:v>1900</x:v>
      </x:c>
      <x:c r="J20" s="32" t="n">
        <x:v>1700</x:v>
      </x:c>
      <x:c r="K20" s="32" t="n">
        <x:v>1500</x:v>
      </x:c>
      <x:c r="L20" s="32" t="n">
        <x:v>1300</x:v>
      </x:c>
      <x:c r="M20" s="32" t="n">
        <x:v>1100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0.35</x:v>
      </x:c>
      <x:c r="G21" s="33" t="n">
        <x:v>0.18</x:v>
      </x:c>
      <x:c r="H21" s="33" t="n">
        <x:v>0.13</x:v>
      </x:c>
      <x:c r="I21" s="33" t="n">
        <x:v>0.1</x:v>
      </x:c>
      <x:c r="J21" s="33" t="n">
        <x:v>0.08</x:v>
      </x:c>
      <x:c r="K21" s="33" t="n">
        <x:v>0.07</x:v>
      </x:c>
      <x:c r="L21" s="33" t="n">
        <x:v>0.06</x:v>
      </x:c>
      <x:c r="M21" s="33" t="n">
        <x:v>0.05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840</x:v>
      </x:c>
      <x:c r="G22" s="26" t="n">
        <x:f>G20*G21</x:f>
        <x:v>414</x:v>
      </x:c>
      <x:c r="H22" s="26" t="n">
        <x:f>H20*H21</x:f>
        <x:v>273</x:v>
      </x:c>
      <x:c r="I22" s="26" t="n">
        <x:f>I20*I21</x:f>
        <x:v>190</x:v>
      </x:c>
      <x:c r="J22" s="26" t="n">
        <x:f>J20*J21</x:f>
        <x:v>136</x:v>
      </x:c>
      <x:c r="K22" s="26" t="n">
        <x:f>K20*K21</x:f>
        <x:v>105.00000000000001</x:v>
      </x:c>
      <x:c r="L22" s="26" t="n">
        <x:f>L20*L21</x:f>
        <x:v>78</x:v>
      </x:c>
      <x:c r="M22" s="26" t="n">
        <x:f>M20*M21</x:f>
        <x:v>55</x:v>
      </x:c>
    </x:row>
    <x:row r="23">
      <x:c r="A23" s="16" t="str">
        <x:v>Zydus reported revenue</x:v>
      </x:c>
      <x:c r="B23" s="16" t="str">
        <x:v>$m</x:v>
      </x:c>
      <x:c r="C23" s="16"/>
      <x:c r="D23" s="32" t="n">
        <x:v>0</x:v>
      </x:c>
      <x:c r="E23" s="32" t="n">
        <x:v>0</x:v>
      </x:c>
      <x:c r="F23" s="32" t="n">
        <x:v>120</x:v>
      </x:c>
      <x:c r="G23" s="32" t="n">
        <x:v>70</x:v>
      </x:c>
      <x:c r="H23" s="32" t="n">
        <x:v>42</x:v>
      </x:c>
      <x:c r="I23" s="32" t="n">
        <x:v>27</x:v>
      </x:c>
      <x:c r="J23" s="32" t="n">
        <x:v>18</x:v>
      </x:c>
      <x:c r="K23" s="32" t="n">
        <x:v>13</x:v>
      </x:c>
      <x:c r="L23" s="32" t="n">
        <x:v>9</x:v>
      </x:c>
      <x:c r="M23" s="32" t="n">
        <x:v>6</x:v>
      </x:c>
    </x:row>
    <x:row r="24">
      <x:c r="A24" s="16"/>
      <x:c r="B24" s="16"/>
      <x:c r="C24" s="16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</x:row>
    <x:row r="25">
      <x:c r="A25" s="16" t="str">
        <x:v>Zydus end-market sales</x:v>
      </x:c>
      <x:c r="B25" s="16" t="str">
        <x:v>$m</x:v>
      </x:c>
      <x:c r="C25" s="16"/>
      <x:c r="D25" s="26" t="n">
        <x:f>IF(D26=0,0,D23/D26)</x:f>
        <x:v>0</x:v>
      </x:c>
      <x:c r="E25" s="26" t="n">
        <x:f>IF(E26=0,0,E23/E26)</x:f>
        <x:v>0</x:v>
      </x:c>
      <x:c r="F25" s="26" t="n">
        <x:f>IF(F26=0,0,F23/F26)</x:f>
        <x:v>184.6153846153846</x:v>
      </x:c>
      <x:c r="G25" s="26" t="n">
        <x:f>IF(G26=0,0,G23/G26)</x:f>
        <x:v>107.6923076923077</x:v>
      </x:c>
      <x:c r="H25" s="26" t="n">
        <x:f>IF(H26=0,0,H23/H26)</x:f>
        <x:v>64.61538461538461</x:v>
      </x:c>
      <x:c r="I25" s="26" t="n">
        <x:f>IF(I26=0,0,I23/I26)</x:f>
        <x:v>41.53846153846154</x:v>
      </x:c>
      <x:c r="J25" s="26" t="n">
        <x:f>IF(J26=0,0,J23/J26)</x:f>
        <x:v>27.69230769230769</x:v>
      </x:c>
      <x:c r="K25" s="26" t="n">
        <x:f>IF(K26=0,0,K23/K26)</x:f>
        <x:v>20</x:v>
      </x:c>
      <x:c r="L25" s="26" t="n">
        <x:f>IF(L26=0,0,L23/L26)</x:f>
        <x:v>13.846153846153845</x:v>
      </x:c>
      <x:c r="M25" s="26" t="n">
        <x:f>IF(M26=0,0,M23/M26)</x:f>
        <x:v>9.23076923076923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0.65</x:v>
      </x:c>
      <x:c r="E26" s="33" t="n">
        <x:v>0.65</x:v>
      </x:c>
      <x:c r="F26" s="33" t="n">
        <x:v>0.65</x:v>
      </x:c>
      <x:c r="G26" s="33" t="n">
        <x:v>0.65</x:v>
      </x:c>
      <x:c r="H26" s="33" t="n">
        <x:v>0.65</x:v>
      </x:c>
      <x:c r="I26" s="33" t="n">
        <x:v>0.65</x:v>
      </x:c>
      <x:c r="J26" s="33" t="n">
        <x:v>0.65</x:v>
      </x:c>
      <x:c r="K26" s="33" t="n">
        <x:v>0.65</x:v>
      </x:c>
      <x:c r="L26" s="33" t="n">
        <x:v>0.65</x:v>
      </x:c>
      <x:c r="M26" s="33" t="n">
        <x:v>0.65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0.85</x:v>
      </x:c>
      <x:c r="E27" s="33" t="n">
        <x:v>0.85</x:v>
      </x:c>
      <x:c r="F27" s="33" t="n">
        <x:v>0.85</x:v>
      </x:c>
      <x:c r="G27" s="33" t="n">
        <x:v>0.85</x:v>
      </x:c>
      <x:c r="H27" s="33" t="n">
        <x:v>0.85</x:v>
      </x:c>
      <x:c r="I27" s="33" t="n">
        <x:v>0.85</x:v>
      </x:c>
      <x:c r="J27" s="33" t="n">
        <x:v>0.85</x:v>
      </x:c>
      <x:c r="K27" s="33" t="n">
        <x:v>0.85</x:v>
      </x:c>
      <x:c r="L27" s="33" t="n">
        <x:v>0.85</x:v>
      </x:c>
      <x:c r="M27" s="33" t="n">
        <x:v>0.85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0.23</x:v>
      </x:c>
      <x:c r="G28" s="33" t="n">
        <x:v>0.22</x:v>
      </x:c>
      <x:c r="H28" s="33" t="n">
        <x:v>0.21</x:v>
      </x:c>
      <x:c r="I28" s="33" t="n">
        <x:v>0.2</x:v>
      </x:c>
      <x:c r="J28" s="33" t="n">
        <x:v>0.2</x:v>
      </x:c>
      <x:c r="K28" s="33" t="n">
        <x:v>0.2</x:v>
      </x:c>
      <x:c r="L28" s="33" t="n">
        <x:v>0.2</x:v>
      </x:c>
      <x:c r="M28" s="33" t="n">
        <x:v>0.2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184.6153846153846</x:v>
      </x:c>
      <x:c r="G37" s="26" t="n">
        <x:f>G25</x:f>
        <x:v>107.6923076923077</x:v>
      </x:c>
      <x:c r="H37" s="26" t="n">
        <x:f>H25</x:f>
        <x:v>64.61538461538461</x:v>
      </x:c>
      <x:c r="I37" s="26" t="n">
        <x:f>I25</x:f>
        <x:v>41.53846153846154</x:v>
      </x:c>
      <x:c r="J37" s="26" t="n">
        <x:f>J25</x:f>
        <x:v>27.69230769230769</x:v>
      </x:c>
      <x:c r="K37" s="26" t="n">
        <x:f>K25</x:f>
        <x:v>20</x:v>
      </x:c>
      <x:c r="L37" s="26" t="n">
        <x:f>L25</x:f>
        <x:v>13.846153846153845</x:v>
      </x:c>
      <x:c r="M37" s="26" t="n">
        <x:f>M25</x:f>
        <x:v>9.23076923076923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120</x:v>
      </x:c>
      <x:c r="G38" s="29" t="n">
        <x:f>G25*G26</x:f>
        <x:v>70</x:v>
      </x:c>
      <x:c r="H38" s="29" t="n">
        <x:f>H25*H26</x:f>
        <x:v>42</x:v>
      </x:c>
      <x:c r="I38" s="29" t="n">
        <x:f>I25*I26</x:f>
        <x:v>27.000000000000004</x:v>
      </x:c>
      <x:c r="J38" s="29" t="n">
        <x:f>J25*J26</x:f>
        <x:v>18</x:v>
      </x:c>
      <x:c r="K38" s="29" t="n">
        <x:f>K25*K26</x:f>
        <x:v>13</x:v>
      </x:c>
      <x:c r="L38" s="29" t="n">
        <x:f>L25*L26</x:f>
        <x:v>9</x:v>
      </x:c>
      <x:c r="M38" s="29" t="n">
        <x:f>M25*M26</x:f>
        <x:v>6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102</x:v>
      </x:c>
      <x:c r="G39" s="26" t="n">
        <x:f>G38*G27</x:f>
        <x:v>59.5</x:v>
      </x:c>
      <x:c r="H39" s="26" t="n">
        <x:f>H38*H27</x:f>
        <x:v>35.699999999999996</x:v>
      </x:c>
      <x:c r="I39" s="26" t="n">
        <x:f>I38*I27</x:f>
        <x:v>22.950000000000003</x:v>
      </x:c>
      <x:c r="J39" s="26" t="n">
        <x:f>J38*J27</x:f>
        <x:v>15.299999999999999</x:v>
      </x:c>
      <x:c r="K39" s="26" t="n">
        <x:f>K38*K27</x:f>
        <x:v>11.049999999999999</x:v>
      </x:c>
      <x:c r="L39" s="26" t="n">
        <x:f>L38*L27</x:f>
        <x:v>7.6499999999999995</x:v>
      </x:c>
      <x:c r="M39" s="26" t="n">
        <x:f>M38*M27</x:f>
        <x:v>5.1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0.23</x:v>
      </x:c>
      <x:c r="G40" s="27" t="n">
        <x:f>G28</x:f>
        <x:v>0.22</x:v>
      </x:c>
      <x:c r="H40" s="27" t="n">
        <x:f>H28</x:f>
        <x:v>0.21</x:v>
      </x:c>
      <x:c r="I40" s="27" t="n">
        <x:f>I28</x:f>
        <x:v>0.2</x:v>
      </x:c>
      <x:c r="J40" s="27" t="n">
        <x:f>J28</x:f>
        <x:v>0.2</x:v>
      </x:c>
      <x:c r="K40" s="27" t="n">
        <x:f>K28</x:f>
        <x:v>0.2</x:v>
      </x:c>
      <x:c r="L40" s="27" t="n">
        <x:f>L28</x:f>
        <x:v>0.2</x:v>
      </x:c>
      <x:c r="M40" s="27" t="n">
        <x:f>M28</x:f>
        <x:v>0.2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27.6</x:v>
      </x:c>
      <x:c r="G41" s="29" t="n">
        <x:f>G38*G40</x:f>
        <x:v>15.4</x:v>
      </x:c>
      <x:c r="H41" s="29" t="n">
        <x:f>H38*H40</x:f>
        <x:v>8.82</x:v>
      </x:c>
      <x:c r="I41" s="29" t="n">
        <x:f>I38*I40</x:f>
        <x:v>5.400000000000001</x:v>
      </x:c>
      <x:c r="J41" s="29" t="n">
        <x:f>J38*J40</x:f>
        <x:v>3.6</x:v>
      </x:c>
      <x:c r="K41" s="29" t="n">
        <x:f>K38*K40</x:f>
        <x:v>2.6</x:v>
      </x:c>
      <x:c r="L41" s="29" t="n">
        <x:f>L38*L40</x:f>
        <x:v>1.8</x:v>
      </x:c>
      <x:c r="M41" s="29" t="n">
        <x:f>M38*M40</x:f>
        <x:v>1.2000000000000002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23.46</x:v>
      </x:c>
      <x:c r="G42" s="26" t="n">
        <x:f>G39*G40</x:f>
        <x:v>13.09</x:v>
      </x:c>
      <x:c r="H42" s="26" t="n">
        <x:f>H39*H40</x:f>
        <x:v>7.496999999999999</x:v>
      </x:c>
      <x:c r="I42" s="26" t="n">
        <x:f>I39*I40</x:f>
        <x:v>4.590000000000001</x:v>
      </x:c>
      <x:c r="J42" s="26" t="n">
        <x:f>J39*J40</x:f>
        <x:v>3.06</x:v>
      </x:c>
      <x:c r="K42" s="26" t="n">
        <x:f>K39*K40</x:f>
        <x:v>2.21</x:v>
      </x:c>
      <x:c r="L42" s="26" t="n">
        <x:f>L39*L40</x:f>
        <x:v>1.53</x:v>
      </x:c>
      <x:c r="M42" s="26" t="n">
        <x:f>M39*M40</x:f>
        <x:v>1.02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10800</x:v>
      </x:c>
      <x:c r="G43" s="26" t="n">
        <x:f>G38*'Global Assump'!G$4</x:f>
        <x:v>6440</x:v>
      </x:c>
      <x:c r="H43" s="26" t="n">
        <x:f>H38*'Global Assump'!H$4</x:f>
        <x:v>3948</x:v>
      </x:c>
      <x:c r="I43" s="26" t="n">
        <x:f>I38*'Global Assump'!I$4</x:f>
        <x:v>2592.0000000000005</x:v>
      </x:c>
      <x:c r="J43" s="26" t="n">
        <x:f>J38*'Global Assump'!J$4</x:f>
        <x:v>1764</x:v>
      </x:c>
      <x:c r="K43" s="26" t="n">
        <x:f>K38*'Global Assump'!K$4</x:f>
        <x:v>1300</x:v>
      </x:c>
      <x:c r="L43" s="26" t="n">
        <x:f>L38*'Global Assump'!L$4</x:f>
        <x:v>918</x:v>
      </x:c>
      <x:c r="M43" s="26" t="n">
        <x:f>M38*'Global Assump'!M$4</x:f>
        <x:v>624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9180</x:v>
      </x:c>
      <x:c r="G44" s="30" t="n">
        <x:f>G39*'Global Assump'!G$4</x:f>
        <x:v>5474</x:v>
      </x:c>
      <x:c r="H44" s="30" t="n">
        <x:f>H39*'Global Assump'!H$4</x:f>
        <x:v>3355.7999999999997</x:v>
      </x:c>
      <x:c r="I44" s="30" t="n">
        <x:f>I39*'Global Assump'!I$4</x:f>
        <x:v>2203.2000000000003</x:v>
      </x:c>
      <x:c r="J44" s="30" t="n">
        <x:f>J39*'Global Assump'!J$4</x:f>
        <x:v>1499.3999999999999</x:v>
      </x:c>
      <x:c r="K44" s="30" t="n">
        <x:f>K39*'Global Assump'!K$4</x:f>
        <x:v>1105</x:v>
      </x:c>
      <x:c r="L44" s="30" t="n">
        <x:f>L39*'Global Assump'!L$4</x:f>
        <x:v>780.3</x:v>
      </x:c>
      <x:c r="M44" s="30" t="n">
        <x:f>M39*'Global Assump'!M$4</x:f>
        <x:v>530.4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Olaparib | Paragraph IV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Olaparib | Paragraph IV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Paragraph IV / complex generic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Earliest plausible entry Sep-2027; modeled FY28 partial-year launch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Patent timing, additional entrants and launch-at-risk constraints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1800</x:v>
      </x:c>
      <x:c r="G20" s="32" t="n">
        <x:v>1700</x:v>
      </x:c>
      <x:c r="H20" s="32" t="n">
        <x:v>1550</x:v>
      </x:c>
      <x:c r="I20" s="32" t="n">
        <x:v>1400</x:v>
      </x:c>
      <x:c r="J20" s="32" t="n">
        <x:v>1250</x:v>
      </x:c>
      <x:c r="K20" s="32" t="n">
        <x:v>1100</x:v>
      </x:c>
      <x:c r="L20" s="32" t="n">
        <x:v>950</x:v>
      </x:c>
      <x:c r="M20" s="32" t="n">
        <x:v>800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0.25</x:v>
      </x:c>
      <x:c r="G21" s="33" t="n">
        <x:v>0.2</x:v>
      </x:c>
      <x:c r="H21" s="33" t="n">
        <x:v>0.16</x:v>
      </x:c>
      <x:c r="I21" s="33" t="n">
        <x:v>0.13</x:v>
      </x:c>
      <x:c r="J21" s="33" t="n">
        <x:v>0.11</x:v>
      </x:c>
      <x:c r="K21" s="33" t="n">
        <x:v>0.09</x:v>
      </x:c>
      <x:c r="L21" s="33" t="n">
        <x:v>0.08</x:v>
      </x:c>
      <x:c r="M21" s="33" t="n">
        <x:v>0.07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450</x:v>
      </x:c>
      <x:c r="G22" s="26" t="n">
        <x:f>G20*G21</x:f>
        <x:v>340</x:v>
      </x:c>
      <x:c r="H22" s="26" t="n">
        <x:f>H20*H21</x:f>
        <x:v>248</x:v>
      </x:c>
      <x:c r="I22" s="26" t="n">
        <x:f>I20*I21</x:f>
        <x:v>182</x:v>
      </x:c>
      <x:c r="J22" s="26" t="n">
        <x:f>J20*J21</x:f>
        <x:v>137.5</x:v>
      </x:c>
      <x:c r="K22" s="26" t="n">
        <x:f>K20*K21</x:f>
        <x:v>99</x:v>
      </x:c>
      <x:c r="L22" s="26" t="n">
        <x:f>L20*L21</x:f>
        <x:v>76</x:v>
      </x:c>
      <x:c r="M22" s="26" t="n">
        <x:f>M20*M21</x:f>
        <x:v>56.00000000000001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0.25</x:v>
      </x:c>
      <x:c r="G23" s="33" t="n">
        <x:v>0.25</x:v>
      </x:c>
      <x:c r="H23" s="33" t="n">
        <x:v>0.23</x:v>
      </x:c>
      <x:c r="I23" s="33" t="n">
        <x:v>0.22</x:v>
      </x:c>
      <x:c r="J23" s="33" t="n">
        <x:v>0.2</x:v>
      </x:c>
      <x:c r="K23" s="33" t="n">
        <x:v>0.18</x:v>
      </x:c>
      <x:c r="L23" s="33" t="n">
        <x:v>0.17</x:v>
      </x:c>
      <x:c r="M23" s="33" t="n">
        <x:v>0.16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0.58</x:v>
      </x:c>
      <x:c r="G24" s="33" t="n">
        <x:v>1</x:v>
      </x:c>
      <x:c r="H24" s="33" t="n">
        <x:v>1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65.25</x:v>
      </x:c>
      <x:c r="G25" s="26" t="n">
        <x:f>G22*G23*G24</x:f>
        <x:v>85</x:v>
      </x:c>
      <x:c r="H25" s="26" t="n">
        <x:f>H22*H23*H24</x:f>
        <x:v>57.04</x:v>
      </x:c>
      <x:c r="I25" s="26" t="n">
        <x:f>I22*I23*I24</x:f>
        <x:v>40.04</x:v>
      </x:c>
      <x:c r="J25" s="26" t="n">
        <x:f>J22*J23*J24</x:f>
        <x:v>27.5</x:v>
      </x:c>
      <x:c r="K25" s="26" t="n">
        <x:f>K22*K23*K24</x:f>
        <x:v>17.82</x:v>
      </x:c>
      <x:c r="L25" s="26" t="n">
        <x:f>L22*L23*L24</x:f>
        <x:v>12.920000000000002</x:v>
      </x:c>
      <x:c r="M25" s="26" t="n">
        <x:f>M22*M23*M24</x:f>
        <x:v>8.96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0.7</x:v>
      </x:c>
      <x:c r="E27" s="33" t="n">
        <x:v>0.7</x:v>
      </x:c>
      <x:c r="F27" s="33" t="n">
        <x:v>0.7</x:v>
      </x:c>
      <x:c r="G27" s="33" t="n">
        <x:v>0.7</x:v>
      </x:c>
      <x:c r="H27" s="33" t="n">
        <x:v>0.7</x:v>
      </x:c>
      <x:c r="I27" s="33" t="n">
        <x:v>0.7</x:v>
      </x:c>
      <x:c r="J27" s="33" t="n">
        <x:v>0.7</x:v>
      </x:c>
      <x:c r="K27" s="33" t="n">
        <x:v>0.7</x:v>
      </x:c>
      <x:c r="L27" s="33" t="n">
        <x:v>0.7</x:v>
      </x:c>
      <x:c r="M27" s="33" t="n">
        <x:v>0.7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0.32</x:v>
      </x:c>
      <x:c r="G28" s="33" t="n">
        <x:v>0.33</x:v>
      </x:c>
      <x:c r="H28" s="33" t="n">
        <x:v>0.32</x:v>
      </x:c>
      <x:c r="I28" s="33" t="n">
        <x:v>0.3</x:v>
      </x:c>
      <x:c r="J28" s="33" t="n">
        <x:v>0.3</x:v>
      </x:c>
      <x:c r="K28" s="33" t="n">
        <x:v>0.28</x:v>
      </x:c>
      <x:c r="L28" s="33" t="n">
        <x:v>0.28</x:v>
      </x:c>
      <x:c r="M28" s="33" t="n">
        <x:v>0.28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65.25</x:v>
      </x:c>
      <x:c r="G37" s="26" t="n">
        <x:f>G25</x:f>
        <x:v>85</x:v>
      </x:c>
      <x:c r="H37" s="26" t="n">
        <x:f>H25</x:f>
        <x:v>57.04</x:v>
      </x:c>
      <x:c r="I37" s="26" t="n">
        <x:f>I25</x:f>
        <x:v>40.04</x:v>
      </x:c>
      <x:c r="J37" s="26" t="n">
        <x:f>J25</x:f>
        <x:v>27.5</x:v>
      </x:c>
      <x:c r="K37" s="26" t="n">
        <x:f>K25</x:f>
        <x:v>17.82</x:v>
      </x:c>
      <x:c r="L37" s="26" t="n">
        <x:f>L25</x:f>
        <x:v>12.920000000000002</x:v>
      </x:c>
      <x:c r="M37" s="26" t="n">
        <x:f>M25</x:f>
        <x:v>8.96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65.25</x:v>
      </x:c>
      <x:c r="G38" s="29" t="n">
        <x:f>G25*G26</x:f>
        <x:v>85</x:v>
      </x:c>
      <x:c r="H38" s="29" t="n">
        <x:f>H25*H26</x:f>
        <x:v>57.04</x:v>
      </x:c>
      <x:c r="I38" s="29" t="n">
        <x:f>I25*I26</x:f>
        <x:v>40.04</x:v>
      </x:c>
      <x:c r="J38" s="29" t="n">
        <x:f>J25*J26</x:f>
        <x:v>27.5</x:v>
      </x:c>
      <x:c r="K38" s="29" t="n">
        <x:f>K25*K26</x:f>
        <x:v>17.82</x:v>
      </x:c>
      <x:c r="L38" s="29" t="n">
        <x:f>L25*L26</x:f>
        <x:v>12.920000000000002</x:v>
      </x:c>
      <x:c r="M38" s="29" t="n">
        <x:f>M25*M26</x:f>
        <x:v>8.96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45.675</x:v>
      </x:c>
      <x:c r="G39" s="26" t="n">
        <x:f>G38*G27</x:f>
        <x:v>59.49999999999999</x:v>
      </x:c>
      <x:c r="H39" s="26" t="n">
        <x:f>H38*H27</x:f>
        <x:v>39.928</x:v>
      </x:c>
      <x:c r="I39" s="26" t="n">
        <x:f>I38*I27</x:f>
        <x:v>28.028</x:v>
      </x:c>
      <x:c r="J39" s="26" t="n">
        <x:f>J38*J27</x:f>
        <x:v>19.25</x:v>
      </x:c>
      <x:c r="K39" s="26" t="n">
        <x:f>K38*K27</x:f>
        <x:v>12.474</x:v>
      </x:c>
      <x:c r="L39" s="26" t="n">
        <x:f>L38*L27</x:f>
        <x:v>9.044</x:v>
      </x:c>
      <x:c r="M39" s="26" t="n">
        <x:f>M38*M27</x:f>
        <x:v>6.272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0.32</x:v>
      </x:c>
      <x:c r="G40" s="27" t="n">
        <x:f>G28</x:f>
        <x:v>0.33</x:v>
      </x:c>
      <x:c r="H40" s="27" t="n">
        <x:f>H28</x:f>
        <x:v>0.32</x:v>
      </x:c>
      <x:c r="I40" s="27" t="n">
        <x:f>I28</x:f>
        <x:v>0.3</x:v>
      </x:c>
      <x:c r="J40" s="27" t="n">
        <x:f>J28</x:f>
        <x:v>0.3</x:v>
      </x:c>
      <x:c r="K40" s="27" t="n">
        <x:f>K28</x:f>
        <x:v>0.28</x:v>
      </x:c>
      <x:c r="L40" s="27" t="n">
        <x:f>L28</x:f>
        <x:v>0.28</x:v>
      </x:c>
      <x:c r="M40" s="27" t="n">
        <x:f>M28</x:f>
        <x:v>0.28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20.88</x:v>
      </x:c>
      <x:c r="G41" s="29" t="n">
        <x:f>G38*G40</x:f>
        <x:v>28.05</x:v>
      </x:c>
      <x:c r="H41" s="29" t="n">
        <x:f>H38*H40</x:f>
        <x:v>18.2528</x:v>
      </x:c>
      <x:c r="I41" s="29" t="n">
        <x:f>I38*I40</x:f>
        <x:v>12.011999999999999</x:v>
      </x:c>
      <x:c r="J41" s="29" t="n">
        <x:f>J38*J40</x:f>
        <x:v>8.25</x:v>
      </x:c>
      <x:c r="K41" s="29" t="n">
        <x:f>K38*K40</x:f>
        <x:v>4.9896</x:v>
      </x:c>
      <x:c r="L41" s="29" t="n">
        <x:f>L38*L40</x:f>
        <x:v>3.617600000000001</x:v>
      </x:c>
      <x:c r="M41" s="29" t="n">
        <x:f>M38*M40</x:f>
        <x:v>2.5088000000000004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14.616</x:v>
      </x:c>
      <x:c r="G42" s="26" t="n">
        <x:f>G39*G40</x:f>
        <x:v>19.634999999999998</x:v>
      </x:c>
      <x:c r="H42" s="26" t="n">
        <x:f>H39*H40</x:f>
        <x:v>12.776959999999999</x:v>
      </x:c>
      <x:c r="I42" s="26" t="n">
        <x:f>I39*I40</x:f>
        <x:v>8.408399999999999</x:v>
      </x:c>
      <x:c r="J42" s="26" t="n">
        <x:f>J39*J40</x:f>
        <x:v>5.7749999999999995</x:v>
      </x:c>
      <x:c r="K42" s="26" t="n">
        <x:f>K39*K40</x:f>
        <x:v>3.4927200000000003</x:v>
      </x:c>
      <x:c r="L42" s="26" t="n">
        <x:f>L39*L40</x:f>
        <x:v>2.5323200000000003</x:v>
      </x:c>
      <x:c r="M42" s="26" t="n">
        <x:f>M39*M40</x:f>
        <x:v>1.7561600000000002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5872.5</x:v>
      </x:c>
      <x:c r="G43" s="26" t="n">
        <x:f>G38*'Global Assump'!G$4</x:f>
        <x:v>7820</x:v>
      </x:c>
      <x:c r="H43" s="26" t="n">
        <x:f>H38*'Global Assump'!H$4</x:f>
        <x:v>5361.76</x:v>
      </x:c>
      <x:c r="I43" s="26" t="n">
        <x:f>I38*'Global Assump'!I$4</x:f>
        <x:v>3843.84</x:v>
      </x:c>
      <x:c r="J43" s="26" t="n">
        <x:f>J38*'Global Assump'!J$4</x:f>
        <x:v>2695</x:v>
      </x:c>
      <x:c r="K43" s="26" t="n">
        <x:f>K38*'Global Assump'!K$4</x:f>
        <x:v>1782</x:v>
      </x:c>
      <x:c r="L43" s="26" t="n">
        <x:f>L38*'Global Assump'!L$4</x:f>
        <x:v>1317.8400000000001</x:v>
      </x:c>
      <x:c r="M43" s="26" t="n">
        <x:f>M38*'Global Assump'!M$4</x:f>
        <x:v>931.8400000000001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4110.75</x:v>
      </x:c>
      <x:c r="G44" s="30" t="n">
        <x:f>G39*'Global Assump'!G$4</x:f>
        <x:v>5473.999999999999</x:v>
      </x:c>
      <x:c r="H44" s="30" t="n">
        <x:f>H39*'Global Assump'!H$4</x:f>
        <x:v>3753.232</x:v>
      </x:c>
      <x:c r="I44" s="30" t="n">
        <x:f>I39*'Global Assump'!I$4</x:f>
        <x:v>2690.688</x:v>
      </x:c>
      <x:c r="J44" s="30" t="n">
        <x:f>J39*'Global Assump'!J$4</x:f>
        <x:v>1886.5</x:v>
      </x:c>
      <x:c r="K44" s="30" t="n">
        <x:f>K39*'Global Assump'!K$4</x:f>
        <x:v>1247.4</x:v>
      </x:c>
      <x:c r="L44" s="30" t="n">
        <x:f>L39*'Global Assump'!L$4</x:f>
        <x:v>922.488</x:v>
      </x:c>
      <x:c r="M44" s="30" t="n">
        <x:f>M39*'Global Assump'!M$4</x:f>
        <x:v>652.288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Ozanimod | Synthon Paragraph IV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Ozanimod | Synthon Paragraph IV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Paragraph IV / complex generic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Partnered with Synthon; modeled launch FY30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Patent outcome, launch timing, dosage forms and Synthon economics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H20" s="32" t="n">
        <x:v>750</x:v>
      </x:c>
      <x:c r="I20" s="32" t="n">
        <x:v>680</x:v>
      </x:c>
      <x:c r="J20" s="32" t="n">
        <x:v>650</x:v>
      </x:c>
      <x:c r="K20" s="32" t="n">
        <x:v>600</x:v>
      </x:c>
      <x:c r="L20" s="32" t="n">
        <x:v>540</x:v>
      </x:c>
      <x:c r="M20" s="32" t="n">
        <x:v>480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</x:v>
      </x:c>
      <x:c r="G21" s="33" t="n">
        <x:v>0</x:v>
      </x:c>
      <x:c r="H21" s="33" t="n">
        <x:v>0.35</x:v>
      </x:c>
      <x:c r="I21" s="33" t="n">
        <x:v>0.28</x:v>
      </x:c>
      <x:c r="J21" s="33" t="n">
        <x:v>0.22</x:v>
      </x:c>
      <x:c r="K21" s="33" t="n">
        <x:v>0.18</x:v>
      </x:c>
      <x:c r="L21" s="33" t="n">
        <x:v>0.15</x:v>
      </x:c>
      <x:c r="M21" s="33" t="n">
        <x:v>0.13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0</x:v>
      </x:c>
      <x:c r="G22" s="26" t="n">
        <x:f>G20*G21</x:f>
        <x:v>0</x:v>
      </x:c>
      <x:c r="H22" s="26" t="n">
        <x:f>H20*H21</x:f>
        <x:v>262.5</x:v>
      </x:c>
      <x:c r="I22" s="26" t="n">
        <x:f>I20*I21</x:f>
        <x:v>190.4</x:v>
      </x:c>
      <x:c r="J22" s="26" t="n">
        <x:f>J20*J21</x:f>
        <x:v>143</x:v>
      </x:c>
      <x:c r="K22" s="26" t="n">
        <x:f>K20*K21</x:f>
        <x:v>108</x:v>
      </x:c>
      <x:c r="L22" s="26" t="n">
        <x:f>L20*L21</x:f>
        <x:v>81</x:v>
      </x:c>
      <x:c r="M22" s="26" t="n">
        <x:f>M20*M21</x:f>
        <x:v>62.400000000000006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</x:v>
      </x:c>
      <x:c r="H23" s="33" t="n">
        <x:v>0.36</x:v>
      </x:c>
      <x:c r="I23" s="33" t="n">
        <x:v>0.32</x:v>
      </x:c>
      <x:c r="J23" s="33" t="n">
        <x:v>0.28</x:v>
      </x:c>
      <x:c r="K23" s="33" t="n">
        <x:v>0.26</x:v>
      </x:c>
      <x:c r="L23" s="33" t="n">
        <x:v>0.24</x:v>
      </x:c>
      <x:c r="M23" s="33" t="n">
        <x:v>0.22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</x:v>
      </x:c>
      <x:c r="G24" s="33" t="n">
        <x:v>0</x:v>
      </x:c>
      <x:c r="H24" s="33" t="n">
        <x:v>0.7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0</x:v>
      </x:c>
      <x:c r="G25" s="26" t="n">
        <x:f>G22*G23*G24</x:f>
        <x:v>0</x:v>
      </x:c>
      <x:c r="H25" s="26" t="n">
        <x:f>H22*H23*H24</x:f>
        <x:v>66.14999999999999</x:v>
      </x:c>
      <x:c r="I25" s="26" t="n">
        <x:f>I22*I23*I24</x:f>
        <x:v>60.928000000000004</x:v>
      </x:c>
      <x:c r="J25" s="26" t="n">
        <x:f>J22*J23*J24</x:f>
        <x:v>40.040000000000006</x:v>
      </x:c>
      <x:c r="K25" s="26" t="n">
        <x:f>K22*K23*K24</x:f>
        <x:v>28.080000000000002</x:v>
      </x:c>
      <x:c r="L25" s="26" t="n">
        <x:f>L22*L23*L24</x:f>
        <x:v>19.439999999999998</x:v>
      </x:c>
      <x:c r="M25" s="26" t="n">
        <x:f>M22*M23*M24</x:f>
        <x:v>13.728000000000002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0.65</x:v>
      </x:c>
      <x:c r="E26" s="33" t="n">
        <x:v>0.65</x:v>
      </x:c>
      <x:c r="F26" s="33" t="n">
        <x:v>0.65</x:v>
      </x:c>
      <x:c r="G26" s="33" t="n">
        <x:v>0.65</x:v>
      </x:c>
      <x:c r="H26" s="33" t="n">
        <x:v>0.65</x:v>
      </x:c>
      <x:c r="I26" s="33" t="n">
        <x:v>0.65</x:v>
      </x:c>
      <x:c r="J26" s="33" t="n">
        <x:v>0.65</x:v>
      </x:c>
      <x:c r="K26" s="33" t="n">
        <x:v>0.65</x:v>
      </x:c>
      <x:c r="L26" s="33" t="n">
        <x:v>0.65</x:v>
      </x:c>
      <x:c r="M26" s="33" t="n">
        <x:v>0.65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0.65</x:v>
      </x:c>
      <x:c r="E27" s="33" t="n">
        <x:v>0.65</x:v>
      </x:c>
      <x:c r="F27" s="33" t="n">
        <x:v>0.65</x:v>
      </x:c>
      <x:c r="G27" s="33" t="n">
        <x:v>0.65</x:v>
      </x:c>
      <x:c r="H27" s="33" t="n">
        <x:v>0.65</x:v>
      </x:c>
      <x:c r="I27" s="33" t="n">
        <x:v>0.65</x:v>
      </x:c>
      <x:c r="J27" s="33" t="n">
        <x:v>0.65</x:v>
      </x:c>
      <x:c r="K27" s="33" t="n">
        <x:v>0.65</x:v>
      </x:c>
      <x:c r="L27" s="33" t="n">
        <x:v>0.65</x:v>
      </x:c>
      <x:c r="M27" s="33" t="n">
        <x:v>0.65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</x:v>
      </x:c>
      <x:c r="H28" s="33" t="n">
        <x:v>0.25</x:v>
      </x:c>
      <x:c r="I28" s="33" t="n">
        <x:v>0.24</x:v>
      </x:c>
      <x:c r="J28" s="33" t="n">
        <x:v>0.23</x:v>
      </x:c>
      <x:c r="K28" s="33" t="n">
        <x:v>0.22</x:v>
      </x:c>
      <x:c r="L28" s="33" t="n">
        <x:v>0.21</x:v>
      </x:c>
      <x:c r="M28" s="33" t="n">
        <x:v>0.2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0</x:v>
      </x:c>
      <x:c r="H37" s="26" t="n">
        <x:f>H25</x:f>
        <x:v>66.14999999999999</x:v>
      </x:c>
      <x:c r="I37" s="26" t="n">
        <x:f>I25</x:f>
        <x:v>60.928000000000004</x:v>
      </x:c>
      <x:c r="J37" s="26" t="n">
        <x:f>J25</x:f>
        <x:v>40.040000000000006</x:v>
      </x:c>
      <x:c r="K37" s="26" t="n">
        <x:f>K25</x:f>
        <x:v>28.080000000000002</x:v>
      </x:c>
      <x:c r="L37" s="26" t="n">
        <x:f>L25</x:f>
        <x:v>19.439999999999998</x:v>
      </x:c>
      <x:c r="M37" s="26" t="n">
        <x:f>M25</x:f>
        <x:v>13.728000000000002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0</x:v>
      </x:c>
      <x:c r="H38" s="29" t="n">
        <x:f>H25*H26</x:f>
        <x:v>42.997499999999995</x:v>
      </x:c>
      <x:c r="I38" s="29" t="n">
        <x:f>I25*I26</x:f>
        <x:v>39.6032</x:v>
      </x:c>
      <x:c r="J38" s="29" t="n">
        <x:f>J25*J26</x:f>
        <x:v>26.026000000000003</x:v>
      </x:c>
      <x:c r="K38" s="29" t="n">
        <x:f>K25*K26</x:f>
        <x:v>18.252000000000002</x:v>
      </x:c>
      <x:c r="L38" s="29" t="n">
        <x:f>L25*L26</x:f>
        <x:v>12.636</x:v>
      </x:c>
      <x:c r="M38" s="29" t="n">
        <x:f>M25*M26</x:f>
        <x:v>8.923200000000001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0</x:v>
      </x:c>
      <x:c r="H39" s="26" t="n">
        <x:f>H38*H27</x:f>
        <x:v>27.948375</x:v>
      </x:c>
      <x:c r="I39" s="26" t="n">
        <x:f>I38*I27</x:f>
        <x:v>25.74208</x:v>
      </x:c>
      <x:c r="J39" s="26" t="n">
        <x:f>J38*J27</x:f>
        <x:v>16.916900000000002</x:v>
      </x:c>
      <x:c r="K39" s="26" t="n">
        <x:f>K38*K27</x:f>
        <x:v>11.863800000000001</x:v>
      </x:c>
      <x:c r="L39" s="26" t="n">
        <x:f>L38*L27</x:f>
        <x:v>8.2134</x:v>
      </x:c>
      <x:c r="M39" s="26" t="n">
        <x:f>M38*M27</x:f>
        <x:v>5.800080000000001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</x:v>
      </x:c>
      <x:c r="H40" s="27" t="n">
        <x:f>H28</x:f>
        <x:v>0.25</x:v>
      </x:c>
      <x:c r="I40" s="27" t="n">
        <x:f>I28</x:f>
        <x:v>0.24</x:v>
      </x:c>
      <x:c r="J40" s="27" t="n">
        <x:f>J28</x:f>
        <x:v>0.23</x:v>
      </x:c>
      <x:c r="K40" s="27" t="n">
        <x:f>K28</x:f>
        <x:v>0.22</x:v>
      </x:c>
      <x:c r="L40" s="27" t="n">
        <x:f>L28</x:f>
        <x:v>0.21</x:v>
      </x:c>
      <x:c r="M40" s="27" t="n">
        <x:f>M28</x:f>
        <x:v>0.2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0</x:v>
      </x:c>
      <x:c r="H41" s="29" t="n">
        <x:f>H38*H40</x:f>
        <x:v>10.749374999999999</x:v>
      </x:c>
      <x:c r="I41" s="29" t="n">
        <x:f>I38*I40</x:f>
        <x:v>9.504768</x:v>
      </x:c>
      <x:c r="J41" s="29" t="n">
        <x:f>J38*J40</x:f>
        <x:v>5.985980000000001</x:v>
      </x:c>
      <x:c r="K41" s="29" t="n">
        <x:f>K38*K40</x:f>
        <x:v>4.015440000000001</x:v>
      </x:c>
      <x:c r="L41" s="29" t="n">
        <x:f>L38*L40</x:f>
        <x:v>2.6535599999999997</x:v>
      </x:c>
      <x:c r="M41" s="29" t="n">
        <x:f>M38*M40</x:f>
        <x:v>1.7846400000000004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</x:v>
      </x:c>
      <x:c r="H42" s="26" t="n">
        <x:f>H39*H40</x:f>
        <x:v>6.98709375</x:v>
      </x:c>
      <x:c r="I42" s="26" t="n">
        <x:f>I39*I40</x:f>
        <x:v>6.1780992</x:v>
      </x:c>
      <x:c r="J42" s="26" t="n">
        <x:f>J39*J40</x:f>
        <x:v>3.8908870000000007</x:v>
      </x:c>
      <x:c r="K42" s="26" t="n">
        <x:f>K39*K40</x:f>
        <x:v>2.6100360000000005</x:v>
      </x:c>
      <x:c r="L42" s="26" t="n">
        <x:f>L39*L40</x:f>
        <x:v>1.7248139999999998</x:v>
      </x:c>
      <x:c r="M42" s="26" t="n">
        <x:f>M39*M40</x:f>
        <x:v>1.1600160000000004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0</x:v>
      </x:c>
      <x:c r="H43" s="26" t="n">
        <x:f>H38*'Global Assump'!H$4</x:f>
        <x:v>4041.7649999999994</x:v>
      </x:c>
      <x:c r="I43" s="26" t="n">
        <x:f>I38*'Global Assump'!I$4</x:f>
        <x:v>3801.9072</x:v>
      </x:c>
      <x:c r="J43" s="26" t="n">
        <x:f>J38*'Global Assump'!J$4</x:f>
        <x:v>2550.5480000000002</x:v>
      </x:c>
      <x:c r="K43" s="26" t="n">
        <x:f>K38*'Global Assump'!K$4</x:f>
        <x:v>1825.2000000000003</x:v>
      </x:c>
      <x:c r="L43" s="26" t="n">
        <x:f>L38*'Global Assump'!L$4</x:f>
        <x:v>1288.8719999999998</x:v>
      </x:c>
      <x:c r="M43" s="26" t="n">
        <x:f>M38*'Global Assump'!M$4</x:f>
        <x:v>928.0128000000002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0</x:v>
      </x:c>
      <x:c r="H44" s="30" t="n">
        <x:f>H39*'Global Assump'!H$4</x:f>
        <x:v>2627.14725</x:v>
      </x:c>
      <x:c r="I44" s="30" t="n">
        <x:f>I39*'Global Assump'!I$4</x:f>
        <x:v>2471.23968</x:v>
      </x:c>
      <x:c r="J44" s="30" t="n">
        <x:f>J39*'Global Assump'!J$4</x:f>
        <x:v>1657.8562000000002</x:v>
      </x:c>
      <x:c r="K44" s="30" t="n">
        <x:f>K39*'Global Assump'!K$4</x:f>
        <x:v>1186.38</x:v>
      </x:c>
      <x:c r="L44" s="30" t="n">
        <x:f>L39*'Global Assump'!L$4</x:f>
        <x:v>837.7668</x:v>
      </x:c>
      <x:c r="M44" s="30" t="n">
        <x:f>M39*'Global Assump'!M$4</x:f>
        <x:v>603.2083200000002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Letermovir | Paragraph IV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Letermovir | Paragraph IV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Paragraph IV / complex generic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Transplant anti-infective; modeled launch FY29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Patent resolution, addressable strengths and entrant count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0</x:v>
      </x:c>
      <x:c r="G20" s="32" t="n">
        <x:v>700</x:v>
      </x:c>
      <x:c r="H20" s="32" t="n">
        <x:v>680</x:v>
      </x:c>
      <x:c r="I20" s="32" t="n">
        <x:v>650</x:v>
      </x:c>
      <x:c r="J20" s="32" t="n">
        <x:v>620</x:v>
      </x:c>
      <x:c r="K20" s="32" t="n">
        <x:v>580</x:v>
      </x:c>
      <x:c r="L20" s="32" t="n">
        <x:v>540</x:v>
      </x:c>
      <x:c r="M20" s="32" t="n">
        <x:v>500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</x:v>
      </x:c>
      <x:c r="G21" s="33" t="n">
        <x:v>0.25</x:v>
      </x:c>
      <x:c r="H21" s="33" t="n">
        <x:v>0.22</x:v>
      </x:c>
      <x:c r="I21" s="33" t="n">
        <x:v>0.19</x:v>
      </x:c>
      <x:c r="J21" s="33" t="n">
        <x:v>0.16</x:v>
      </x:c>
      <x:c r="K21" s="33" t="n">
        <x:v>0.14</x:v>
      </x:c>
      <x:c r="L21" s="33" t="n">
        <x:v>0.12</x:v>
      </x:c>
      <x:c r="M21" s="33" t="n">
        <x:v>0.1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0</x:v>
      </x:c>
      <x:c r="G22" s="26" t="n">
        <x:f>G20*G21</x:f>
        <x:v>175</x:v>
      </x:c>
      <x:c r="H22" s="26" t="n">
        <x:f>H20*H21</x:f>
        <x:v>149.6</x:v>
      </x:c>
      <x:c r="I22" s="26" t="n">
        <x:f>I20*I21</x:f>
        <x:v>123.5</x:v>
      </x:c>
      <x:c r="J22" s="26" t="n">
        <x:f>J20*J21</x:f>
        <x:v>99.2</x:v>
      </x:c>
      <x:c r="K22" s="26" t="n">
        <x:f>K20*K21</x:f>
        <x:v>81.2</x:v>
      </x:c>
      <x:c r="L22" s="26" t="n">
        <x:f>L20*L21</x:f>
        <x:v>64.8</x:v>
      </x:c>
      <x:c r="M22" s="26" t="n">
        <x:f>M20*M21</x:f>
        <x:v>50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0.25</x:v>
      </x:c>
      <x:c r="H23" s="33" t="n">
        <x:v>0.25</x:v>
      </x:c>
      <x:c r="I23" s="33" t="n">
        <x:v>0.23</x:v>
      </x:c>
      <x:c r="J23" s="33" t="n">
        <x:v>0.22</x:v>
      </x:c>
      <x:c r="K23" s="33" t="n">
        <x:v>0.2</x:v>
      </x:c>
      <x:c r="L23" s="33" t="n">
        <x:v>0.18</x:v>
      </x:c>
      <x:c r="M23" s="33" t="n">
        <x:v>0.17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</x:v>
      </x:c>
      <x:c r="G24" s="33" t="n">
        <x:v>0.6</x:v>
      </x:c>
      <x:c r="H24" s="33" t="n">
        <x:v>1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0</x:v>
      </x:c>
      <x:c r="G25" s="26" t="n">
        <x:f>G22*G23*G24</x:f>
        <x:v>26.25</x:v>
      </x:c>
      <x:c r="H25" s="26" t="n">
        <x:f>H22*H23*H24</x:f>
        <x:v>37.4</x:v>
      </x:c>
      <x:c r="I25" s="26" t="n">
        <x:f>I22*I23*I24</x:f>
        <x:v>28.405</x:v>
      </x:c>
      <x:c r="J25" s="26" t="n">
        <x:f>J22*J23*J24</x:f>
        <x:v>21.824</x:v>
      </x:c>
      <x:c r="K25" s="26" t="n">
        <x:f>K22*K23*K24</x:f>
        <x:v>16.240000000000002</x:v>
      </x:c>
      <x:c r="L25" s="26" t="n">
        <x:f>L22*L23*L24</x:f>
        <x:v>11.664</x:v>
      </x:c>
      <x:c r="M25" s="26" t="n">
        <x:f>M22*M23*M24</x:f>
        <x:v>8.5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0.65</x:v>
      </x:c>
      <x:c r="E26" s="33" t="n">
        <x:v>0.65</x:v>
      </x:c>
      <x:c r="F26" s="33" t="n">
        <x:v>0.65</x:v>
      </x:c>
      <x:c r="G26" s="33" t="n">
        <x:v>0.65</x:v>
      </x:c>
      <x:c r="H26" s="33" t="n">
        <x:v>0.65</x:v>
      </x:c>
      <x:c r="I26" s="33" t="n">
        <x:v>0.65</x:v>
      </x:c>
      <x:c r="J26" s="33" t="n">
        <x:v>0.65</x:v>
      </x:c>
      <x:c r="K26" s="33" t="n">
        <x:v>0.65</x:v>
      </x:c>
      <x:c r="L26" s="33" t="n">
        <x:v>0.65</x:v>
      </x:c>
      <x:c r="M26" s="33" t="n">
        <x:v>0.65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0.65</x:v>
      </x:c>
      <x:c r="E27" s="33" t="n">
        <x:v>0.65</x:v>
      </x:c>
      <x:c r="F27" s="33" t="n">
        <x:v>0.65</x:v>
      </x:c>
      <x:c r="G27" s="33" t="n">
        <x:v>0.65</x:v>
      </x:c>
      <x:c r="H27" s="33" t="n">
        <x:v>0.65</x:v>
      </x:c>
      <x:c r="I27" s="33" t="n">
        <x:v>0.65</x:v>
      </x:c>
      <x:c r="J27" s="33" t="n">
        <x:v>0.65</x:v>
      </x:c>
      <x:c r="K27" s="33" t="n">
        <x:v>0.65</x:v>
      </x:c>
      <x:c r="L27" s="33" t="n">
        <x:v>0.65</x:v>
      </x:c>
      <x:c r="M27" s="33" t="n">
        <x:v>0.65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0.28</x:v>
      </x:c>
      <x:c r="H28" s="33" t="n">
        <x:v>0.27</x:v>
      </x:c>
      <x:c r="I28" s="33" t="n">
        <x:v>0.26</x:v>
      </x:c>
      <x:c r="J28" s="33" t="n">
        <x:v>0.25</x:v>
      </x:c>
      <x:c r="K28" s="33" t="n">
        <x:v>0.24</x:v>
      </x:c>
      <x:c r="L28" s="33" t="n">
        <x:v>0.23</x:v>
      </x:c>
      <x:c r="M28" s="33" t="n">
        <x:v>0.22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26.25</x:v>
      </x:c>
      <x:c r="H37" s="26" t="n">
        <x:f>H25</x:f>
        <x:v>37.4</x:v>
      </x:c>
      <x:c r="I37" s="26" t="n">
        <x:f>I25</x:f>
        <x:v>28.405</x:v>
      </x:c>
      <x:c r="J37" s="26" t="n">
        <x:f>J25</x:f>
        <x:v>21.824</x:v>
      </x:c>
      <x:c r="K37" s="26" t="n">
        <x:f>K25</x:f>
        <x:v>16.240000000000002</x:v>
      </x:c>
      <x:c r="L37" s="26" t="n">
        <x:f>L25</x:f>
        <x:v>11.664</x:v>
      </x:c>
      <x:c r="M37" s="26" t="n">
        <x:f>M25</x:f>
        <x:v>8.5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17.0625</x:v>
      </x:c>
      <x:c r="H38" s="29" t="n">
        <x:f>H25*H26</x:f>
        <x:v>24.31</x:v>
      </x:c>
      <x:c r="I38" s="29" t="n">
        <x:f>I25*I26</x:f>
        <x:v>18.463250000000002</x:v>
      </x:c>
      <x:c r="J38" s="29" t="n">
        <x:f>J25*J26</x:f>
        <x:v>14.1856</x:v>
      </x:c>
      <x:c r="K38" s="29" t="n">
        <x:f>K25*K26</x:f>
        <x:v>10.556000000000001</x:v>
      </x:c>
      <x:c r="L38" s="29" t="n">
        <x:f>L25*L26</x:f>
        <x:v>7.5816</x:v>
      </x:c>
      <x:c r="M38" s="29" t="n">
        <x:f>M25*M26</x:f>
        <x:v>5.525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11.090625000000001</x:v>
      </x:c>
      <x:c r="H39" s="26" t="n">
        <x:f>H38*H27</x:f>
        <x:v>15.801499999999999</x:v>
      </x:c>
      <x:c r="I39" s="26" t="n">
        <x:f>I38*I27</x:f>
        <x:v>12.001112500000001</x:v>
      </x:c>
      <x:c r="J39" s="26" t="n">
        <x:f>J38*J27</x:f>
        <x:v>9.220640000000001</x:v>
      </x:c>
      <x:c r="K39" s="26" t="n">
        <x:f>K38*K27</x:f>
        <x:v>6.861400000000001</x:v>
      </x:c>
      <x:c r="L39" s="26" t="n">
        <x:f>L38*L27</x:f>
        <x:v>4.92804</x:v>
      </x:c>
      <x:c r="M39" s="26" t="n">
        <x:f>M38*M27</x:f>
        <x:v>3.5912500000000005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0.28</x:v>
      </x:c>
      <x:c r="H40" s="27" t="n">
        <x:f>H28</x:f>
        <x:v>0.27</x:v>
      </x:c>
      <x:c r="I40" s="27" t="n">
        <x:f>I28</x:f>
        <x:v>0.26</x:v>
      </x:c>
      <x:c r="J40" s="27" t="n">
        <x:f>J28</x:f>
        <x:v>0.25</x:v>
      </x:c>
      <x:c r="K40" s="27" t="n">
        <x:f>K28</x:f>
        <x:v>0.24</x:v>
      </x:c>
      <x:c r="L40" s="27" t="n">
        <x:f>L28</x:f>
        <x:v>0.23</x:v>
      </x:c>
      <x:c r="M40" s="27" t="n">
        <x:f>M28</x:f>
        <x:v>0.22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4.777500000000001</x:v>
      </x:c>
      <x:c r="H41" s="29" t="n">
        <x:f>H38*H40</x:f>
        <x:v>6.5637</x:v>
      </x:c>
      <x:c r="I41" s="29" t="n">
        <x:f>I38*I40</x:f>
        <x:v>4.800445000000001</x:v>
      </x:c>
      <x:c r="J41" s="29" t="n">
        <x:f>J38*J40</x:f>
        <x:v>3.5464</x:v>
      </x:c>
      <x:c r="K41" s="29" t="n">
        <x:f>K38*K40</x:f>
        <x:v>2.53344</x:v>
      </x:c>
      <x:c r="L41" s="29" t="n">
        <x:f>L38*L40</x:f>
        <x:v>1.743768</x:v>
      </x:c>
      <x:c r="M41" s="29" t="n">
        <x:f>M38*M40</x:f>
        <x:v>1.2155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3.1053750000000004</x:v>
      </x:c>
      <x:c r="H42" s="26" t="n">
        <x:f>H39*H40</x:f>
        <x:v>4.266405</x:v>
      </x:c>
      <x:c r="I42" s="26" t="n">
        <x:f>I39*I40</x:f>
        <x:v>3.1202892500000003</x:v>
      </x:c>
      <x:c r="J42" s="26" t="n">
        <x:f>J39*J40</x:f>
        <x:v>2.3051600000000003</x:v>
      </x:c>
      <x:c r="K42" s="26" t="n">
        <x:f>K39*K40</x:f>
        <x:v>1.646736</x:v>
      </x:c>
      <x:c r="L42" s="26" t="n">
        <x:f>L39*L40</x:f>
        <x:v>1.1334492</x:v>
      </x:c>
      <x:c r="M42" s="26" t="n">
        <x:f>M39*M40</x:f>
        <x:v>0.7900750000000001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1569.75</x:v>
      </x:c>
      <x:c r="H43" s="26" t="n">
        <x:f>H38*'Global Assump'!H$4</x:f>
        <x:v>2285.14</x:v>
      </x:c>
      <x:c r="I43" s="26" t="n">
        <x:f>I38*'Global Assump'!I$4</x:f>
        <x:v>1772.4720000000002</x:v>
      </x:c>
      <x:c r="J43" s="26" t="n">
        <x:f>J38*'Global Assump'!J$4</x:f>
        <x:v>1390.1888000000001</x:v>
      </x:c>
      <x:c r="K43" s="26" t="n">
        <x:f>K38*'Global Assump'!K$4</x:f>
        <x:v>1055.6000000000001</x:v>
      </x:c>
      <x:c r="L43" s="26" t="n">
        <x:f>L38*'Global Assump'!L$4</x:f>
        <x:v>773.3232</x:v>
      </x:c>
      <x:c r="M43" s="26" t="n">
        <x:f>M38*'Global Assump'!M$4</x:f>
        <x:v>574.6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1020.3375000000001</x:v>
      </x:c>
      <x:c r="H44" s="30" t="n">
        <x:f>H39*'Global Assump'!H$4</x:f>
        <x:v>1485.341</x:v>
      </x:c>
      <x:c r="I44" s="30" t="n">
        <x:f>I39*'Global Assump'!I$4</x:f>
        <x:v>1152.1068</x:v>
      </x:c>
      <x:c r="J44" s="30" t="n">
        <x:f>J39*'Global Assump'!J$4</x:f>
        <x:v>903.6227200000001</x:v>
      </x:c>
      <x:c r="K44" s="30" t="n">
        <x:f>K39*'Global Assump'!K$4</x:f>
        <x:v>686.1400000000001</x:v>
      </x:c>
      <x:c r="L44" s="30" t="n">
        <x:f>L39*'Global Assump'!L$4</x:f>
        <x:v>502.66008</x:v>
      </x:c>
      <x:c r="M44" s="30" t="n">
        <x:f>M39*'Global Assump'!M$4</x:f>
        <x:v>373.49000000000007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Rifaximin 550mg | Paragraph IV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Rifaximin 550mg | Paragraph IV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Paragraph IV / complex generic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Dense patent estate; modeled launch FY30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Teva exclusivity, litigation, licensed competition and price erosion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H20" s="32" t="n">
        <x:v>2200</x:v>
      </x:c>
      <x:c r="I20" s="32" t="n">
        <x:v>2100</x:v>
      </x:c>
      <x:c r="J20" s="32" t="n">
        <x:v>1950</x:v>
      </x:c>
      <x:c r="K20" s="32" t="n">
        <x:v>1800</x:v>
      </x:c>
      <x:c r="L20" s="32" t="n">
        <x:v>1650</x:v>
      </x:c>
      <x:c r="M20" s="32" t="n">
        <x:v>1500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</x:v>
      </x:c>
      <x:c r="G21" s="33" t="n">
        <x:v>0</x:v>
      </x:c>
      <x:c r="H21" s="33" t="n">
        <x:v>0.18</x:v>
      </x:c>
      <x:c r="I21" s="33" t="n">
        <x:v>0.16</x:v>
      </x:c>
      <x:c r="J21" s="33" t="n">
        <x:v>0.14</x:v>
      </x:c>
      <x:c r="K21" s="33" t="n">
        <x:v>0.12</x:v>
      </x:c>
      <x:c r="L21" s="33" t="n">
        <x:v>0.1</x:v>
      </x:c>
      <x:c r="M21" s="33" t="n">
        <x:v>0.09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0</x:v>
      </x:c>
      <x:c r="G22" s="26" t="n">
        <x:f>G20*G21</x:f>
        <x:v>0</x:v>
      </x:c>
      <x:c r="H22" s="26" t="n">
        <x:f>H20*H21</x:f>
        <x:v>396</x:v>
      </x:c>
      <x:c r="I22" s="26" t="n">
        <x:f>I20*I21</x:f>
        <x:v>336</x:v>
      </x:c>
      <x:c r="J22" s="26" t="n">
        <x:f>J20*J21</x:f>
        <x:v>273</x:v>
      </x:c>
      <x:c r="K22" s="26" t="n">
        <x:f>K20*K21</x:f>
        <x:v>216</x:v>
      </x:c>
      <x:c r="L22" s="26" t="n">
        <x:f>L20*L21</x:f>
        <x:v>165</x:v>
      </x:c>
      <x:c r="M22" s="26" t="n">
        <x:f>M20*M21</x:f>
        <x:v>135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</x:v>
      </x:c>
      <x:c r="H23" s="33" t="n">
        <x:v>0.3</x:v>
      </x:c>
      <x:c r="I23" s="33" t="n">
        <x:v>0.28</x:v>
      </x:c>
      <x:c r="J23" s="33" t="n">
        <x:v>0.27</x:v>
      </x:c>
      <x:c r="K23" s="33" t="n">
        <x:v>0.25</x:v>
      </x:c>
      <x:c r="L23" s="33" t="n">
        <x:v>0.23</x:v>
      </x:c>
      <x:c r="M23" s="33" t="n">
        <x:v>0.22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</x:v>
      </x:c>
      <x:c r="G24" s="33" t="n">
        <x:v>0</x:v>
      </x:c>
      <x:c r="H24" s="33" t="n">
        <x:v>0.75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0</x:v>
      </x:c>
      <x:c r="G25" s="26" t="n">
        <x:f>G22*G23*G24</x:f>
        <x:v>0</x:v>
      </x:c>
      <x:c r="H25" s="26" t="n">
        <x:f>H22*H23*H24</x:f>
        <x:v>89.1</x:v>
      </x:c>
      <x:c r="I25" s="26" t="n">
        <x:f>I22*I23*I24</x:f>
        <x:v>94.08000000000001</x:v>
      </x:c>
      <x:c r="J25" s="26" t="n">
        <x:f>J22*J23*J24</x:f>
        <x:v>73.71000000000001</x:v>
      </x:c>
      <x:c r="K25" s="26" t="n">
        <x:f>K22*K23*K24</x:f>
        <x:v>54</x:v>
      </x:c>
      <x:c r="L25" s="26" t="n">
        <x:f>L22*L23*L24</x:f>
        <x:v>37.95</x:v>
      </x:c>
      <x:c r="M25" s="26" t="n">
        <x:f>M22*M23*M24</x:f>
        <x:v>29.7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0.8</x:v>
      </x:c>
      <x:c r="E26" s="33" t="n">
        <x:v>0.8</x:v>
      </x:c>
      <x:c r="F26" s="33" t="n">
        <x:v>0.8</x:v>
      </x:c>
      <x:c r="G26" s="33" t="n">
        <x:v>0.8</x:v>
      </x:c>
      <x:c r="H26" s="33" t="n">
        <x:v>0.8</x:v>
      </x:c>
      <x:c r="I26" s="33" t="n">
        <x:v>0.8</x:v>
      </x:c>
      <x:c r="J26" s="33" t="n">
        <x:v>0.8</x:v>
      </x:c>
      <x:c r="K26" s="33" t="n">
        <x:v>0.8</x:v>
      </x:c>
      <x:c r="L26" s="33" t="n">
        <x:v>0.8</x:v>
      </x:c>
      <x:c r="M26" s="33" t="n">
        <x:v>0.8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0.5</x:v>
      </x:c>
      <x:c r="E27" s="33" t="n">
        <x:v>0.5</x:v>
      </x:c>
      <x:c r="F27" s="33" t="n">
        <x:v>0.5</x:v>
      </x:c>
      <x:c r="G27" s="33" t="n">
        <x:v>0.5</x:v>
      </x:c>
      <x:c r="H27" s="33" t="n">
        <x:v>0.5</x:v>
      </x:c>
      <x:c r="I27" s="33" t="n">
        <x:v>0.5</x:v>
      </x:c>
      <x:c r="J27" s="33" t="n">
        <x:v>0.5</x:v>
      </x:c>
      <x:c r="K27" s="33" t="n">
        <x:v>0.5</x:v>
      </x:c>
      <x:c r="L27" s="33" t="n">
        <x:v>0.5</x:v>
      </x:c>
      <x:c r="M27" s="33" t="n">
        <x:v>0.5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</x:v>
      </x:c>
      <x:c r="H28" s="33" t="n">
        <x:v>0.3</x:v>
      </x:c>
      <x:c r="I28" s="33" t="n">
        <x:v>0.3</x:v>
      </x:c>
      <x:c r="J28" s="33" t="n">
        <x:v>0.29</x:v>
      </x:c>
      <x:c r="K28" s="33" t="n">
        <x:v>0.28</x:v>
      </x:c>
      <x:c r="L28" s="33" t="n">
        <x:v>0.27</x:v>
      </x:c>
      <x:c r="M28" s="33" t="n">
        <x:v>0.26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0</x:v>
      </x:c>
      <x:c r="H37" s="26" t="n">
        <x:f>H25</x:f>
        <x:v>89.1</x:v>
      </x:c>
      <x:c r="I37" s="26" t="n">
        <x:f>I25</x:f>
        <x:v>94.08000000000001</x:v>
      </x:c>
      <x:c r="J37" s="26" t="n">
        <x:f>J25</x:f>
        <x:v>73.71000000000001</x:v>
      </x:c>
      <x:c r="K37" s="26" t="n">
        <x:f>K25</x:f>
        <x:v>54</x:v>
      </x:c>
      <x:c r="L37" s="26" t="n">
        <x:f>L25</x:f>
        <x:v>37.95</x:v>
      </x:c>
      <x:c r="M37" s="26" t="n">
        <x:f>M25</x:f>
        <x:v>29.7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0</x:v>
      </x:c>
      <x:c r="H38" s="29" t="n">
        <x:f>H25*H26</x:f>
        <x:v>71.28</x:v>
      </x:c>
      <x:c r="I38" s="29" t="n">
        <x:f>I25*I26</x:f>
        <x:v>75.26400000000001</x:v>
      </x:c>
      <x:c r="J38" s="29" t="n">
        <x:f>J25*J26</x:f>
        <x:v>58.96800000000001</x:v>
      </x:c>
      <x:c r="K38" s="29" t="n">
        <x:f>K25*K26</x:f>
        <x:v>43.2</x:v>
      </x:c>
      <x:c r="L38" s="29" t="n">
        <x:f>L25*L26</x:f>
        <x:v>30.360000000000003</x:v>
      </x:c>
      <x:c r="M38" s="29" t="n">
        <x:f>M25*M26</x:f>
        <x:v>23.76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0</x:v>
      </x:c>
      <x:c r="H39" s="26" t="n">
        <x:f>H38*H27</x:f>
        <x:v>35.64</x:v>
      </x:c>
      <x:c r="I39" s="26" t="n">
        <x:f>I38*I27</x:f>
        <x:v>37.632000000000005</x:v>
      </x:c>
      <x:c r="J39" s="26" t="n">
        <x:f>J38*J27</x:f>
        <x:v>29.484000000000005</x:v>
      </x:c>
      <x:c r="K39" s="26" t="n">
        <x:f>K38*K27</x:f>
        <x:v>21.6</x:v>
      </x:c>
      <x:c r="L39" s="26" t="n">
        <x:f>L38*L27</x:f>
        <x:v>15.180000000000001</x:v>
      </x:c>
      <x:c r="M39" s="26" t="n">
        <x:f>M38*M27</x:f>
        <x:v>11.88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</x:v>
      </x:c>
      <x:c r="H40" s="27" t="n">
        <x:f>H28</x:f>
        <x:v>0.3</x:v>
      </x:c>
      <x:c r="I40" s="27" t="n">
        <x:f>I28</x:f>
        <x:v>0.3</x:v>
      </x:c>
      <x:c r="J40" s="27" t="n">
        <x:f>J28</x:f>
        <x:v>0.29</x:v>
      </x:c>
      <x:c r="K40" s="27" t="n">
        <x:f>K28</x:f>
        <x:v>0.28</x:v>
      </x:c>
      <x:c r="L40" s="27" t="n">
        <x:f>L28</x:f>
        <x:v>0.27</x:v>
      </x:c>
      <x:c r="M40" s="27" t="n">
        <x:f>M28</x:f>
        <x:v>0.26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0</x:v>
      </x:c>
      <x:c r="H41" s="29" t="n">
        <x:f>H38*H40</x:f>
        <x:v>21.384</x:v>
      </x:c>
      <x:c r="I41" s="29" t="n">
        <x:f>I38*I40</x:f>
        <x:v>22.579200000000004</x:v>
      </x:c>
      <x:c r="J41" s="29" t="n">
        <x:f>J38*J40</x:f>
        <x:v>17.100720000000003</x:v>
      </x:c>
      <x:c r="K41" s="29" t="n">
        <x:f>K38*K40</x:f>
        <x:v>12.096000000000002</x:v>
      </x:c>
      <x:c r="L41" s="29" t="n">
        <x:f>L38*L40</x:f>
        <x:v>8.1972</x:v>
      </x:c>
      <x:c r="M41" s="29" t="n">
        <x:f>M38*M40</x:f>
        <x:v>6.177600000000001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</x:v>
      </x:c>
      <x:c r="H42" s="26" t="n">
        <x:f>H39*H40</x:f>
        <x:v>10.692</x:v>
      </x:c>
      <x:c r="I42" s="26" t="n">
        <x:f>I39*I40</x:f>
        <x:v>11.289600000000002</x:v>
      </x:c>
      <x:c r="J42" s="26" t="n">
        <x:f>J39*J40</x:f>
        <x:v>8.550360000000001</x:v>
      </x:c>
      <x:c r="K42" s="26" t="n">
        <x:f>K39*K40</x:f>
        <x:v>6.048000000000001</x:v>
      </x:c>
      <x:c r="L42" s="26" t="n">
        <x:f>L39*L40</x:f>
        <x:v>4.0986</x:v>
      </x:c>
      <x:c r="M42" s="26" t="n">
        <x:f>M39*M40</x:f>
        <x:v>3.0888000000000004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0</x:v>
      </x:c>
      <x:c r="H43" s="26" t="n">
        <x:f>H38*'Global Assump'!H$4</x:f>
        <x:v>6700.32</x:v>
      </x:c>
      <x:c r="I43" s="26" t="n">
        <x:f>I38*'Global Assump'!I$4</x:f>
        <x:v>7225.344000000001</x:v>
      </x:c>
      <x:c r="J43" s="26" t="n">
        <x:f>J38*'Global Assump'!J$4</x:f>
        <x:v>5778.864000000001</x:v>
      </x:c>
      <x:c r="K43" s="26" t="n">
        <x:f>K38*'Global Assump'!K$4</x:f>
        <x:v>4320</x:v>
      </x:c>
      <x:c r="L43" s="26" t="n">
        <x:f>L38*'Global Assump'!L$4</x:f>
        <x:v>3096.7200000000003</x:v>
      </x:c>
      <x:c r="M43" s="26" t="n">
        <x:f>M38*'Global Assump'!M$4</x:f>
        <x:v>2471.04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0</x:v>
      </x:c>
      <x:c r="H44" s="30" t="n">
        <x:f>H39*'Global Assump'!H$4</x:f>
        <x:v>3350.16</x:v>
      </x:c>
      <x:c r="I44" s="30" t="n">
        <x:f>I39*'Global Assump'!I$4</x:f>
        <x:v>3612.6720000000005</x:v>
      </x:c>
      <x:c r="J44" s="30" t="n">
        <x:f>J39*'Global Assump'!J$4</x:f>
        <x:v>2889.4320000000007</x:v>
      </x:c>
      <x:c r="K44" s="30" t="n">
        <x:f>K39*'Global Assump'!K$4</x:f>
        <x:v>2160</x:v>
      </x:c>
      <x:c r="L44" s="30" t="n">
        <x:f>L39*'Global Assump'!L$4</x:f>
        <x:v>1548.3600000000001</x:v>
      </x:c>
      <x:c r="M44" s="30" t="n">
        <x:f>M39*'Global Assump'!M$4</x:f>
        <x:v>1235.52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Ibrutinib | Paragraph IV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Ibrutinib | Paragraph IV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Paragraph IV / complex generic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Tentative approval / later oncology opportunity; modeled FY31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Patent settlement, multiple strengths, entrants and timing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H20" s="32" t="n">
        <x:v>0</x:v>
      </x:c>
      <x:c r="I20" s="32" t="n">
        <x:v>2600</x:v>
      </x:c>
      <x:c r="J20" s="32" t="n">
        <x:v>2300</x:v>
      </x:c>
      <x:c r="K20" s="32" t="n">
        <x:v>2000</x:v>
      </x:c>
      <x:c r="L20" s="32" t="n">
        <x:v>1700</x:v>
      </x:c>
      <x:c r="M20" s="32" t="n">
        <x:v>1400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</x:v>
      </x:c>
      <x:c r="G21" s="33" t="n">
        <x:v>0</x:v>
      </x:c>
      <x:c r="H21" s="33" t="n">
        <x:v>0</x:v>
      </x:c>
      <x:c r="I21" s="33" t="n">
        <x:v>0.08</x:v>
      </x:c>
      <x:c r="J21" s="33" t="n">
        <x:v>0.07</x:v>
      </x:c>
      <x:c r="K21" s="33" t="n">
        <x:v>0.06</x:v>
      </x:c>
      <x:c r="L21" s="33" t="n">
        <x:v>0.05</x:v>
      </x:c>
      <x:c r="M21" s="33" t="n">
        <x:v>0.045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0</x:v>
      </x:c>
      <x:c r="G22" s="26" t="n">
        <x:f>G20*G21</x:f>
        <x:v>0</x:v>
      </x:c>
      <x:c r="H22" s="26" t="n">
        <x:f>H20*H21</x:f>
        <x:v>0</x:v>
      </x:c>
      <x:c r="I22" s="26" t="n">
        <x:f>I20*I21</x:f>
        <x:v>208</x:v>
      </x:c>
      <x:c r="J22" s="26" t="n">
        <x:f>J20*J21</x:f>
        <x:v>161.00000000000003</x:v>
      </x:c>
      <x:c r="K22" s="26" t="n">
        <x:f>K20*K21</x:f>
        <x:v>120</x:v>
      </x:c>
      <x:c r="L22" s="26" t="n">
        <x:f>L20*L21</x:f>
        <x:v>85</x:v>
      </x:c>
      <x:c r="M22" s="26" t="n">
        <x:f>M20*M21</x:f>
        <x:v>63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</x:v>
      </x:c>
      <x:c r="H23" s="33" t="n">
        <x:v>0</x:v>
      </x:c>
      <x:c r="I23" s="33" t="n">
        <x:v>0.2</x:v>
      </x:c>
      <x:c r="J23" s="33" t="n">
        <x:v>0.2</x:v>
      </x:c>
      <x:c r="K23" s="33" t="n">
        <x:v>0.19</x:v>
      </x:c>
      <x:c r="L23" s="33" t="n">
        <x:v>0.18</x:v>
      </x:c>
      <x:c r="M23" s="33" t="n">
        <x:v>0.18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</x:v>
      </x:c>
      <x:c r="G24" s="33" t="n">
        <x:v>0</x:v>
      </x:c>
      <x:c r="H24" s="33" t="n">
        <x:v>0</x:v>
      </x:c>
      <x:c r="I24" s="33" t="n">
        <x:v>0.7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0</x:v>
      </x:c>
      <x:c r="G25" s="26" t="n">
        <x:f>G22*G23*G24</x:f>
        <x:v>0</x:v>
      </x:c>
      <x:c r="H25" s="26" t="n">
        <x:f>H22*H23*H24</x:f>
        <x:v>0</x:v>
      </x:c>
      <x:c r="I25" s="26" t="n">
        <x:f>I22*I23*I24</x:f>
        <x:v>29.119999999999997</x:v>
      </x:c>
      <x:c r="J25" s="26" t="n">
        <x:f>J22*J23*J24</x:f>
        <x:v>32.20000000000001</x:v>
      </x:c>
      <x:c r="K25" s="26" t="n">
        <x:f>K22*K23*K24</x:f>
        <x:v>22.8</x:v>
      </x:c>
      <x:c r="L25" s="26" t="n">
        <x:f>L22*L23*L24</x:f>
        <x:v>15.299999999999999</x:v>
      </x:c>
      <x:c r="M25" s="26" t="n">
        <x:f>M22*M23*M24</x:f>
        <x:v>11.34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0.5</x:v>
      </x:c>
      <x:c r="E27" s="33" t="n">
        <x:v>0.5</x:v>
      </x:c>
      <x:c r="F27" s="33" t="n">
        <x:v>0.5</x:v>
      </x:c>
      <x:c r="G27" s="33" t="n">
        <x:v>0.5</x:v>
      </x:c>
      <x:c r="H27" s="33" t="n">
        <x:v>0.5</x:v>
      </x:c>
      <x:c r="I27" s="33" t="n">
        <x:v>0.5</x:v>
      </x:c>
      <x:c r="J27" s="33" t="n">
        <x:v>0.5</x:v>
      </x:c>
      <x:c r="K27" s="33" t="n">
        <x:v>0.5</x:v>
      </x:c>
      <x:c r="L27" s="33" t="n">
        <x:v>0.5</x:v>
      </x:c>
      <x:c r="M27" s="33" t="n">
        <x:v>0.5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</x:v>
      </x:c>
      <x:c r="H28" s="33" t="n">
        <x:v>0</x:v>
      </x:c>
      <x:c r="I28" s="33" t="n">
        <x:v>0.32</x:v>
      </x:c>
      <x:c r="J28" s="33" t="n">
        <x:v>0.31</x:v>
      </x:c>
      <x:c r="K28" s="33" t="n">
        <x:v>0.3</x:v>
      </x:c>
      <x:c r="L28" s="33" t="n">
        <x:v>0.29</x:v>
      </x:c>
      <x:c r="M28" s="33" t="n">
        <x:v>0.28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0</x:v>
      </x:c>
      <x:c r="H37" s="26" t="n">
        <x:f>H25</x:f>
        <x:v>0</x:v>
      </x:c>
      <x:c r="I37" s="26" t="n">
        <x:f>I25</x:f>
        <x:v>29.119999999999997</x:v>
      </x:c>
      <x:c r="J37" s="26" t="n">
        <x:f>J25</x:f>
        <x:v>32.20000000000001</x:v>
      </x:c>
      <x:c r="K37" s="26" t="n">
        <x:f>K25</x:f>
        <x:v>22.8</x:v>
      </x:c>
      <x:c r="L37" s="26" t="n">
        <x:f>L25</x:f>
        <x:v>15.299999999999999</x:v>
      </x:c>
      <x:c r="M37" s="26" t="n">
        <x:f>M25</x:f>
        <x:v>11.34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0</x:v>
      </x:c>
      <x:c r="H38" s="29" t="n">
        <x:f>H25*H26</x:f>
        <x:v>0</x:v>
      </x:c>
      <x:c r="I38" s="29" t="n">
        <x:f>I25*I26</x:f>
        <x:v>29.119999999999997</x:v>
      </x:c>
      <x:c r="J38" s="29" t="n">
        <x:f>J25*J26</x:f>
        <x:v>32.20000000000001</x:v>
      </x:c>
      <x:c r="K38" s="29" t="n">
        <x:f>K25*K26</x:f>
        <x:v>22.8</x:v>
      </x:c>
      <x:c r="L38" s="29" t="n">
        <x:f>L25*L26</x:f>
        <x:v>15.299999999999999</x:v>
      </x:c>
      <x:c r="M38" s="29" t="n">
        <x:f>M25*M26</x:f>
        <x:v>11.34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0</x:v>
      </x:c>
      <x:c r="H39" s="26" t="n">
        <x:f>H38*H27</x:f>
        <x:v>0</x:v>
      </x:c>
      <x:c r="I39" s="26" t="n">
        <x:f>I38*I27</x:f>
        <x:v>14.559999999999999</x:v>
      </x:c>
      <x:c r="J39" s="26" t="n">
        <x:f>J38*J27</x:f>
        <x:v>16.100000000000005</x:v>
      </x:c>
      <x:c r="K39" s="26" t="n">
        <x:f>K38*K27</x:f>
        <x:v>11.4</x:v>
      </x:c>
      <x:c r="L39" s="26" t="n">
        <x:f>L38*L27</x:f>
        <x:v>7.6499999999999995</x:v>
      </x:c>
      <x:c r="M39" s="26" t="n">
        <x:f>M38*M27</x:f>
        <x:v>5.67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</x:v>
      </x:c>
      <x:c r="H40" s="27" t="n">
        <x:f>H28</x:f>
        <x:v>0</x:v>
      </x:c>
      <x:c r="I40" s="27" t="n">
        <x:f>I28</x:f>
        <x:v>0.32</x:v>
      </x:c>
      <x:c r="J40" s="27" t="n">
        <x:f>J28</x:f>
        <x:v>0.31</x:v>
      </x:c>
      <x:c r="K40" s="27" t="n">
        <x:f>K28</x:f>
        <x:v>0.3</x:v>
      </x:c>
      <x:c r="L40" s="27" t="n">
        <x:f>L28</x:f>
        <x:v>0.29</x:v>
      </x:c>
      <x:c r="M40" s="27" t="n">
        <x:f>M28</x:f>
        <x:v>0.28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0</x:v>
      </x:c>
      <x:c r="H41" s="29" t="n">
        <x:f>H38*H40</x:f>
        <x:v>0</x:v>
      </x:c>
      <x:c r="I41" s="29" t="n">
        <x:f>I38*I40</x:f>
        <x:v>9.318399999999999</x:v>
      </x:c>
      <x:c r="J41" s="29" t="n">
        <x:f>J38*J40</x:f>
        <x:v>9.982000000000003</x:v>
      </x:c>
      <x:c r="K41" s="29" t="n">
        <x:f>K38*K40</x:f>
        <x:v>6.84</x:v>
      </x:c>
      <x:c r="L41" s="29" t="n">
        <x:f>L38*L40</x:f>
        <x:v>4.436999999999999</x:v>
      </x:c>
      <x:c r="M41" s="29" t="n">
        <x:f>M38*M40</x:f>
        <x:v>3.1752000000000002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</x:v>
      </x:c>
      <x:c r="H42" s="26" t="n">
        <x:f>H39*H40</x:f>
        <x:v>0</x:v>
      </x:c>
      <x:c r="I42" s="26" t="n">
        <x:f>I39*I40</x:f>
        <x:v>4.659199999999999</x:v>
      </x:c>
      <x:c r="J42" s="26" t="n">
        <x:f>J39*J40</x:f>
        <x:v>4.991000000000001</x:v>
      </x:c>
      <x:c r="K42" s="26" t="n">
        <x:f>K39*K40</x:f>
        <x:v>3.42</x:v>
      </x:c>
      <x:c r="L42" s="26" t="n">
        <x:f>L39*L40</x:f>
        <x:v>2.2184999999999997</x:v>
      </x:c>
      <x:c r="M42" s="26" t="n">
        <x:f>M39*M40</x:f>
        <x:v>1.5876000000000001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0</x:v>
      </x:c>
      <x:c r="H43" s="26" t="n">
        <x:f>H38*'Global Assump'!H$4</x:f>
        <x:v>0</x:v>
      </x:c>
      <x:c r="I43" s="26" t="n">
        <x:f>I38*'Global Assump'!I$4</x:f>
        <x:v>2795.5199999999995</x:v>
      </x:c>
      <x:c r="J43" s="26" t="n">
        <x:f>J38*'Global Assump'!J$4</x:f>
        <x:v>3155.600000000001</x:v>
      </x:c>
      <x:c r="K43" s="26" t="n">
        <x:f>K38*'Global Assump'!K$4</x:f>
        <x:v>2280</x:v>
      </x:c>
      <x:c r="L43" s="26" t="n">
        <x:f>L38*'Global Assump'!L$4</x:f>
        <x:v>1560.6</x:v>
      </x:c>
      <x:c r="M43" s="26" t="n">
        <x:f>M38*'Global Assump'!M$4</x:f>
        <x:v>1179.36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0</x:v>
      </x:c>
      <x:c r="H44" s="30" t="n">
        <x:f>H39*'Global Assump'!H$4</x:f>
        <x:v>0</x:v>
      </x:c>
      <x:c r="I44" s="30" t="n">
        <x:f>I39*'Global Assump'!I$4</x:f>
        <x:v>1397.7599999999998</x:v>
      </x:c>
      <x:c r="J44" s="30" t="n">
        <x:f>J39*'Global Assump'!J$4</x:f>
        <x:v>1577.8000000000004</x:v>
      </x:c>
      <x:c r="K44" s="30" t="n">
        <x:f>K39*'Global Assump'!K$4</x:f>
        <x:v>1140</x:v>
      </x:c>
      <x:c r="L44" s="30" t="n">
        <x:f>L39*'Global Assump'!L$4</x:f>
        <x:v>780.3</x:v>
      </x:c>
      <x:c r="M44" s="30" t="n">
        <x:f>M39*'Global Assump'!M$4</x:f>
        <x:v>589.68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Cabozantinib | Paragraph IV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Cabozantinib | Paragraph IV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Paragraph IV / complex generic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Later oncology opportunity; modeled FY32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Patent merits, entry date, dosage forms and multiple entrants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H20" s="32" t="n">
        <x:v>0</x:v>
      </x:c>
      <x:c r="I20" s="32" t="n">
        <x:v>0</x:v>
      </x:c>
      <x:c r="J20" s="32" t="n">
        <x:v>1800</x:v>
      </x:c>
      <x:c r="K20" s="32" t="n">
        <x:v>1650</x:v>
      </x:c>
      <x:c r="L20" s="32" t="n">
        <x:v>1500</x:v>
      </x:c>
      <x:c r="M20" s="32" t="n">
        <x:v>1350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</x:v>
      </x:c>
      <x:c r="G21" s="33" t="n">
        <x:v>0</x:v>
      </x:c>
      <x:c r="H21" s="33" t="n">
        <x:v>0</x:v>
      </x:c>
      <x:c r="I21" s="33" t="n">
        <x:v>0</x:v>
      </x:c>
      <x:c r="J21" s="33" t="n">
        <x:v>0.1</x:v>
      </x:c>
      <x:c r="K21" s="33" t="n">
        <x:v>0.09</x:v>
      </x:c>
      <x:c r="L21" s="33" t="n">
        <x:v>0.08</x:v>
      </x:c>
      <x:c r="M21" s="33" t="n">
        <x:v>0.07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0</x:v>
      </x:c>
      <x:c r="G22" s="26" t="n">
        <x:f>G20*G21</x:f>
        <x:v>0</x:v>
      </x:c>
      <x:c r="H22" s="26" t="n">
        <x:f>H20*H21</x:f>
        <x:v>0</x:v>
      </x:c>
      <x:c r="I22" s="26" t="n">
        <x:f>I20*I21</x:f>
        <x:v>0</x:v>
      </x:c>
      <x:c r="J22" s="26" t="n">
        <x:f>J20*J21</x:f>
        <x:v>180</x:v>
      </x:c>
      <x:c r="K22" s="26" t="n">
        <x:f>K20*K21</x:f>
        <x:v>148.5</x:v>
      </x:c>
      <x:c r="L22" s="26" t="n">
        <x:f>L20*L21</x:f>
        <x:v>120</x:v>
      </x:c>
      <x:c r="M22" s="26" t="n">
        <x:f>M20*M21</x:f>
        <x:v>94.50000000000001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</x:v>
      </x:c>
      <x:c r="H23" s="33" t="n">
        <x:v>0</x:v>
      </x:c>
      <x:c r="I23" s="33" t="n">
        <x:v>0</x:v>
      </x:c>
      <x:c r="J23" s="33" t="n">
        <x:v>0.22</x:v>
      </x:c>
      <x:c r="K23" s="33" t="n">
        <x:v>0.21</x:v>
      </x:c>
      <x:c r="L23" s="33" t="n">
        <x:v>0.2</x:v>
      </x:c>
      <x:c r="M23" s="33" t="n">
        <x:v>0.19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</x:v>
      </x:c>
      <x:c r="G24" s="33" t="n">
        <x:v>0</x:v>
      </x:c>
      <x:c r="H24" s="33" t="n">
        <x:v>0</x:v>
      </x:c>
      <x:c r="I24" s="33" t="n">
        <x:v>0</x:v>
      </x:c>
      <x:c r="J24" s="33" t="n">
        <x:v>0.7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0</x:v>
      </x:c>
      <x:c r="G25" s="26" t="n">
        <x:f>G22*G23*G24</x:f>
        <x:v>0</x:v>
      </x:c>
      <x:c r="H25" s="26" t="n">
        <x:f>H22*H23*H24</x:f>
        <x:v>0</x:v>
      </x:c>
      <x:c r="I25" s="26" t="n">
        <x:f>I22*I23*I24</x:f>
        <x:v>0</x:v>
      </x:c>
      <x:c r="J25" s="26" t="n">
        <x:f>J22*J23*J24</x:f>
        <x:v>27.72</x:v>
      </x:c>
      <x:c r="K25" s="26" t="n">
        <x:f>K22*K23*K24</x:f>
        <x:v>31.185</x:v>
      </x:c>
      <x:c r="L25" s="26" t="n">
        <x:f>L22*L23*L24</x:f>
        <x:v>24</x:v>
      </x:c>
      <x:c r="M25" s="26" t="n">
        <x:f>M22*M23*M24</x:f>
        <x:v>17.955000000000002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0.4</x:v>
      </x:c>
      <x:c r="E27" s="33" t="n">
        <x:v>0.4</x:v>
      </x:c>
      <x:c r="F27" s="33" t="n">
        <x:v>0.4</x:v>
      </x:c>
      <x:c r="G27" s="33" t="n">
        <x:v>0.4</x:v>
      </x:c>
      <x:c r="H27" s="33" t="n">
        <x:v>0.4</x:v>
      </x:c>
      <x:c r="I27" s="33" t="n">
        <x:v>0.4</x:v>
      </x:c>
      <x:c r="J27" s="33" t="n">
        <x:v>0.4</x:v>
      </x:c>
      <x:c r="K27" s="33" t="n">
        <x:v>0.4</x:v>
      </x:c>
      <x:c r="L27" s="33" t="n">
        <x:v>0.4</x:v>
      </x:c>
      <x:c r="M27" s="33" t="n">
        <x:v>0.4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</x:v>
      </x:c>
      <x:c r="H28" s="33" t="n">
        <x:v>0</x:v>
      </x:c>
      <x:c r="I28" s="33" t="n">
        <x:v>0</x:v>
      </x:c>
      <x:c r="J28" s="33" t="n">
        <x:v>0.33</x:v>
      </x:c>
      <x:c r="K28" s="33" t="n">
        <x:v>0.32</x:v>
      </x:c>
      <x:c r="L28" s="33" t="n">
        <x:v>0.3</x:v>
      </x:c>
      <x:c r="M28" s="33" t="n">
        <x:v>0.29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0</x:v>
      </x:c>
      <x:c r="H37" s="26" t="n">
        <x:f>H25</x:f>
        <x:v>0</x:v>
      </x:c>
      <x:c r="I37" s="26" t="n">
        <x:f>I25</x:f>
        <x:v>0</x:v>
      </x:c>
      <x:c r="J37" s="26" t="n">
        <x:f>J25</x:f>
        <x:v>27.72</x:v>
      </x:c>
      <x:c r="K37" s="26" t="n">
        <x:f>K25</x:f>
        <x:v>31.185</x:v>
      </x:c>
      <x:c r="L37" s="26" t="n">
        <x:f>L25</x:f>
        <x:v>24</x:v>
      </x:c>
      <x:c r="M37" s="26" t="n">
        <x:f>M25</x:f>
        <x:v>17.955000000000002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0</x:v>
      </x:c>
      <x:c r="H38" s="29" t="n">
        <x:f>H25*H26</x:f>
        <x:v>0</x:v>
      </x:c>
      <x:c r="I38" s="29" t="n">
        <x:f>I25*I26</x:f>
        <x:v>0</x:v>
      </x:c>
      <x:c r="J38" s="29" t="n">
        <x:f>J25*J26</x:f>
        <x:v>27.72</x:v>
      </x:c>
      <x:c r="K38" s="29" t="n">
        <x:f>K25*K26</x:f>
        <x:v>31.185</x:v>
      </x:c>
      <x:c r="L38" s="29" t="n">
        <x:f>L25*L26</x:f>
        <x:v>24</x:v>
      </x:c>
      <x:c r="M38" s="29" t="n">
        <x:f>M25*M26</x:f>
        <x:v>17.955000000000002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0</x:v>
      </x:c>
      <x:c r="H39" s="26" t="n">
        <x:f>H38*H27</x:f>
        <x:v>0</x:v>
      </x:c>
      <x:c r="I39" s="26" t="n">
        <x:f>I38*I27</x:f>
        <x:v>0</x:v>
      </x:c>
      <x:c r="J39" s="26" t="n">
        <x:f>J38*J27</x:f>
        <x:v>11.088000000000001</x:v>
      </x:c>
      <x:c r="K39" s="26" t="n">
        <x:f>K38*K27</x:f>
        <x:v>12.474</x:v>
      </x:c>
      <x:c r="L39" s="26" t="n">
        <x:f>L38*L27</x:f>
        <x:v>9.600000000000001</x:v>
      </x:c>
      <x:c r="M39" s="26" t="n">
        <x:f>M38*M27</x:f>
        <x:v>7.182000000000001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</x:v>
      </x:c>
      <x:c r="H40" s="27" t="n">
        <x:f>H28</x:f>
        <x:v>0</x:v>
      </x:c>
      <x:c r="I40" s="27" t="n">
        <x:f>I28</x:f>
        <x:v>0</x:v>
      </x:c>
      <x:c r="J40" s="27" t="n">
        <x:f>J28</x:f>
        <x:v>0.33</x:v>
      </x:c>
      <x:c r="K40" s="27" t="n">
        <x:f>K28</x:f>
        <x:v>0.32</x:v>
      </x:c>
      <x:c r="L40" s="27" t="n">
        <x:f>L28</x:f>
        <x:v>0.3</x:v>
      </x:c>
      <x:c r="M40" s="27" t="n">
        <x:f>M28</x:f>
        <x:v>0.29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0</x:v>
      </x:c>
      <x:c r="H41" s="29" t="n">
        <x:f>H38*H40</x:f>
        <x:v>0</x:v>
      </x:c>
      <x:c r="I41" s="29" t="n">
        <x:f>I38*I40</x:f>
        <x:v>0</x:v>
      </x:c>
      <x:c r="J41" s="29" t="n">
        <x:f>J38*J40</x:f>
        <x:v>9.1476</x:v>
      </x:c>
      <x:c r="K41" s="29" t="n">
        <x:f>K38*K40</x:f>
        <x:v>9.9792</x:v>
      </x:c>
      <x:c r="L41" s="29" t="n">
        <x:f>L38*L40</x:f>
        <x:v>7.199999999999999</x:v>
      </x:c>
      <x:c r="M41" s="29" t="n">
        <x:f>M38*M40</x:f>
        <x:v>5.20695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</x:v>
      </x:c>
      <x:c r="H42" s="26" t="n">
        <x:f>H39*H40</x:f>
        <x:v>0</x:v>
      </x:c>
      <x:c r="I42" s="26" t="n">
        <x:f>I39*I40</x:f>
        <x:v>0</x:v>
      </x:c>
      <x:c r="J42" s="26" t="n">
        <x:f>J39*J40</x:f>
        <x:v>3.6590400000000005</x:v>
      </x:c>
      <x:c r="K42" s="26" t="n">
        <x:f>K39*K40</x:f>
        <x:v>3.99168</x:v>
      </x:c>
      <x:c r="L42" s="26" t="n">
        <x:f>L39*L40</x:f>
        <x:v>2.8800000000000003</x:v>
      </x:c>
      <x:c r="M42" s="26" t="n">
        <x:f>M39*M40</x:f>
        <x:v>2.08278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0</x:v>
      </x:c>
      <x:c r="H43" s="26" t="n">
        <x:f>H38*'Global Assump'!H$4</x:f>
        <x:v>0</x:v>
      </x:c>
      <x:c r="I43" s="26" t="n">
        <x:f>I38*'Global Assump'!I$4</x:f>
        <x:v>0</x:v>
      </x:c>
      <x:c r="J43" s="26" t="n">
        <x:f>J38*'Global Assump'!J$4</x:f>
        <x:v>2716.56</x:v>
      </x:c>
      <x:c r="K43" s="26" t="n">
        <x:f>K38*'Global Assump'!K$4</x:f>
        <x:v>3118.5</x:v>
      </x:c>
      <x:c r="L43" s="26" t="n">
        <x:f>L38*'Global Assump'!L$4</x:f>
        <x:v>2448</x:v>
      </x:c>
      <x:c r="M43" s="26" t="n">
        <x:f>M38*'Global Assump'!M$4</x:f>
        <x:v>1867.3200000000002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0</x:v>
      </x:c>
      <x:c r="H44" s="30" t="n">
        <x:f>H39*'Global Assump'!H$4</x:f>
        <x:v>0</x:v>
      </x:c>
      <x:c r="I44" s="30" t="n">
        <x:f>I39*'Global Assump'!I$4</x:f>
        <x:v>0</x:v>
      </x:c>
      <x:c r="J44" s="30" t="n">
        <x:f>J39*'Global Assump'!J$4</x:f>
        <x:v>1086.624</x:v>
      </x:c>
      <x:c r="K44" s="30" t="n">
        <x:f>K39*'Global Assump'!K$4</x:f>
        <x:v>1247.4</x:v>
      </x:c>
      <x:c r="L44" s="30" t="n">
        <x:f>L39*'Global Assump'!L$4</x:f>
        <x:v>979.2000000000002</x:v>
      </x:c>
      <x:c r="M44" s="30" t="n">
        <x:f>M39*'Global Assump'!M$4</x:f>
        <x:v>746.9280000000001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ZITUVIO / ZITUVIMET / XR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ZITUVIO / ZITUVIMET / XR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505(b)(2) / differentiated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Commercial; existing 505(b)(2) cluster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Formulary access, price pressure and DPP-4 class maturity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3200</x:v>
      </x:c>
      <x:c r="E20" s="32" t="n">
        <x:v>3300</x:v>
      </x:c>
      <x:c r="F20" s="32" t="n">
        <x:v>3400</x:v>
      </x:c>
      <x:c r="G20" s="32" t="n">
        <x:v>3500</x:v>
      </x:c>
      <x:c r="H20" s="32" t="n">
        <x:v>3500</x:v>
      </x:c>
      <x:c r="I20" s="32" t="n">
        <x:v>3400</x:v>
      </x:c>
      <x:c r="J20" s="32" t="n">
        <x:v>3300</x:v>
      </x:c>
      <x:c r="K20" s="32" t="n">
        <x:v>3200</x:v>
      </x:c>
      <x:c r="L20" s="32" t="n">
        <x:v>3100</x:v>
      </x:c>
      <x:c r="M20" s="32" t="n">
        <x:v>3000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0.1</x:v>
      </x:c>
      <x:c r="E21" s="33" t="n">
        <x:v>0.1</x:v>
      </x:c>
      <x:c r="F21" s="33" t="n">
        <x:v>0.1</x:v>
      </x:c>
      <x:c r="G21" s="33" t="n">
        <x:v>0.1</x:v>
      </x:c>
      <x:c r="H21" s="33" t="n">
        <x:v>0.1</x:v>
      </x:c>
      <x:c r="I21" s="33" t="n">
        <x:v>0.1</x:v>
      </x:c>
      <x:c r="J21" s="33" t="n">
        <x:v>0.1</x:v>
      </x:c>
      <x:c r="K21" s="33" t="n">
        <x:v>0.1</x:v>
      </x:c>
      <x:c r="L21" s="33" t="n">
        <x:v>0.1</x:v>
      </x:c>
      <x:c r="M21" s="33" t="n">
        <x:v>0.1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320</x:v>
      </x:c>
      <x:c r="E22" s="26" t="n">
        <x:f>E20*E21</x:f>
        <x:v>330</x:v>
      </x:c>
      <x:c r="F22" s="26" t="n">
        <x:f>F20*F21</x:f>
        <x:v>340</x:v>
      </x:c>
      <x:c r="G22" s="26" t="n">
        <x:f>G20*G21</x:f>
        <x:v>350</x:v>
      </x:c>
      <x:c r="H22" s="26" t="n">
        <x:f>H20*H21</x:f>
        <x:v>350</x:v>
      </x:c>
      <x:c r="I22" s="26" t="n">
        <x:f>I20*I21</x:f>
        <x:v>340</x:v>
      </x:c>
      <x:c r="J22" s="26" t="n">
        <x:f>J20*J21</x:f>
        <x:v>330</x:v>
      </x:c>
      <x:c r="K22" s="26" t="n">
        <x:f>K20*K21</x:f>
        <x:v>320</x:v>
      </x:c>
      <x:c r="L22" s="26" t="n">
        <x:f>L20*L21</x:f>
        <x:v>310</x:v>
      </x:c>
      <x:c r="M22" s="26" t="n">
        <x:f>M20*M21</x:f>
        <x:v>300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0.085</x:v>
      </x:c>
      <x:c r="E23" s="33" t="n">
        <x:v>0.095</x:v>
      </x:c>
      <x:c r="F23" s="33" t="n">
        <x:v>0.1</x:v>
      </x:c>
      <x:c r="G23" s="33" t="n">
        <x:v>0.1</x:v>
      </x:c>
      <x:c r="H23" s="33" t="n">
        <x:v>0.1</x:v>
      </x:c>
      <x:c r="I23" s="33" t="n">
        <x:v>0.1</x:v>
      </x:c>
      <x:c r="J23" s="33" t="n">
        <x:v>0.1</x:v>
      </x:c>
      <x:c r="K23" s="33" t="n">
        <x:v>0.1</x:v>
      </x:c>
      <x:c r="L23" s="33" t="n">
        <x:v>0.095</x:v>
      </x:c>
      <x:c r="M23" s="33" t="n">
        <x:v>0.09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1</x:v>
      </x:c>
      <x:c r="E24" s="33" t="n">
        <x:v>1</x:v>
      </x:c>
      <x:c r="F24" s="33" t="n">
        <x:v>1</x:v>
      </x:c>
      <x:c r="G24" s="33" t="n">
        <x:v>1</x:v>
      </x:c>
      <x:c r="H24" s="33" t="n">
        <x:v>1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27.200000000000003</x:v>
      </x:c>
      <x:c r="E25" s="26" t="n">
        <x:f>E22*E23*E24</x:f>
        <x:v>31.35</x:v>
      </x:c>
      <x:c r="F25" s="26" t="n">
        <x:f>F22*F23*F24</x:f>
        <x:v>34</x:v>
      </x:c>
      <x:c r="G25" s="26" t="n">
        <x:f>G22*G23*G24</x:f>
        <x:v>35</x:v>
      </x:c>
      <x:c r="H25" s="26" t="n">
        <x:f>H22*H23*H24</x:f>
        <x:v>35</x:v>
      </x:c>
      <x:c r="I25" s="26" t="n">
        <x:f>I22*I23*I24</x:f>
        <x:v>34</x:v>
      </x:c>
      <x:c r="J25" s="26" t="n">
        <x:f>J22*J23*J24</x:f>
        <x:v>33</x:v>
      </x:c>
      <x:c r="K25" s="26" t="n">
        <x:f>K22*K23*K24</x:f>
        <x:v>32</x:v>
      </x:c>
      <x:c r="L25" s="26" t="n">
        <x:f>L22*L23*L24</x:f>
        <x:v>29.45</x:v>
      </x:c>
      <x:c r="M25" s="26" t="n">
        <x:f>M22*M23*M24</x:f>
        <x:v>27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1</x:v>
      </x:c>
      <x:c r="E27" s="33" t="n">
        <x:v>1</x:v>
      </x:c>
      <x:c r="F27" s="33" t="n">
        <x:v>1</x:v>
      </x:c>
      <x:c r="G27" s="33" t="n">
        <x:v>1</x:v>
      </x:c>
      <x:c r="H27" s="33" t="n">
        <x:v>1</x:v>
      </x:c>
      <x:c r="I27" s="33" t="n">
        <x:v>1</x:v>
      </x:c>
      <x:c r="J27" s="33" t="n">
        <x:v>1</x:v>
      </x:c>
      <x:c r="K27" s="33" t="n">
        <x:v>1</x:v>
      </x:c>
      <x:c r="L27" s="33" t="n">
        <x:v>1</x:v>
      </x:c>
      <x:c r="M27" s="33" t="n">
        <x:v>1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0.25</x:v>
      </x:c>
      <x:c r="E28" s="33" t="n">
        <x:v>0.27</x:v>
      </x:c>
      <x:c r="F28" s="33" t="n">
        <x:v>0.28</x:v>
      </x:c>
      <x:c r="G28" s="33" t="n">
        <x:v>0.29</x:v>
      </x:c>
      <x:c r="H28" s="33" t="n">
        <x:v>0.29</x:v>
      </x:c>
      <x:c r="I28" s="33" t="n">
        <x:v>0.28</x:v>
      </x:c>
      <x:c r="J28" s="33" t="n">
        <x:v>0.27</x:v>
      </x:c>
      <x:c r="K28" s="33" t="n">
        <x:v>0.26</x:v>
      </x:c>
      <x:c r="L28" s="33" t="n">
        <x:v>0.25</x:v>
      </x:c>
      <x:c r="M28" s="33" t="n">
        <x:v>0.24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27.200000000000003</x:v>
      </x:c>
      <x:c r="E37" s="26" t="n">
        <x:f>E25</x:f>
        <x:v>31.35</x:v>
      </x:c>
      <x:c r="F37" s="26" t="n">
        <x:f>F25</x:f>
        <x:v>34</x:v>
      </x:c>
      <x:c r="G37" s="26" t="n">
        <x:f>G25</x:f>
        <x:v>35</x:v>
      </x:c>
      <x:c r="H37" s="26" t="n">
        <x:f>H25</x:f>
        <x:v>35</x:v>
      </x:c>
      <x:c r="I37" s="26" t="n">
        <x:f>I25</x:f>
        <x:v>34</x:v>
      </x:c>
      <x:c r="J37" s="26" t="n">
        <x:f>J25</x:f>
        <x:v>33</x:v>
      </x:c>
      <x:c r="K37" s="26" t="n">
        <x:f>K25</x:f>
        <x:v>32</x:v>
      </x:c>
      <x:c r="L37" s="26" t="n">
        <x:f>L25</x:f>
        <x:v>29.45</x:v>
      </x:c>
      <x:c r="M37" s="26" t="n">
        <x:f>M25</x:f>
        <x:v>27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27.200000000000003</x:v>
      </x:c>
      <x:c r="E38" s="29" t="n">
        <x:f>E25*E26</x:f>
        <x:v>31.35</x:v>
      </x:c>
      <x:c r="F38" s="29" t="n">
        <x:f>F25*F26</x:f>
        <x:v>34</x:v>
      </x:c>
      <x:c r="G38" s="29" t="n">
        <x:f>G25*G26</x:f>
        <x:v>35</x:v>
      </x:c>
      <x:c r="H38" s="29" t="n">
        <x:f>H25*H26</x:f>
        <x:v>35</x:v>
      </x:c>
      <x:c r="I38" s="29" t="n">
        <x:f>I25*I26</x:f>
        <x:v>34</x:v>
      </x:c>
      <x:c r="J38" s="29" t="n">
        <x:f>J25*J26</x:f>
        <x:v>33</x:v>
      </x:c>
      <x:c r="K38" s="29" t="n">
        <x:f>K25*K26</x:f>
        <x:v>32</x:v>
      </x:c>
      <x:c r="L38" s="29" t="n">
        <x:f>L25*L26</x:f>
        <x:v>29.45</x:v>
      </x:c>
      <x:c r="M38" s="29" t="n">
        <x:f>M25*M26</x:f>
        <x:v>27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27.200000000000003</x:v>
      </x:c>
      <x:c r="E39" s="26" t="n">
        <x:f>E38*E27</x:f>
        <x:v>31.35</x:v>
      </x:c>
      <x:c r="F39" s="26" t="n">
        <x:f>F38*F27</x:f>
        <x:v>34</x:v>
      </x:c>
      <x:c r="G39" s="26" t="n">
        <x:f>G38*G27</x:f>
        <x:v>35</x:v>
      </x:c>
      <x:c r="H39" s="26" t="n">
        <x:f>H38*H27</x:f>
        <x:v>35</x:v>
      </x:c>
      <x:c r="I39" s="26" t="n">
        <x:f>I38*I27</x:f>
        <x:v>34</x:v>
      </x:c>
      <x:c r="J39" s="26" t="n">
        <x:f>J38*J27</x:f>
        <x:v>33</x:v>
      </x:c>
      <x:c r="K39" s="26" t="n">
        <x:f>K38*K27</x:f>
        <x:v>32</x:v>
      </x:c>
      <x:c r="L39" s="26" t="n">
        <x:f>L38*L27</x:f>
        <x:v>29.45</x:v>
      </x:c>
      <x:c r="M39" s="26" t="n">
        <x:f>M38*M27</x:f>
        <x:v>27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0.25</x:v>
      </x:c>
      <x:c r="E40" s="27" t="n">
        <x:f>E28</x:f>
        <x:v>0.27</x:v>
      </x:c>
      <x:c r="F40" s="27" t="n">
        <x:f>F28</x:f>
        <x:v>0.28</x:v>
      </x:c>
      <x:c r="G40" s="27" t="n">
        <x:f>G28</x:f>
        <x:v>0.29</x:v>
      </x:c>
      <x:c r="H40" s="27" t="n">
        <x:f>H28</x:f>
        <x:v>0.29</x:v>
      </x:c>
      <x:c r="I40" s="27" t="n">
        <x:f>I28</x:f>
        <x:v>0.28</x:v>
      </x:c>
      <x:c r="J40" s="27" t="n">
        <x:f>J28</x:f>
        <x:v>0.27</x:v>
      </x:c>
      <x:c r="K40" s="27" t="n">
        <x:f>K28</x:f>
        <x:v>0.26</x:v>
      </x:c>
      <x:c r="L40" s="27" t="n">
        <x:f>L28</x:f>
        <x:v>0.25</x:v>
      </x:c>
      <x:c r="M40" s="27" t="n">
        <x:f>M28</x:f>
        <x:v>0.24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6.800000000000001</x:v>
      </x:c>
      <x:c r="E41" s="29" t="n">
        <x:f>E38*E40</x:f>
        <x:v>8.464500000000001</x:v>
      </x:c>
      <x:c r="F41" s="29" t="n">
        <x:f>F38*F40</x:f>
        <x:v>9.520000000000001</x:v>
      </x:c>
      <x:c r="G41" s="29" t="n">
        <x:f>G38*G40</x:f>
        <x:v>10.149999999999999</x:v>
      </x:c>
      <x:c r="H41" s="29" t="n">
        <x:f>H38*H40</x:f>
        <x:v>10.149999999999999</x:v>
      </x:c>
      <x:c r="I41" s="29" t="n">
        <x:f>I38*I40</x:f>
        <x:v>9.520000000000001</x:v>
      </x:c>
      <x:c r="J41" s="29" t="n">
        <x:f>J38*J40</x:f>
        <x:v>8.91</x:v>
      </x:c>
      <x:c r="K41" s="29" t="n">
        <x:f>K38*K40</x:f>
        <x:v>8.32</x:v>
      </x:c>
      <x:c r="L41" s="29" t="n">
        <x:f>L38*L40</x:f>
        <x:v>7.3625</x:v>
      </x:c>
      <x:c r="M41" s="29" t="n">
        <x:f>M38*M40</x:f>
        <x:v>6.4799999999999995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6.800000000000001</x:v>
      </x:c>
      <x:c r="E42" s="26" t="n">
        <x:f>E39*E40</x:f>
        <x:v>8.464500000000001</x:v>
      </x:c>
      <x:c r="F42" s="26" t="n">
        <x:f>F39*F40</x:f>
        <x:v>9.520000000000001</x:v>
      </x:c>
      <x:c r="G42" s="26" t="n">
        <x:f>G39*G40</x:f>
        <x:v>10.149999999999999</x:v>
      </x:c>
      <x:c r="H42" s="26" t="n">
        <x:f>H39*H40</x:f>
        <x:v>10.149999999999999</x:v>
      </x:c>
      <x:c r="I42" s="26" t="n">
        <x:f>I39*I40</x:f>
        <x:v>9.520000000000001</x:v>
      </x:c>
      <x:c r="J42" s="26" t="n">
        <x:f>J39*J40</x:f>
        <x:v>8.91</x:v>
      </x:c>
      <x:c r="K42" s="26" t="n">
        <x:f>K39*K40</x:f>
        <x:v>8.32</x:v>
      </x:c>
      <x:c r="L42" s="26" t="n">
        <x:f>L39*L40</x:f>
        <x:v>7.3625</x:v>
      </x:c>
      <x:c r="M42" s="26" t="n">
        <x:f>M39*M40</x:f>
        <x:v>6.4799999999999995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2339.2000000000003</x:v>
      </x:c>
      <x:c r="E43" s="26" t="n">
        <x:f>E38*'Global Assump'!E$4</x:f>
        <x:v>2758.8</x:v>
      </x:c>
      <x:c r="F43" s="26" t="n">
        <x:f>F38*'Global Assump'!F$4</x:f>
        <x:v>3060</x:v>
      </x:c>
      <x:c r="G43" s="26" t="n">
        <x:f>G38*'Global Assump'!G$4</x:f>
        <x:v>3220</x:v>
      </x:c>
      <x:c r="H43" s="26" t="n">
        <x:f>H38*'Global Assump'!H$4</x:f>
        <x:v>3290</x:v>
      </x:c>
      <x:c r="I43" s="26" t="n">
        <x:f>I38*'Global Assump'!I$4</x:f>
        <x:v>3264</x:v>
      </x:c>
      <x:c r="J43" s="26" t="n">
        <x:f>J38*'Global Assump'!J$4</x:f>
        <x:v>3234</x:v>
      </x:c>
      <x:c r="K43" s="26" t="n">
        <x:f>K38*'Global Assump'!K$4</x:f>
        <x:v>3200</x:v>
      </x:c>
      <x:c r="L43" s="26" t="n">
        <x:f>L38*'Global Assump'!L$4</x:f>
        <x:v>3003.9</x:v>
      </x:c>
      <x:c r="M43" s="26" t="n">
        <x:f>M38*'Global Assump'!M$4</x:f>
        <x:v>2808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2339.2000000000003</x:v>
      </x:c>
      <x:c r="E44" s="30" t="n">
        <x:f>E39*'Global Assump'!E$4</x:f>
        <x:v>2758.8</x:v>
      </x:c>
      <x:c r="F44" s="30" t="n">
        <x:f>F39*'Global Assump'!F$4</x:f>
        <x:v>3060</x:v>
      </x:c>
      <x:c r="G44" s="30" t="n">
        <x:f>G39*'Global Assump'!G$4</x:f>
        <x:v>3220</x:v>
      </x:c>
      <x:c r="H44" s="30" t="n">
        <x:f>H39*'Global Assump'!H$4</x:f>
        <x:v>3290</x:v>
      </x:c>
      <x:c r="I44" s="30" t="n">
        <x:f>I39*'Global Assump'!I$4</x:f>
        <x:v>3264</x:v>
      </x:c>
      <x:c r="J44" s="30" t="n">
        <x:f>J39*'Global Assump'!J$4</x:f>
        <x:v>3234</x:v>
      </x:c>
      <x:c r="K44" s="30" t="n">
        <x:f>K39*'Global Assump'!K$4</x:f>
        <x:v>3200</x:v>
      </x:c>
      <x:c r="L44" s="30" t="n">
        <x:f>L39*'Global Assump'!L$4</x:f>
        <x:v>3003.9</x:v>
      </x:c>
      <x:c r="M44" s="30" t="n">
        <x:f>M39*'Global Assump'!M$4</x:f>
        <x:v>2808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BEIZRAY | Albumin-solubilised docetaxel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BEIZRAY | Albumin-solubilised docetaxel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505(b)(2) / differentiated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FDA-approved and launched; uptake slower than expected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Oncologist adoption, administration complexity and generic docetaxel competition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docetaxel market</x:v>
      </x:c>
      <x:c r="B20" s="16" t="str">
        <x:v>$m</x:v>
      </x:c>
      <x:c r="C20" s="16"/>
      <x:c r="D20" s="32" t="n">
        <x:v>900</x:v>
      </x:c>
      <x:c r="E20" s="32" t="n">
        <x:v>1000</x:v>
      </x:c>
      <x:c r="F20" s="32" t="n">
        <x:v>1100</x:v>
      </x:c>
      <x:c r="G20" s="32" t="n">
        <x:v>1200</x:v>
      </x:c>
      <x:c r="H20" s="32" t="n">
        <x:v>1250</x:v>
      </x:c>
      <x:c r="I20" s="32" t="n">
        <x:v>1250</x:v>
      </x:c>
      <x:c r="J20" s="32" t="n">
        <x:v>1200</x:v>
      </x:c>
      <x:c r="K20" s="32" t="n">
        <x:v>1100</x:v>
      </x:c>
      <x:c r="L20" s="32" t="n">
        <x:v>1000</x:v>
      </x:c>
      <x:c r="M20" s="32" t="n">
        <x:v>900</x:v>
      </x:c>
    </x:row>
    <x:row r="21">
      <x:c r="A21" s="16" t="str">
        <x:v>505(b)(2) addressable share</x:v>
      </x:c>
      <x:c r="B21" s="16" t="str">
        <x:v>%</x:v>
      </x:c>
      <x:c r="C21" s="16"/>
      <x:c r="D21" s="33" t="n">
        <x:v>0.6</x:v>
      </x:c>
      <x:c r="E21" s="33" t="n">
        <x:v>0.6</x:v>
      </x:c>
      <x:c r="F21" s="33" t="n">
        <x:v>0.6</x:v>
      </x:c>
      <x:c r="G21" s="33" t="n">
        <x:v>0.6</x:v>
      </x:c>
      <x:c r="H21" s="33" t="n">
        <x:v>0.6</x:v>
      </x:c>
      <x:c r="I21" s="33" t="n">
        <x:v>0.6</x:v>
      </x:c>
      <x:c r="J21" s="33" t="n">
        <x:v>0.6</x:v>
      </x:c>
      <x:c r="K21" s="33" t="n">
        <x:v>0.6</x:v>
      </x:c>
      <x:c r="L21" s="33" t="n">
        <x:v>0.6</x:v>
      </x:c>
      <x:c r="M21" s="33" t="n">
        <x:v>0.6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540</x:v>
      </x:c>
      <x:c r="E22" s="26" t="n">
        <x:f>E20*E21</x:f>
        <x:v>600</x:v>
      </x:c>
      <x:c r="F22" s="26" t="n">
        <x:f>F20*F21</x:f>
        <x:v>660</x:v>
      </x:c>
      <x:c r="G22" s="26" t="n">
        <x:f>G20*G21</x:f>
        <x:v>720</x:v>
      </x:c>
      <x:c r="H22" s="26" t="n">
        <x:f>H20*H21</x:f>
        <x:v>750</x:v>
      </x:c>
      <x:c r="I22" s="26" t="n">
        <x:f>I20*I21</x:f>
        <x:v>750</x:v>
      </x:c>
      <x:c r="J22" s="26" t="n">
        <x:f>J20*J21</x:f>
        <x:v>720</x:v>
      </x:c>
      <x:c r="K22" s="26" t="n">
        <x:f>K20*K21</x:f>
        <x:v>660</x:v>
      </x:c>
      <x:c r="L22" s="26" t="n">
        <x:f>L20*L21</x:f>
        <x:v>600</x:v>
      </x:c>
      <x:c r="M22" s="26" t="n">
        <x:f>M20*M21</x:f>
        <x:v>540</x:v>
      </x:c>
    </x:row>
    <x:row r="23">
      <x:c r="A23" s="16" t="str">
        <x:v>Zydus market share</x:v>
      </x:c>
      <x:c r="B23" s="16" t="str">
        <x:v>%</x:v>
      </x:c>
      <x:c r="C23" s="16"/>
      <x:c r="D23" s="33" t="n">
        <x:v>0.0061111111111111106</x:v>
      </x:c>
      <x:c r="E23" s="33" t="n">
        <x:v>0.029166666666666667</x:v>
      </x:c>
      <x:c r="F23" s="33" t="n">
        <x:v>0.056818181818181816</x:v>
      </x:c>
      <x:c r="G23" s="33" t="n">
        <x:v>0.06597222222222222</x:v>
      </x:c>
      <x:c r="H23" s="33" t="n">
        <x:v>0.07333333333333333</x:v>
      </x:c>
      <x:c r="I23" s="33" t="n">
        <x:v>0.06</x:v>
      </x:c>
      <x:c r="J23" s="33" t="n">
        <x:v>0.04861111111111111</x:v>
      </x:c>
      <x:c r="K23" s="33" t="n">
        <x:v>0.03787878787878788</x:v>
      </x:c>
      <x:c r="L23" s="33" t="n">
        <x:v>0.03</x:v>
      </x:c>
      <x:c r="M23" s="33" t="n">
        <x:v>0.022222222222222223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1</x:v>
      </x:c>
      <x:c r="E24" s="33" t="n">
        <x:v>1</x:v>
      </x:c>
      <x:c r="F24" s="33" t="n">
        <x:v>1</x:v>
      </x:c>
      <x:c r="G24" s="33" t="n">
        <x:v>1</x:v>
      </x:c>
      <x:c r="H24" s="33" t="n">
        <x:v>1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3.3</x:v>
      </x:c>
      <x:c r="E25" s="26" t="n">
        <x:f>E22*E23*E24</x:f>
        <x:v>17.5</x:v>
      </x:c>
      <x:c r="F25" s="26" t="n">
        <x:f>F22*F23*F24</x:f>
        <x:v>37.5</x:v>
      </x:c>
      <x:c r="G25" s="26" t="n">
        <x:f>G22*G23*G24</x:f>
        <x:v>47.5</x:v>
      </x:c>
      <x:c r="H25" s="26" t="n">
        <x:f>H22*H23*H24</x:f>
        <x:v>55</x:v>
      </x:c>
      <x:c r="I25" s="26" t="n">
        <x:f>I22*I23*I24</x:f>
        <x:v>45</x:v>
      </x:c>
      <x:c r="J25" s="26" t="n">
        <x:f>J22*J23*J24</x:f>
        <x:v>35</x:v>
      </x:c>
      <x:c r="K25" s="26" t="n">
        <x:f>K22*K23*K24</x:f>
        <x:v>25</x:v>
      </x:c>
      <x:c r="L25" s="26" t="n">
        <x:f>L22*L23*L24</x:f>
        <x:v>18</x:v>
      </x:c>
      <x:c r="M25" s="26" t="n">
        <x:f>M22*M23*M24</x:f>
        <x:v>12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1</x:v>
      </x:c>
      <x:c r="E27" s="33" t="n">
        <x:v>1</x:v>
      </x:c>
      <x:c r="F27" s="33" t="n">
        <x:v>1</x:v>
      </x:c>
      <x:c r="G27" s="33" t="n">
        <x:v>1</x:v>
      </x:c>
      <x:c r="H27" s="33" t="n">
        <x:v>1</x:v>
      </x:c>
      <x:c r="I27" s="33" t="n">
        <x:v>1</x:v>
      </x:c>
      <x:c r="J27" s="33" t="n">
        <x:v>1</x:v>
      </x:c>
      <x:c r="K27" s="33" t="n">
        <x:v>1</x:v>
      </x:c>
      <x:c r="L27" s="33" t="n">
        <x:v>1</x:v>
      </x:c>
      <x:c r="M27" s="33" t="n">
        <x:v>1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0.15</x:v>
      </x:c>
      <x:c r="E28" s="33" t="n">
        <x:v>0.2</x:v>
      </x:c>
      <x:c r="F28" s="33" t="n">
        <x:v>0.25</x:v>
      </x:c>
      <x:c r="G28" s="33" t="n">
        <x:v>0.3</x:v>
      </x:c>
      <x:c r="H28" s="33" t="n">
        <x:v>0.3</x:v>
      </x:c>
      <x:c r="I28" s="33" t="n">
        <x:v>0.29</x:v>
      </x:c>
      <x:c r="J28" s="33" t="n">
        <x:v>0.28</x:v>
      </x:c>
      <x:c r="K28" s="33" t="n">
        <x:v>0.27</x:v>
      </x:c>
      <x:c r="L28" s="33" t="n">
        <x:v>0.26</x:v>
      </x:c>
      <x:c r="M28" s="33" t="n">
        <x:v>0.25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3.3</x:v>
      </x:c>
      <x:c r="E37" s="26" t="n">
        <x:f>E25</x:f>
        <x:v>17.5</x:v>
      </x:c>
      <x:c r="F37" s="26" t="n">
        <x:f>F25</x:f>
        <x:v>37.5</x:v>
      </x:c>
      <x:c r="G37" s="26" t="n">
        <x:f>G25</x:f>
        <x:v>47.5</x:v>
      </x:c>
      <x:c r="H37" s="26" t="n">
        <x:f>H25</x:f>
        <x:v>55</x:v>
      </x:c>
      <x:c r="I37" s="26" t="n">
        <x:f>I25</x:f>
        <x:v>45</x:v>
      </x:c>
      <x:c r="J37" s="26" t="n">
        <x:f>J25</x:f>
        <x:v>35</x:v>
      </x:c>
      <x:c r="K37" s="26" t="n">
        <x:f>K25</x:f>
        <x:v>25</x:v>
      </x:c>
      <x:c r="L37" s="26" t="n">
        <x:f>L25</x:f>
        <x:v>18</x:v>
      </x:c>
      <x:c r="M37" s="26" t="n">
        <x:f>M25</x:f>
        <x:v>12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3.3</x:v>
      </x:c>
      <x:c r="E38" s="29" t="n">
        <x:f>E25*E26</x:f>
        <x:v>17.5</x:v>
      </x:c>
      <x:c r="F38" s="29" t="n">
        <x:f>F25*F26</x:f>
        <x:v>37.5</x:v>
      </x:c>
      <x:c r="G38" s="29" t="n">
        <x:f>G25*G26</x:f>
        <x:v>47.5</x:v>
      </x:c>
      <x:c r="H38" s="29" t="n">
        <x:f>H25*H26</x:f>
        <x:v>55</x:v>
      </x:c>
      <x:c r="I38" s="29" t="n">
        <x:f>I25*I26</x:f>
        <x:v>45</x:v>
      </x:c>
      <x:c r="J38" s="29" t="n">
        <x:f>J25*J26</x:f>
        <x:v>35</x:v>
      </x:c>
      <x:c r="K38" s="29" t="n">
        <x:f>K25*K26</x:f>
        <x:v>25</x:v>
      </x:c>
      <x:c r="L38" s="29" t="n">
        <x:f>L25*L26</x:f>
        <x:v>18</x:v>
      </x:c>
      <x:c r="M38" s="29" t="n">
        <x:f>M25*M26</x:f>
        <x:v>12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3.3</x:v>
      </x:c>
      <x:c r="E39" s="26" t="n">
        <x:f>E38*E27</x:f>
        <x:v>17.5</x:v>
      </x:c>
      <x:c r="F39" s="26" t="n">
        <x:f>F38*F27</x:f>
        <x:v>37.5</x:v>
      </x:c>
      <x:c r="G39" s="26" t="n">
        <x:f>G38*G27</x:f>
        <x:v>47.5</x:v>
      </x:c>
      <x:c r="H39" s="26" t="n">
        <x:f>H38*H27</x:f>
        <x:v>55</x:v>
      </x:c>
      <x:c r="I39" s="26" t="n">
        <x:f>I38*I27</x:f>
        <x:v>45</x:v>
      </x:c>
      <x:c r="J39" s="26" t="n">
        <x:f>J38*J27</x:f>
        <x:v>35</x:v>
      </x:c>
      <x:c r="K39" s="26" t="n">
        <x:f>K38*K27</x:f>
        <x:v>25</x:v>
      </x:c>
      <x:c r="L39" s="26" t="n">
        <x:f>L38*L27</x:f>
        <x:v>18</x:v>
      </x:c>
      <x:c r="M39" s="26" t="n">
        <x:f>M38*M27</x:f>
        <x:v>12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0.15</x:v>
      </x:c>
      <x:c r="E40" s="27" t="n">
        <x:f>E28</x:f>
        <x:v>0.2</x:v>
      </x:c>
      <x:c r="F40" s="27" t="n">
        <x:f>F28</x:f>
        <x:v>0.25</x:v>
      </x:c>
      <x:c r="G40" s="27" t="n">
        <x:f>G28</x:f>
        <x:v>0.3</x:v>
      </x:c>
      <x:c r="H40" s="27" t="n">
        <x:f>H28</x:f>
        <x:v>0.3</x:v>
      </x:c>
      <x:c r="I40" s="27" t="n">
        <x:f>I28</x:f>
        <x:v>0.29</x:v>
      </x:c>
      <x:c r="J40" s="27" t="n">
        <x:f>J28</x:f>
        <x:v>0.28</x:v>
      </x:c>
      <x:c r="K40" s="27" t="n">
        <x:f>K28</x:f>
        <x:v>0.27</x:v>
      </x:c>
      <x:c r="L40" s="27" t="n">
        <x:f>L28</x:f>
        <x:v>0.26</x:v>
      </x:c>
      <x:c r="M40" s="27" t="n">
        <x:f>M28</x:f>
        <x:v>0.25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0.49499999999999994</x:v>
      </x:c>
      <x:c r="E41" s="29" t="n">
        <x:f>E38*E40</x:f>
        <x:v>3.5</x:v>
      </x:c>
      <x:c r="F41" s="29" t="n">
        <x:f>F38*F40</x:f>
        <x:v>9.375</x:v>
      </x:c>
      <x:c r="G41" s="29" t="n">
        <x:f>G38*G40</x:f>
        <x:v>14.25</x:v>
      </x:c>
      <x:c r="H41" s="29" t="n">
        <x:f>H38*H40</x:f>
        <x:v>16.5</x:v>
      </x:c>
      <x:c r="I41" s="29" t="n">
        <x:f>I38*I40</x:f>
        <x:v>13.049999999999999</x:v>
      </x:c>
      <x:c r="J41" s="29" t="n">
        <x:f>J38*J40</x:f>
        <x:v>9.8</x:v>
      </x:c>
      <x:c r="K41" s="29" t="n">
        <x:f>K38*K40</x:f>
        <x:v>6.75</x:v>
      </x:c>
      <x:c r="L41" s="29" t="n">
        <x:f>L38*L40</x:f>
        <x:v>4.68</x:v>
      </x:c>
      <x:c r="M41" s="29" t="n">
        <x:f>M38*M40</x:f>
        <x:v>3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0.49499999999999994</x:v>
      </x:c>
      <x:c r="E42" s="26" t="n">
        <x:f>E39*E40</x:f>
        <x:v>3.5</x:v>
      </x:c>
      <x:c r="F42" s="26" t="n">
        <x:f>F39*F40</x:f>
        <x:v>9.375</x:v>
      </x:c>
      <x:c r="G42" s="26" t="n">
        <x:f>G39*G40</x:f>
        <x:v>14.25</x:v>
      </x:c>
      <x:c r="H42" s="26" t="n">
        <x:f>H39*H40</x:f>
        <x:v>16.5</x:v>
      </x:c>
      <x:c r="I42" s="26" t="n">
        <x:f>I39*I40</x:f>
        <x:v>13.049999999999999</x:v>
      </x:c>
      <x:c r="J42" s="26" t="n">
        <x:f>J39*J40</x:f>
        <x:v>9.8</x:v>
      </x:c>
      <x:c r="K42" s="26" t="n">
        <x:f>K39*K40</x:f>
        <x:v>6.75</x:v>
      </x:c>
      <x:c r="L42" s="26" t="n">
        <x:f>L39*L40</x:f>
        <x:v>4.68</x:v>
      </x:c>
      <x:c r="M42" s="26" t="n">
        <x:f>M39*M40</x:f>
        <x:v>3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283.8</x:v>
      </x:c>
      <x:c r="E43" s="26" t="n">
        <x:f>E38*'Global Assump'!E$4</x:f>
        <x:v>1540</x:v>
      </x:c>
      <x:c r="F43" s="26" t="n">
        <x:f>F38*'Global Assump'!F$4</x:f>
        <x:v>3375</x:v>
      </x:c>
      <x:c r="G43" s="26" t="n">
        <x:f>G38*'Global Assump'!G$4</x:f>
        <x:v>4370</x:v>
      </x:c>
      <x:c r="H43" s="26" t="n">
        <x:f>H38*'Global Assump'!H$4</x:f>
        <x:v>5170</x:v>
      </x:c>
      <x:c r="I43" s="26" t="n">
        <x:f>I38*'Global Assump'!I$4</x:f>
        <x:v>4320</x:v>
      </x:c>
      <x:c r="J43" s="26" t="n">
        <x:f>J38*'Global Assump'!J$4</x:f>
        <x:v>3430</x:v>
      </x:c>
      <x:c r="K43" s="26" t="n">
        <x:f>K38*'Global Assump'!K$4</x:f>
        <x:v>2500</x:v>
      </x:c>
      <x:c r="L43" s="26" t="n">
        <x:f>L38*'Global Assump'!L$4</x:f>
        <x:v>1836</x:v>
      </x:c>
      <x:c r="M43" s="26" t="n">
        <x:f>M38*'Global Assump'!M$4</x:f>
        <x:v>1248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283.8</x:v>
      </x:c>
      <x:c r="E44" s="30" t="n">
        <x:f>E39*'Global Assump'!E$4</x:f>
        <x:v>1540</x:v>
      </x:c>
      <x:c r="F44" s="30" t="n">
        <x:f>F39*'Global Assump'!F$4</x:f>
        <x:v>3375</x:v>
      </x:c>
      <x:c r="G44" s="30" t="n">
        <x:f>G39*'Global Assump'!G$4</x:f>
        <x:v>4370</x:v>
      </x:c>
      <x:c r="H44" s="30" t="n">
        <x:f>H39*'Global Assump'!H$4</x:f>
        <x:v>5170</x:v>
      </x:c>
      <x:c r="I44" s="30" t="n">
        <x:f>I39*'Global Assump'!I$4</x:f>
        <x:v>4320</x:v>
      </x:c>
      <x:c r="J44" s="30" t="n">
        <x:f>J39*'Global Assump'!J$4</x:f>
        <x:v>3430</x:v>
      </x:c>
      <x:c r="K44" s="30" t="n">
        <x:f>K39*'Global Assump'!K$4</x:f>
        <x:v>2500</x:v>
      </x:c>
      <x:c r="L44" s="30" t="n">
        <x:f>L39*'Global Assump'!L$4</x:f>
        <x:v>1836</x:v>
      </x:c>
      <x:c r="M44" s="30" t="n">
        <x:f>M39*'Global Assump'!M$4</x:f>
        <x:v>1248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Synthon | Undisclosed 505(b)(2)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Synthon | Undisclosed 505(b)(2)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505(b)(2) / differentiated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Partnered, molecule undisclosed; modeled launch FY30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Undisclosed molecule, filing timing, differentiation and partner economics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H20" s="32" t="n">
        <x:v>320</x:v>
      </x:c>
      <x:c r="I20" s="32" t="n">
        <x:v>330</x:v>
      </x:c>
      <x:c r="J20" s="32" t="n">
        <x:v>330</x:v>
      </x:c>
      <x:c r="K20" s="32" t="n">
        <x:v>320</x:v>
      </x:c>
      <x:c r="L20" s="32" t="n">
        <x:v>310</x:v>
      </x:c>
      <x:c r="M20" s="32" t="n">
        <x:v>300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</x:v>
      </x:c>
      <x:c r="G21" s="33" t="n">
        <x:v>0</x:v>
      </x:c>
      <x:c r="H21" s="33" t="n">
        <x:v>0.6</x:v>
      </x:c>
      <x:c r="I21" s="33" t="n">
        <x:v>0.6</x:v>
      </x:c>
      <x:c r="J21" s="33" t="n">
        <x:v>0.58</x:v>
      </x:c>
      <x:c r="K21" s="33" t="n">
        <x:v>0.55</x:v>
      </x:c>
      <x:c r="L21" s="33" t="n">
        <x:v>0.52</x:v>
      </x:c>
      <x:c r="M21" s="33" t="n">
        <x:v>0.5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0</x:v>
      </x:c>
      <x:c r="G22" s="26" t="n">
        <x:f>G20*G21</x:f>
        <x:v>0</x:v>
      </x:c>
      <x:c r="H22" s="26" t="n">
        <x:f>H20*H21</x:f>
        <x:v>192</x:v>
      </x:c>
      <x:c r="I22" s="26" t="n">
        <x:f>I20*I21</x:f>
        <x:v>198</x:v>
      </x:c>
      <x:c r="J22" s="26" t="n">
        <x:f>J20*J21</x:f>
        <x:v>191.39999999999998</x:v>
      </x:c>
      <x:c r="K22" s="26" t="n">
        <x:f>K20*K21</x:f>
        <x:v>176</x:v>
      </x:c>
      <x:c r="L22" s="26" t="n">
        <x:f>L20*L21</x:f>
        <x:v>161.20000000000002</x:v>
      </x:c>
      <x:c r="M22" s="26" t="n">
        <x:f>M20*M21</x:f>
        <x:v>150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</x:v>
      </x:c>
      <x:c r="H23" s="33" t="n">
        <x:v>0.16</x:v>
      </x:c>
      <x:c r="I23" s="33" t="n">
        <x:v>0.17</x:v>
      </x:c>
      <x:c r="J23" s="33" t="n">
        <x:v>0.17</x:v>
      </x:c>
      <x:c r="K23" s="33" t="n">
        <x:v>0.16</x:v>
      </x:c>
      <x:c r="L23" s="33" t="n">
        <x:v>0.15</x:v>
      </x:c>
      <x:c r="M23" s="33" t="n">
        <x:v>0.14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</x:v>
      </x:c>
      <x:c r="G24" s="33" t="n">
        <x:v>0</x:v>
      </x:c>
      <x:c r="H24" s="33" t="n">
        <x:v>0.6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0</x:v>
      </x:c>
      <x:c r="G25" s="26" t="n">
        <x:f>G22*G23*G24</x:f>
        <x:v>0</x:v>
      </x:c>
      <x:c r="H25" s="26" t="n">
        <x:f>H22*H23*H24</x:f>
        <x:v>18.432</x:v>
      </x:c>
      <x:c r="I25" s="26" t="n">
        <x:f>I22*I23*I24</x:f>
        <x:v>33.660000000000004</x:v>
      </x:c>
      <x:c r="J25" s="26" t="n">
        <x:f>J22*J23*J24</x:f>
        <x:v>32.538</x:v>
      </x:c>
      <x:c r="K25" s="26" t="n">
        <x:f>K22*K23*K24</x:f>
        <x:v>28.16</x:v>
      </x:c>
      <x:c r="L25" s="26" t="n">
        <x:f>L22*L23*L24</x:f>
        <x:v>24.180000000000003</x:v>
      </x:c>
      <x:c r="M25" s="26" t="n">
        <x:f>M22*M23*M24</x:f>
        <x:v>21.000000000000004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0.85</x:v>
      </x:c>
      <x:c r="E26" s="33" t="n">
        <x:v>0.85</x:v>
      </x:c>
      <x:c r="F26" s="33" t="n">
        <x:v>0.85</x:v>
      </x:c>
      <x:c r="G26" s="33" t="n">
        <x:v>0.85</x:v>
      </x:c>
      <x:c r="H26" s="33" t="n">
        <x:v>0.85</x:v>
      </x:c>
      <x:c r="I26" s="33" t="n">
        <x:v>0.85</x:v>
      </x:c>
      <x:c r="J26" s="33" t="n">
        <x:v>0.85</x:v>
      </x:c>
      <x:c r="K26" s="33" t="n">
        <x:v>0.85</x:v>
      </x:c>
      <x:c r="L26" s="33" t="n">
        <x:v>0.85</x:v>
      </x:c>
      <x:c r="M26" s="33" t="n">
        <x:v>0.85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0.5</x:v>
      </x:c>
      <x:c r="E27" s="33" t="n">
        <x:v>0.5</x:v>
      </x:c>
      <x:c r="F27" s="33" t="n">
        <x:v>0.5</x:v>
      </x:c>
      <x:c r="G27" s="33" t="n">
        <x:v>0.5</x:v>
      </x:c>
      <x:c r="H27" s="33" t="n">
        <x:v>0.5</x:v>
      </x:c>
      <x:c r="I27" s="33" t="n">
        <x:v>0.5</x:v>
      </x:c>
      <x:c r="J27" s="33" t="n">
        <x:v>0.5</x:v>
      </x:c>
      <x:c r="K27" s="33" t="n">
        <x:v>0.5</x:v>
      </x:c>
      <x:c r="L27" s="33" t="n">
        <x:v>0.5</x:v>
      </x:c>
      <x:c r="M27" s="33" t="n">
        <x:v>0.5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</x:v>
      </x:c>
      <x:c r="H28" s="33" t="n">
        <x:v>0.25</x:v>
      </x:c>
      <x:c r="I28" s="33" t="n">
        <x:v>0.26</x:v>
      </x:c>
      <x:c r="J28" s="33" t="n">
        <x:v>0.26</x:v>
      </x:c>
      <x:c r="K28" s="33" t="n">
        <x:v>0.25</x:v>
      </x:c>
      <x:c r="L28" s="33" t="n">
        <x:v>0.24</x:v>
      </x:c>
      <x:c r="M28" s="33" t="n">
        <x:v>0.23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0</x:v>
      </x:c>
      <x:c r="H37" s="26" t="n">
        <x:f>H25</x:f>
        <x:v>18.432</x:v>
      </x:c>
      <x:c r="I37" s="26" t="n">
        <x:f>I25</x:f>
        <x:v>33.660000000000004</x:v>
      </x:c>
      <x:c r="J37" s="26" t="n">
        <x:f>J25</x:f>
        <x:v>32.538</x:v>
      </x:c>
      <x:c r="K37" s="26" t="n">
        <x:f>K25</x:f>
        <x:v>28.16</x:v>
      </x:c>
      <x:c r="L37" s="26" t="n">
        <x:f>L25</x:f>
        <x:v>24.180000000000003</x:v>
      </x:c>
      <x:c r="M37" s="26" t="n">
        <x:f>M25</x:f>
        <x:v>21.000000000000004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0</x:v>
      </x:c>
      <x:c r="H38" s="29" t="n">
        <x:f>H25*H26</x:f>
        <x:v>15.667199999999998</x:v>
      </x:c>
      <x:c r="I38" s="29" t="n">
        <x:f>I25*I26</x:f>
        <x:v>28.611</x:v>
      </x:c>
      <x:c r="J38" s="29" t="n">
        <x:f>J25*J26</x:f>
        <x:v>27.657299999999996</x:v>
      </x:c>
      <x:c r="K38" s="29" t="n">
        <x:f>K25*K26</x:f>
        <x:v>23.936</x:v>
      </x:c>
      <x:c r="L38" s="29" t="n">
        <x:f>L25*L26</x:f>
        <x:v>20.553</x:v>
      </x:c>
      <x:c r="M38" s="29" t="n">
        <x:f>M25*M26</x:f>
        <x:v>17.85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0</x:v>
      </x:c>
      <x:c r="H39" s="26" t="n">
        <x:f>H38*H27</x:f>
        <x:v>7.833599999999999</x:v>
      </x:c>
      <x:c r="I39" s="26" t="n">
        <x:f>I38*I27</x:f>
        <x:v>14.3055</x:v>
      </x:c>
      <x:c r="J39" s="26" t="n">
        <x:f>J38*J27</x:f>
        <x:v>13.828649999999998</x:v>
      </x:c>
      <x:c r="K39" s="26" t="n">
        <x:f>K38*K27</x:f>
        <x:v>11.968</x:v>
      </x:c>
      <x:c r="L39" s="26" t="n">
        <x:f>L38*L27</x:f>
        <x:v>10.2765</x:v>
      </x:c>
      <x:c r="M39" s="26" t="n">
        <x:f>M38*M27</x:f>
        <x:v>8.925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</x:v>
      </x:c>
      <x:c r="H40" s="27" t="n">
        <x:f>H28</x:f>
        <x:v>0.25</x:v>
      </x:c>
      <x:c r="I40" s="27" t="n">
        <x:f>I28</x:f>
        <x:v>0.26</x:v>
      </x:c>
      <x:c r="J40" s="27" t="n">
        <x:f>J28</x:f>
        <x:v>0.26</x:v>
      </x:c>
      <x:c r="K40" s="27" t="n">
        <x:f>K28</x:f>
        <x:v>0.25</x:v>
      </x:c>
      <x:c r="L40" s="27" t="n">
        <x:f>L28</x:f>
        <x:v>0.24</x:v>
      </x:c>
      <x:c r="M40" s="27" t="n">
        <x:f>M28</x:f>
        <x:v>0.23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0</x:v>
      </x:c>
      <x:c r="H41" s="29" t="n">
        <x:f>H38*H40</x:f>
        <x:v>3.9167999999999994</x:v>
      </x:c>
      <x:c r="I41" s="29" t="n">
        <x:f>I38*I40</x:f>
        <x:v>7.43886</x:v>
      </x:c>
      <x:c r="J41" s="29" t="n">
        <x:f>J38*J40</x:f>
        <x:v>7.190897999999999</x:v>
      </x:c>
      <x:c r="K41" s="29" t="n">
        <x:f>K38*K40</x:f>
        <x:v>5.984</x:v>
      </x:c>
      <x:c r="L41" s="29" t="n">
        <x:f>L38*L40</x:f>
        <x:v>4.93272</x:v>
      </x:c>
      <x:c r="M41" s="29" t="n">
        <x:f>M38*M40</x:f>
        <x:v>4.1055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</x:v>
      </x:c>
      <x:c r="H42" s="26" t="n">
        <x:f>H39*H40</x:f>
        <x:v>1.9583999999999997</x:v>
      </x:c>
      <x:c r="I42" s="26" t="n">
        <x:f>I39*I40</x:f>
        <x:v>3.71943</x:v>
      </x:c>
      <x:c r="J42" s="26" t="n">
        <x:f>J39*J40</x:f>
        <x:v>3.5954489999999995</x:v>
      </x:c>
      <x:c r="K42" s="26" t="n">
        <x:f>K39*K40</x:f>
        <x:v>2.992</x:v>
      </x:c>
      <x:c r="L42" s="26" t="n">
        <x:f>L39*L40</x:f>
        <x:v>2.46636</x:v>
      </x:c>
      <x:c r="M42" s="26" t="n">
        <x:f>M39*M40</x:f>
        <x:v>2.05275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0</x:v>
      </x:c>
      <x:c r="H43" s="26" t="n">
        <x:f>H38*'Global Assump'!H$4</x:f>
        <x:v>1472.7167999999997</x:v>
      </x:c>
      <x:c r="I43" s="26" t="n">
        <x:f>I38*'Global Assump'!I$4</x:f>
        <x:v>2746.656</x:v>
      </x:c>
      <x:c r="J43" s="26" t="n">
        <x:f>J38*'Global Assump'!J$4</x:f>
        <x:v>2710.4153999999994</x:v>
      </x:c>
      <x:c r="K43" s="26" t="n">
        <x:f>K38*'Global Assump'!K$4</x:f>
        <x:v>2393.6</x:v>
      </x:c>
      <x:c r="L43" s="26" t="n">
        <x:f>L38*'Global Assump'!L$4</x:f>
        <x:v>2096.406</x:v>
      </x:c>
      <x:c r="M43" s="26" t="n">
        <x:f>M38*'Global Assump'!M$4</x:f>
        <x:v>1856.4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0</x:v>
      </x:c>
      <x:c r="H44" s="30" t="n">
        <x:f>H39*'Global Assump'!H$4</x:f>
        <x:v>736.3583999999998</x:v>
      </x:c>
      <x:c r="I44" s="30" t="n">
        <x:f>I39*'Global Assump'!I$4</x:f>
        <x:v>1373.328</x:v>
      </x:c>
      <x:c r="J44" s="30" t="n">
        <x:f>J39*'Global Assump'!J$4</x:f>
        <x:v>1355.2076999999997</x:v>
      </x:c>
      <x:c r="K44" s="30" t="n">
        <x:f>K39*'Global Assump'!K$4</x:f>
        <x:v>1196.8</x:v>
      </x:c>
      <x:c r="L44" s="30" t="n">
        <x:f>L39*'Global Assump'!L$4</x:f>
        <x:v>1048.203</x:v>
      </x:c>
      <x:c r="M44" s="30" t="n">
        <x:f>M39*'Global Assump'!M$4</x:f>
        <x:v>928.2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NUFYMCO | Ranibizumab biosimilar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NUFYMCO | Ranibizumab biosimilar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Biosimilar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FDA-approved interchangeable biosimilar; US launch ramp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Payer access, retinal-specialist adoption, rebate intensity and Bioeq economics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3000</x:v>
      </x:c>
      <x:c r="G20" s="32" t="n">
        <x:v>2900</x:v>
      </x:c>
      <x:c r="H20" s="32" t="n">
        <x:v>2800</x:v>
      </x:c>
      <x:c r="I20" s="32" t="n">
        <x:v>2700</x:v>
      </x:c>
      <x:c r="J20" s="32" t="n">
        <x:v>2550</x:v>
      </x:c>
      <x:c r="K20" s="32" t="n">
        <x:v>2400</x:v>
      </x:c>
      <x:c r="L20" s="32" t="n">
        <x:v>2250</x:v>
      </x:c>
      <x:c r="M20" s="32" t="n">
        <x:v>2100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0.5</x:v>
      </x:c>
      <x:c r="G21" s="33" t="n">
        <x:v>0.48</x:v>
      </x:c>
      <x:c r="H21" s="33" t="n">
        <x:v>0.46</x:v>
      </x:c>
      <x:c r="I21" s="33" t="n">
        <x:v>0.44</x:v>
      </x:c>
      <x:c r="J21" s="33" t="n">
        <x:v>0.42</x:v>
      </x:c>
      <x:c r="K21" s="33" t="n">
        <x:v>0.4</x:v>
      </x:c>
      <x:c r="L21" s="33" t="n">
        <x:v>0.38</x:v>
      </x:c>
      <x:c r="M21" s="33" t="n">
        <x:v>0.36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1500</x:v>
      </x:c>
      <x:c r="G22" s="26" t="n">
        <x:f>G20*G21</x:f>
        <x:v>1392</x:v>
      </x:c>
      <x:c r="H22" s="26" t="n">
        <x:f>H20*H21</x:f>
        <x:v>1288</x:v>
      </x:c>
      <x:c r="I22" s="26" t="n">
        <x:f>I20*I21</x:f>
        <x:v>1188</x:v>
      </x:c>
      <x:c r="J22" s="26" t="n">
        <x:f>J20*J21</x:f>
        <x:v>1071</x:v>
      </x:c>
      <x:c r="K22" s="26" t="n">
        <x:f>K20*K21</x:f>
        <x:v>960</x:v>
      </x:c>
      <x:c r="L22" s="26" t="n">
        <x:f>L20*L21</x:f>
        <x:v>855</x:v>
      </x:c>
      <x:c r="M22" s="26" t="n">
        <x:f>M20*M21</x:f>
        <x:v>756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0.03</x:v>
      </x:c>
      <x:c r="G23" s="33" t="n">
        <x:v>0.07</x:v>
      </x:c>
      <x:c r="H23" s="33" t="n">
        <x:v>0.1</x:v>
      </x:c>
      <x:c r="I23" s="33" t="n">
        <x:v>0.11</x:v>
      </x:c>
      <x:c r="J23" s="33" t="n">
        <x:v>0.11</x:v>
      </x:c>
      <x:c r="K23" s="33" t="n">
        <x:v>0.1</x:v>
      </x:c>
      <x:c r="L23" s="33" t="n">
        <x:v>0.09</x:v>
      </x:c>
      <x:c r="M23" s="33" t="n">
        <x:v>0.08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0.9</x:v>
      </x:c>
      <x:c r="G24" s="33" t="n">
        <x:v>1</x:v>
      </x:c>
      <x:c r="H24" s="33" t="n">
        <x:v>1</x:v>
      </x:c>
      <x:c r="I24" s="33" t="n">
        <x:v>1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40.5</x:v>
      </x:c>
      <x:c r="G25" s="26" t="n">
        <x:f>G22*G23*G24</x:f>
        <x:v>97.44000000000001</x:v>
      </x:c>
      <x:c r="H25" s="26" t="n">
        <x:f>H22*H23*H24</x:f>
        <x:v>128.8</x:v>
      </x:c>
      <x:c r="I25" s="26" t="n">
        <x:f>I22*I23*I24</x:f>
        <x:v>130.68</x:v>
      </x:c>
      <x:c r="J25" s="26" t="n">
        <x:f>J22*J23*J24</x:f>
        <x:v>117.81</x:v>
      </x:c>
      <x:c r="K25" s="26" t="n">
        <x:f>K22*K23*K24</x:f>
        <x:v>96</x:v>
      </x:c>
      <x:c r="L25" s="26" t="n">
        <x:f>L22*L23*L24</x:f>
        <x:v>76.95</x:v>
      </x:c>
      <x:c r="M25" s="26" t="n">
        <x:f>M22*M23*M24</x:f>
        <x:v>60.480000000000004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0.5</x:v>
      </x:c>
      <x:c r="E26" s="33" t="n">
        <x:v>0.5</x:v>
      </x:c>
      <x:c r="F26" s="33" t="n">
        <x:v>0.5</x:v>
      </x:c>
      <x:c r="G26" s="33" t="n">
        <x:v>0.5</x:v>
      </x:c>
      <x:c r="H26" s="33" t="n">
        <x:v>0.5</x:v>
      </x:c>
      <x:c r="I26" s="33" t="n">
        <x:v>0.5</x:v>
      </x:c>
      <x:c r="J26" s="33" t="n">
        <x:v>0.5</x:v>
      </x:c>
      <x:c r="K26" s="33" t="n">
        <x:v>0.5</x:v>
      </x:c>
      <x:c r="L26" s="33" t="n">
        <x:v>0.5</x:v>
      </x:c>
      <x:c r="M26" s="33" t="n">
        <x:v>0.5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1</x:v>
      </x:c>
      <x:c r="E27" s="33" t="n">
        <x:v>1</x:v>
      </x:c>
      <x:c r="F27" s="33" t="n">
        <x:v>1</x:v>
      </x:c>
      <x:c r="G27" s="33" t="n">
        <x:v>1</x:v>
      </x:c>
      <x:c r="H27" s="33" t="n">
        <x:v>1</x:v>
      </x:c>
      <x:c r="I27" s="33" t="n">
        <x:v>1</x:v>
      </x:c>
      <x:c r="J27" s="33" t="n">
        <x:v>1</x:v>
      </x:c>
      <x:c r="K27" s="33" t="n">
        <x:v>1</x:v>
      </x:c>
      <x:c r="L27" s="33" t="n">
        <x:v>1</x:v>
      </x:c>
      <x:c r="M27" s="33" t="n">
        <x:v>1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0.2</x:v>
      </x:c>
      <x:c r="G28" s="33" t="n">
        <x:v>0.24</x:v>
      </x:c>
      <x:c r="H28" s="33" t="n">
        <x:v>0.27</x:v>
      </x:c>
      <x:c r="I28" s="33" t="n">
        <x:v>0.27</x:v>
      </x:c>
      <x:c r="J28" s="33" t="n">
        <x:v>0.26</x:v>
      </x:c>
      <x:c r="K28" s="33" t="n">
        <x:v>0.25</x:v>
      </x:c>
      <x:c r="L28" s="33" t="n">
        <x:v>0.24</x:v>
      </x:c>
      <x:c r="M28" s="33" t="n">
        <x:v>0.23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40.5</x:v>
      </x:c>
      <x:c r="G37" s="26" t="n">
        <x:f>G25</x:f>
        <x:v>97.44000000000001</x:v>
      </x:c>
      <x:c r="H37" s="26" t="n">
        <x:f>H25</x:f>
        <x:v>128.8</x:v>
      </x:c>
      <x:c r="I37" s="26" t="n">
        <x:f>I25</x:f>
        <x:v>130.68</x:v>
      </x:c>
      <x:c r="J37" s="26" t="n">
        <x:f>J25</x:f>
        <x:v>117.81</x:v>
      </x:c>
      <x:c r="K37" s="26" t="n">
        <x:f>K25</x:f>
        <x:v>96</x:v>
      </x:c>
      <x:c r="L37" s="26" t="n">
        <x:f>L25</x:f>
        <x:v>76.95</x:v>
      </x:c>
      <x:c r="M37" s="26" t="n">
        <x:f>M25</x:f>
        <x:v>60.480000000000004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20.25</x:v>
      </x:c>
      <x:c r="G38" s="29" t="n">
        <x:f>G25*G26</x:f>
        <x:v>48.720000000000006</x:v>
      </x:c>
      <x:c r="H38" s="29" t="n">
        <x:f>H25*H26</x:f>
        <x:v>64.4</x:v>
      </x:c>
      <x:c r="I38" s="29" t="n">
        <x:f>I25*I26</x:f>
        <x:v>65.34</x:v>
      </x:c>
      <x:c r="J38" s="29" t="n">
        <x:f>J25*J26</x:f>
        <x:v>58.905</x:v>
      </x:c>
      <x:c r="K38" s="29" t="n">
        <x:f>K25*K26</x:f>
        <x:v>48</x:v>
      </x:c>
      <x:c r="L38" s="29" t="n">
        <x:f>L25*L26</x:f>
        <x:v>38.475</x:v>
      </x:c>
      <x:c r="M38" s="29" t="n">
        <x:f>M25*M26</x:f>
        <x:v>30.240000000000002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20.25</x:v>
      </x:c>
      <x:c r="G39" s="26" t="n">
        <x:f>G38*G27</x:f>
        <x:v>48.720000000000006</x:v>
      </x:c>
      <x:c r="H39" s="26" t="n">
        <x:f>H38*H27</x:f>
        <x:v>64.4</x:v>
      </x:c>
      <x:c r="I39" s="26" t="n">
        <x:f>I38*I27</x:f>
        <x:v>65.34</x:v>
      </x:c>
      <x:c r="J39" s="26" t="n">
        <x:f>J38*J27</x:f>
        <x:v>58.905</x:v>
      </x:c>
      <x:c r="K39" s="26" t="n">
        <x:f>K38*K27</x:f>
        <x:v>48</x:v>
      </x:c>
      <x:c r="L39" s="26" t="n">
        <x:f>L38*L27</x:f>
        <x:v>38.475</x:v>
      </x:c>
      <x:c r="M39" s="26" t="n">
        <x:f>M38*M27</x:f>
        <x:v>30.240000000000002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0.2</x:v>
      </x:c>
      <x:c r="G40" s="27" t="n">
        <x:f>G28</x:f>
        <x:v>0.24</x:v>
      </x:c>
      <x:c r="H40" s="27" t="n">
        <x:f>H28</x:f>
        <x:v>0.27</x:v>
      </x:c>
      <x:c r="I40" s="27" t="n">
        <x:f>I28</x:f>
        <x:v>0.27</x:v>
      </x:c>
      <x:c r="J40" s="27" t="n">
        <x:f>J28</x:f>
        <x:v>0.26</x:v>
      </x:c>
      <x:c r="K40" s="27" t="n">
        <x:f>K28</x:f>
        <x:v>0.25</x:v>
      </x:c>
      <x:c r="L40" s="27" t="n">
        <x:f>L28</x:f>
        <x:v>0.24</x:v>
      </x:c>
      <x:c r="M40" s="27" t="n">
        <x:f>M28</x:f>
        <x:v>0.23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4.05</x:v>
      </x:c>
      <x:c r="G41" s="29" t="n">
        <x:f>G38*G40</x:f>
        <x:v>11.692800000000002</x:v>
      </x:c>
      <x:c r="H41" s="29" t="n">
        <x:f>H38*H40</x:f>
        <x:v>17.388</x:v>
      </x:c>
      <x:c r="I41" s="29" t="n">
        <x:f>I38*I40</x:f>
        <x:v>17.641800000000003</x:v>
      </x:c>
      <x:c r="J41" s="29" t="n">
        <x:f>J38*J40</x:f>
        <x:v>15.3153</x:v>
      </x:c>
      <x:c r="K41" s="29" t="n">
        <x:f>K38*K40</x:f>
        <x:v>12</x:v>
      </x:c>
      <x:c r="L41" s="29" t="n">
        <x:f>L38*L40</x:f>
        <x:v>9.234</x:v>
      </x:c>
      <x:c r="M41" s="29" t="n">
        <x:f>M38*M40</x:f>
        <x:v>6.9552000000000005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4.05</x:v>
      </x:c>
      <x:c r="G42" s="26" t="n">
        <x:f>G39*G40</x:f>
        <x:v>11.692800000000002</x:v>
      </x:c>
      <x:c r="H42" s="26" t="n">
        <x:f>H39*H40</x:f>
        <x:v>17.388</x:v>
      </x:c>
      <x:c r="I42" s="26" t="n">
        <x:f>I39*I40</x:f>
        <x:v>17.641800000000003</x:v>
      </x:c>
      <x:c r="J42" s="26" t="n">
        <x:f>J39*J40</x:f>
        <x:v>15.3153</x:v>
      </x:c>
      <x:c r="K42" s="26" t="n">
        <x:f>K39*K40</x:f>
        <x:v>12</x:v>
      </x:c>
      <x:c r="L42" s="26" t="n">
        <x:f>L39*L40</x:f>
        <x:v>9.234</x:v>
      </x:c>
      <x:c r="M42" s="26" t="n">
        <x:f>M39*M40</x:f>
        <x:v>6.9552000000000005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1822.5</x:v>
      </x:c>
      <x:c r="G43" s="26" t="n">
        <x:f>G38*'Global Assump'!G$4</x:f>
        <x:v>4482.240000000001</x:v>
      </x:c>
      <x:c r="H43" s="26" t="n">
        <x:f>H38*'Global Assump'!H$4</x:f>
        <x:v>6053.6</x:v>
      </x:c>
      <x:c r="I43" s="26" t="n">
        <x:f>I38*'Global Assump'!I$4</x:f>
        <x:v>6272.64</x:v>
      </x:c>
      <x:c r="J43" s="26" t="n">
        <x:f>J38*'Global Assump'!J$4</x:f>
        <x:v>5772.6900000000005</x:v>
      </x:c>
      <x:c r="K43" s="26" t="n">
        <x:f>K38*'Global Assump'!K$4</x:f>
        <x:v>4800</x:v>
      </x:c>
      <x:c r="L43" s="26" t="n">
        <x:f>L38*'Global Assump'!L$4</x:f>
        <x:v>3924.4500000000003</x:v>
      </x:c>
      <x:c r="M43" s="26" t="n">
        <x:f>M38*'Global Assump'!M$4</x:f>
        <x:v>3144.96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1822.5</x:v>
      </x:c>
      <x:c r="G44" s="30" t="n">
        <x:f>G39*'Global Assump'!G$4</x:f>
        <x:v>4482.240000000001</x:v>
      </x:c>
      <x:c r="H44" s="30" t="n">
        <x:f>H39*'Global Assump'!H$4</x:f>
        <x:v>6053.6</x:v>
      </x:c>
      <x:c r="I44" s="30" t="n">
        <x:f>I39*'Global Assump'!I$4</x:f>
        <x:v>6272.64</x:v>
      </x:c>
      <x:c r="J44" s="30" t="n">
        <x:f>J39*'Global Assump'!J$4</x:f>
        <x:v>5772.6900000000005</x:v>
      </x:c>
      <x:c r="K44" s="30" t="n">
        <x:f>K39*'Global Assump'!K$4</x:f>
        <x:v>4800</x:v>
      </x:c>
      <x:c r="L44" s="30" t="n">
        <x:f>L39*'Global Assump'!L$4</x:f>
        <x:v>3924.4500000000003</x:v>
      </x:c>
      <x:c r="M44" s="30" t="n">
        <x:f>M39*'Global Assump'!M$4</x:f>
        <x:v>3144.96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FYB206 | Pembrolizumab biosimilar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FYB206 | Pembrolizumab biosimilar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Biosimilar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Positive PK study; filing path; modeled launch FY31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Filing/approval, Keytruda patent timing, seven-player contracting and Formycon supply economics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Reference / addressable market</x:v>
      </x:c>
      <x:c r="B20" s="16" t="str">
        <x:v>$m</x:v>
      </x:c>
      <x:c r="C20" s="16"/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H20" s="32" t="n">
        <x:v>9000</x:v>
      </x:c>
      <x:c r="I20" s="32" t="n">
        <x:v>9000</x:v>
      </x:c>
      <x:c r="J20" s="32" t="n">
        <x:v>9000</x:v>
      </x:c>
      <x:c r="K20" s="32" t="n">
        <x:v>9000</x:v>
      </x:c>
      <x:c r="L20" s="32" t="n">
        <x:v>9000</x:v>
      </x:c>
      <x:c r="M20" s="32" t="n">
        <x:v>9000</x:v>
      </x:c>
    </x:row>
    <x:row r="21">
      <x:c r="A21" s="16" t="str">
        <x:v>Addressable pool / price-retention factor</x:v>
      </x:c>
      <x:c r="B21" s="16" t="str">
        <x:v>%</x:v>
      </x:c>
      <x:c r="C21" s="16"/>
      <x:c r="D21" s="33" t="n">
        <x:v>0</x:v>
      </x:c>
      <x:c r="E21" s="33" t="n">
        <x:v>0</x:v>
      </x:c>
      <x:c r="F21" s="33" t="n">
        <x:v>0</x:v>
      </x:c>
      <x:c r="G21" s="33" t="n">
        <x:v>0</x:v>
      </x:c>
      <x:c r="H21" s="33" t="n">
        <x:v>1</x:v>
      </x:c>
      <x:c r="I21" s="33" t="n">
        <x:v>1</x:v>
      </x:c>
      <x:c r="J21" s="33" t="n">
        <x:v>1</x:v>
      </x:c>
      <x:c r="K21" s="33" t="n">
        <x:v>1</x:v>
      </x:c>
      <x:c r="L21" s="33" t="n">
        <x:v>1</x:v>
      </x:c>
      <x:c r="M21" s="33" t="n">
        <x:v>1</x:v>
      </x:c>
    </x:row>
    <x:row r="22">
      <x:c r="A22" s="16" t="str">
        <x:v>Addressable commercial pool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0</x:v>
      </x:c>
      <x:c r="F22" s="26" t="n">
        <x:f>F20*F21</x:f>
        <x:v>0</x:v>
      </x:c>
      <x:c r="G22" s="26" t="n">
        <x:f>G20*G21</x:f>
        <x:v>0</x:v>
      </x:c>
      <x:c r="H22" s="26" t="n">
        <x:f>H20*H21</x:f>
        <x:v>9000</x:v>
      </x:c>
      <x:c r="I22" s="26" t="n">
        <x:f>I20*I21</x:f>
        <x:v>9000</x:v>
      </x:c>
      <x:c r="J22" s="26" t="n">
        <x:f>J20*J21</x:f>
        <x:v>9000</x:v>
      </x:c>
      <x:c r="K22" s="26" t="n">
        <x:f>K20*K21</x:f>
        <x:v>9000</x:v>
      </x:c>
      <x:c r="L22" s="26" t="n">
        <x:f>L20*L21</x:f>
        <x:v>9000</x:v>
      </x:c>
      <x:c r="M22" s="26" t="n">
        <x:f>M20*M21</x:f>
        <x:v>9000</x:v>
      </x:c>
    </x:row>
    <x:row r="23">
      <x:c r="A23" s="16" t="str">
        <x:v>Zydus end-market share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</x:v>
      </x:c>
      <x:c r="H23" s="33" t="n">
        <x:v>0</x:v>
      </x:c>
      <x:c r="I23" s="33" t="n">
        <x:v>0.03</x:v>
      </x:c>
      <x:c r="J23" s="33" t="n">
        <x:v>0.045</x:v>
      </x:c>
      <x:c r="K23" s="33" t="n">
        <x:v>0.06</x:v>
      </x:c>
      <x:c r="L23" s="33" t="n">
        <x:v>0.06</x:v>
      </x:c>
      <x:c r="M23" s="33" t="n">
        <x:v>0.055</x:v>
      </x:c>
    </x:row>
    <x:row r="24">
      <x:c r="A24" s="16" t="str">
        <x:v>Launch-year factor</x:v>
      </x:c>
      <x:c r="B24" s="16" t="str">
        <x:v>%</x:v>
      </x:c>
      <x:c r="C24" s="16"/>
      <x:c r="D24" s="33" t="n">
        <x:v>0</x:v>
      </x:c>
      <x:c r="E24" s="33" t="n">
        <x:v>0</x:v>
      </x:c>
      <x:c r="F24" s="33" t="n">
        <x:v>0</x:v>
      </x:c>
      <x:c r="G24" s="33" t="n">
        <x:v>0</x:v>
      </x:c>
      <x:c r="H24" s="33" t="n">
        <x:v>0</x:v>
      </x:c>
      <x:c r="I24" s="33" t="n">
        <x:v>0.7</x:v>
      </x:c>
      <x:c r="J24" s="33" t="n">
        <x:v>1</x:v>
      </x:c>
      <x:c r="K24" s="33" t="n">
        <x:v>1</x:v>
      </x:c>
      <x:c r="L24" s="33" t="n">
        <x:v>1</x:v>
      </x:c>
      <x:c r="M24" s="33" t="n">
        <x:v>1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D22*D23*D24</x:f>
        <x:v>0</x:v>
      </x:c>
      <x:c r="E25" s="26" t="n">
        <x:f>E22*E23*E24</x:f>
        <x:v>0</x:v>
      </x:c>
      <x:c r="F25" s="26" t="n">
        <x:f>F22*F23*F24</x:f>
        <x:v>0</x:v>
      </x:c>
      <x:c r="G25" s="26" t="n">
        <x:f>G22*G23*G24</x:f>
        <x:v>0</x:v>
      </x:c>
      <x:c r="H25" s="26" t="n">
        <x:f>H22*H23*H24</x:f>
        <x:v>0</x:v>
      </x:c>
      <x:c r="I25" s="26" t="n">
        <x:f>I22*I23*I24</x:f>
        <x:v>189</x:v>
      </x:c>
      <x:c r="J25" s="26" t="n">
        <x:f>J22*J23*J24</x:f>
        <x:v>405</x:v>
      </x:c>
      <x:c r="K25" s="26" t="n">
        <x:f>K22*K23*K24</x:f>
        <x:v>540</x:v>
      </x:c>
      <x:c r="L25" s="26" t="n">
        <x:f>L22*L23*L24</x:f>
        <x:v>540</x:v>
      </x:c>
      <x:c r="M25" s="26" t="n">
        <x:f>M22*M23*M24</x:f>
        <x:v>495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0.4</x:v>
      </x:c>
      <x:c r="E26" s="33" t="n">
        <x:v>0.4</x:v>
      </x:c>
      <x:c r="F26" s="33" t="n">
        <x:v>0.4</x:v>
      </x:c>
      <x:c r="G26" s="33" t="n">
        <x:v>0.4</x:v>
      </x:c>
      <x:c r="H26" s="33" t="n">
        <x:v>0.4</x:v>
      </x:c>
      <x:c r="I26" s="33" t="n">
        <x:v>0.4</x:v>
      </x:c>
      <x:c r="J26" s="33" t="n">
        <x:v>0.4</x:v>
      </x:c>
      <x:c r="K26" s="33" t="n">
        <x:v>0.4</x:v>
      </x:c>
      <x:c r="L26" s="33" t="n">
        <x:v>0.4</x:v>
      </x:c>
      <x:c r="M26" s="33" t="n">
        <x:v>0.4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0.6</x:v>
      </x:c>
      <x:c r="E27" s="33" t="n">
        <x:v>0.6</x:v>
      </x:c>
      <x:c r="F27" s="33" t="n">
        <x:v>0.6</x:v>
      </x:c>
      <x:c r="G27" s="33" t="n">
        <x:v>0.6</x:v>
      </x:c>
      <x:c r="H27" s="33" t="n">
        <x:v>0.6</x:v>
      </x:c>
      <x:c r="I27" s="33" t="n">
        <x:v>0.6</x:v>
      </x:c>
      <x:c r="J27" s="33" t="n">
        <x:v>0.6</x:v>
      </x:c>
      <x:c r="K27" s="33" t="n">
        <x:v>0.6</x:v>
      </x:c>
      <x:c r="L27" s="33" t="n">
        <x:v>0.6</x:v>
      </x:c>
      <x:c r="M27" s="33" t="n">
        <x:v>0.6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</x:v>
      </x:c>
      <x:c r="H28" s="33" t="n">
        <x:v>0</x:v>
      </x:c>
      <x:c r="I28" s="33" t="n">
        <x:v>0.2</x:v>
      </x:c>
      <x:c r="J28" s="33" t="n">
        <x:v>0.23</x:v>
      </x:c>
      <x:c r="K28" s="33" t="n">
        <x:v>0.25</x:v>
      </x:c>
      <x:c r="L28" s="33" t="n">
        <x:v>0.25</x:v>
      </x:c>
      <x:c r="M28" s="33" t="n">
        <x:v>0.24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0</x:v>
      </x:c>
      <x:c r="H37" s="26" t="n">
        <x:f>H25</x:f>
        <x:v>0</x:v>
      </x:c>
      <x:c r="I37" s="26" t="n">
        <x:f>I25</x:f>
        <x:v>189</x:v>
      </x:c>
      <x:c r="J37" s="26" t="n">
        <x:f>J25</x:f>
        <x:v>405</x:v>
      </x:c>
      <x:c r="K37" s="26" t="n">
        <x:f>K25</x:f>
        <x:v>540</x:v>
      </x:c>
      <x:c r="L37" s="26" t="n">
        <x:f>L25</x:f>
        <x:v>540</x:v>
      </x:c>
      <x:c r="M37" s="26" t="n">
        <x:f>M25</x:f>
        <x:v>495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0</x:v>
      </x:c>
      <x:c r="H38" s="29" t="n">
        <x:f>H25*H26</x:f>
        <x:v>0</x:v>
      </x:c>
      <x:c r="I38" s="29" t="n">
        <x:f>I25*I26</x:f>
        <x:v>75.60000000000001</x:v>
      </x:c>
      <x:c r="J38" s="29" t="n">
        <x:f>J25*J26</x:f>
        <x:v>162</x:v>
      </x:c>
      <x:c r="K38" s="29" t="n">
        <x:f>K25*K26</x:f>
        <x:v>216</x:v>
      </x:c>
      <x:c r="L38" s="29" t="n">
        <x:f>L25*L26</x:f>
        <x:v>216</x:v>
      </x:c>
      <x:c r="M38" s="29" t="n">
        <x:f>M25*M26</x:f>
        <x:v>198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0</x:v>
      </x:c>
      <x:c r="H39" s="26" t="n">
        <x:f>H38*H27</x:f>
        <x:v>0</x:v>
      </x:c>
      <x:c r="I39" s="26" t="n">
        <x:f>I38*I27</x:f>
        <x:v>45.36000000000001</x:v>
      </x:c>
      <x:c r="J39" s="26" t="n">
        <x:f>J38*J27</x:f>
        <x:v>97.2</x:v>
      </x:c>
      <x:c r="K39" s="26" t="n">
        <x:f>K38*K27</x:f>
        <x:v>129.6</x:v>
      </x:c>
      <x:c r="L39" s="26" t="n">
        <x:f>L38*L27</x:f>
        <x:v>129.6</x:v>
      </x:c>
      <x:c r="M39" s="26" t="n">
        <x:f>M38*M27</x:f>
        <x:v>118.8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</x:v>
      </x:c>
      <x:c r="H40" s="27" t="n">
        <x:f>H28</x:f>
        <x:v>0</x:v>
      </x:c>
      <x:c r="I40" s="27" t="n">
        <x:f>I28</x:f>
        <x:v>0.2</x:v>
      </x:c>
      <x:c r="J40" s="27" t="n">
        <x:f>J28</x:f>
        <x:v>0.23</x:v>
      </x:c>
      <x:c r="K40" s="27" t="n">
        <x:f>K28</x:f>
        <x:v>0.25</x:v>
      </x:c>
      <x:c r="L40" s="27" t="n">
        <x:f>L28</x:f>
        <x:v>0.25</x:v>
      </x:c>
      <x:c r="M40" s="27" t="n">
        <x:f>M28</x:f>
        <x:v>0.24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0</x:v>
      </x:c>
      <x:c r="H41" s="29" t="n">
        <x:f>H38*H40</x:f>
        <x:v>0</x:v>
      </x:c>
      <x:c r="I41" s="29" t="n">
        <x:f>I38*I40</x:f>
        <x:v>15.120000000000003</x:v>
      </x:c>
      <x:c r="J41" s="29" t="n">
        <x:f>J38*J40</x:f>
        <x:v>37.260000000000005</x:v>
      </x:c>
      <x:c r="K41" s="29" t="n">
        <x:f>K38*K40</x:f>
        <x:v>54</x:v>
      </x:c>
      <x:c r="L41" s="29" t="n">
        <x:f>L38*L40</x:f>
        <x:v>54</x:v>
      </x:c>
      <x:c r="M41" s="29" t="n">
        <x:f>M38*M40</x:f>
        <x:v>47.519999999999996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</x:v>
      </x:c>
      <x:c r="H42" s="26" t="n">
        <x:f>H39*H40</x:f>
        <x:v>0</x:v>
      </x:c>
      <x:c r="I42" s="26" t="n">
        <x:f>I39*I40</x:f>
        <x:v>9.072000000000001</x:v>
      </x:c>
      <x:c r="J42" s="26" t="n">
        <x:f>J39*J40</x:f>
        <x:v>22.356</x:v>
      </x:c>
      <x:c r="K42" s="26" t="n">
        <x:f>K39*K40</x:f>
        <x:v>32.4</x:v>
      </x:c>
      <x:c r="L42" s="26" t="n">
        <x:f>L39*L40</x:f>
        <x:v>32.4</x:v>
      </x:c>
      <x:c r="M42" s="26" t="n">
        <x:f>M39*M40</x:f>
        <x:v>28.511999999999997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0</x:v>
      </x:c>
      <x:c r="H43" s="26" t="n">
        <x:f>H38*'Global Assump'!H$4</x:f>
        <x:v>0</x:v>
      </x:c>
      <x:c r="I43" s="26" t="n">
        <x:f>I38*'Global Assump'!I$4</x:f>
        <x:v>7257.6</x:v>
      </x:c>
      <x:c r="J43" s="26" t="n">
        <x:f>J38*'Global Assump'!J$4</x:f>
        <x:v>15876</x:v>
      </x:c>
      <x:c r="K43" s="26" t="n">
        <x:f>K38*'Global Assump'!K$4</x:f>
        <x:v>21600</x:v>
      </x:c>
      <x:c r="L43" s="26" t="n">
        <x:f>L38*'Global Assump'!L$4</x:f>
        <x:v>22032</x:v>
      </x:c>
      <x:c r="M43" s="26" t="n">
        <x:f>M38*'Global Assump'!M$4</x:f>
        <x:v>20592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0</x:v>
      </x:c>
      <x:c r="H44" s="30" t="n">
        <x:f>H39*'Global Assump'!H$4</x:f>
        <x:v>0</x:v>
      </x:c>
      <x:c r="I44" s="30" t="n">
        <x:f>I39*'Global Assump'!I$4</x:f>
        <x:v>4354.56</x:v>
      </x:c>
      <x:c r="J44" s="30" t="n">
        <x:f>J39*'Global Assump'!J$4</x:f>
        <x:v>9525.6</x:v>
      </x:c>
      <x:c r="K44" s="30" t="n">
        <x:f>K39*'Global Assump'!K$4</x:f>
        <x:v>12960</x:v>
      </x:c>
      <x:c r="L44" s="30" t="n">
        <x:f>L39*'Global Assump'!L$4</x:f>
        <x:v>13219.199999999999</x:v>
      </x:c>
      <x:c r="M44" s="30" t="n">
        <x:f>M39*'Global Assump'!M$4</x:f>
        <x:v>12355.199999999999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RK Pharma | Undisclosed oncology supportive-care injectable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RK Pharma | Undisclosed oncology supportive-care injectable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505(b)(2) / differentiated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Molecule not publicly disclosed; NDA filing targeted in 2026; modeled launch FY29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Identity, filing timing, clinical bridge, pricing and RK supply economics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Addressable market units</x:v>
      </x:c>
      <x:c r="B20" s="16" t="str">
        <x:v>000 units</x:v>
      </x:c>
      <x:c r="C20" s="16"/>
      <x:c r="D20" s="31" t="n">
        <x:v>0</x:v>
      </x:c>
      <x:c r="E20" s="31" t="n">
        <x:v>0</x:v>
      </x:c>
      <x:c r="F20" s="31" t="n">
        <x:v>0</x:v>
      </x:c>
      <x:c r="G20" s="31" t="n">
        <x:v>6200</x:v>
      </x:c>
      <x:c r="H20" s="31" t="n">
        <x:v>6200</x:v>
      </x:c>
      <x:c r="I20" s="31" t="n">
        <x:v>6200</x:v>
      </x:c>
      <x:c r="J20" s="31" t="n">
        <x:v>6200</x:v>
      </x:c>
      <x:c r="K20" s="31" t="n">
        <x:v>6200</x:v>
      </x:c>
      <x:c r="L20" s="31" t="n">
        <x:v>6200</x:v>
      </x:c>
      <x:c r="M20" s="31" t="n">
        <x:v>6200</x:v>
      </x:c>
    </x:row>
    <x:row r="21">
      <x:c r="A21" s="16" t="str">
        <x:v>Net revenue per unit</x:v>
      </x:c>
      <x:c r="B21" s="16" t="str">
        <x:v>$ / unit</x:v>
      </x:c>
      <x:c r="C21" s="16"/>
      <x:c r="D21" s="31" t="n">
        <x:v>0</x:v>
      </x:c>
      <x:c r="E21" s="31" t="n">
        <x:v>0</x:v>
      </x:c>
      <x:c r="F21" s="31" t="n">
        <x:v>0</x:v>
      </x:c>
      <x:c r="G21" s="31" t="n">
        <x:v>55</x:v>
      </x:c>
      <x:c r="H21" s="31" t="n">
        <x:v>55</x:v>
      </x:c>
      <x:c r="I21" s="31" t="n">
        <x:v>55</x:v>
      </x:c>
      <x:c r="J21" s="31" t="n">
        <x:v>55</x:v>
      </x:c>
      <x:c r="K21" s="31" t="n">
        <x:v>55</x:v>
      </x:c>
      <x:c r="L21" s="31" t="n">
        <x:v>55</x:v>
      </x:c>
      <x:c r="M21" s="31" t="n">
        <x:v>55</x:v>
      </x:c>
    </x:row>
    <x:row r="22">
      <x:c r="A22" s="16" t="str">
        <x:v>Zydus unit share</x:v>
      </x:c>
      <x:c r="B22" s="16" t="str">
        <x:v>%</x:v>
      </x:c>
      <x:c r="C22" s="16"/>
      <x:c r="D22" s="33" t="n">
        <x:v>0</x:v>
      </x:c>
      <x:c r="E22" s="33" t="n">
        <x:v>0</x:v>
      </x:c>
      <x:c r="F22" s="33" t="n">
        <x:v>0</x:v>
      </x:c>
      <x:c r="G22" s="33" t="n">
        <x:v>0.05</x:v>
      </x:c>
      <x:c r="H22" s="33" t="n">
        <x:v>0.08</x:v>
      </x:c>
      <x:c r="I22" s="33" t="n">
        <x:v>0.1</x:v>
      </x:c>
      <x:c r="J22" s="33" t="n">
        <x:v>0.1</x:v>
      </x:c>
      <x:c r="K22" s="33" t="n">
        <x:v>0.1</x:v>
      </x:c>
      <x:c r="L22" s="33" t="n">
        <x:v>0.09</x:v>
      </x:c>
      <x:c r="M22" s="33" t="n">
        <x:v>0.08</x:v>
      </x:c>
    </x:row>
    <x:row r="23">
      <x:c r="A23" s="16" t="str">
        <x:v>Launch-year factor</x:v>
      </x:c>
      <x:c r="B23" s="16" t="str">
        <x:v>%</x:v>
      </x:c>
      <x:c r="C23" s="16"/>
      <x:c r="D23" s="33" t="n">
        <x:v>0</x:v>
      </x:c>
      <x:c r="E23" s="33" t="n">
        <x:v>0</x:v>
      </x:c>
      <x:c r="F23" s="33" t="n">
        <x:v>0</x:v>
      </x:c>
      <x:c r="G23" s="33" t="n">
        <x:v>0.5</x:v>
      </x:c>
      <x:c r="H23" s="33" t="n">
        <x:v>1</x:v>
      </x:c>
      <x:c r="I23" s="33" t="n">
        <x:v>1</x:v>
      </x:c>
      <x:c r="J23" s="33" t="n">
        <x:v>1</x:v>
      </x:c>
      <x:c r="K23" s="33" t="n">
        <x:v>1</x:v>
      </x:c>
      <x:c r="L23" s="33" t="n">
        <x:v>1</x:v>
      </x:c>
      <x:c r="M23" s="33" t="n">
        <x:v>1</x:v>
      </x:c>
    </x:row>
    <x:row r="24">
      <x:c r="A24" s="16" t="str">
        <x:v>Captured volume</x:v>
      </x:c>
      <x:c r="B24" s="16" t="str">
        <x:v>000 units</x:v>
      </x:c>
      <x:c r="C24" s="16"/>
      <x:c r="D24" s="25" t="n">
        <x:f>D20*D22*D23</x:f>
        <x:v>0</x:v>
      </x:c>
      <x:c r="E24" s="25" t="n">
        <x:f>E20*E22*E23</x:f>
        <x:v>0</x:v>
      </x:c>
      <x:c r="F24" s="25" t="n">
        <x:f>F20*F22*F23</x:f>
        <x:v>0</x:v>
      </x:c>
      <x:c r="G24" s="25" t="n">
        <x:f>G20*G22*G23</x:f>
        <x:v>155</x:v>
      </x:c>
      <x:c r="H24" s="25" t="n">
        <x:f>H20*H22*H23</x:f>
        <x:v>496</x:v>
      </x:c>
      <x:c r="I24" s="25" t="n">
        <x:f>I20*I22*I23</x:f>
        <x:v>620</x:v>
      </x:c>
      <x:c r="J24" s="25" t="n">
        <x:f>J20*J22*J23</x:f>
        <x:v>620</x:v>
      </x:c>
      <x:c r="K24" s="25" t="n">
        <x:f>K20*K22*K23</x:f>
        <x:v>620</x:v>
      </x:c>
      <x:c r="L24" s="25" t="n">
        <x:f>L20*L22*L23</x:f>
        <x:v>558</x:v>
      </x:c>
      <x:c r="M24" s="25" t="n">
        <x:f>M20*M22*M23</x:f>
        <x:v>496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D24*D21/1000</x:f>
        <x:v>0</x:v>
      </x:c>
      <x:c r="E25" s="26" t="n">
        <x:f>E24*E21/1000</x:f>
        <x:v>0</x:v>
      </x:c>
      <x:c r="F25" s="26" t="n">
        <x:f>F24*F21/1000</x:f>
        <x:v>0</x:v>
      </x:c>
      <x:c r="G25" s="26" t="n">
        <x:f>G24*G21/1000</x:f>
        <x:v>8.525</x:v>
      </x:c>
      <x:c r="H25" s="26" t="n">
        <x:f>H24*H21/1000</x:f>
        <x:v>27.28</x:v>
      </x:c>
      <x:c r="I25" s="26" t="n">
        <x:f>I24*I21/1000</x:f>
        <x:v>34.1</x:v>
      </x:c>
      <x:c r="J25" s="26" t="n">
        <x:f>J24*J21/1000</x:f>
        <x:v>34.1</x:v>
      </x:c>
      <x:c r="K25" s="26" t="n">
        <x:f>K24*K21/1000</x:f>
        <x:v>34.1</x:v>
      </x:c>
      <x:c r="L25" s="26" t="n">
        <x:f>L24*L21/1000</x:f>
        <x:v>30.69</x:v>
      </x:c>
      <x:c r="M25" s="26" t="n">
        <x:f>M24*M21/1000</x:f>
        <x:v>27.28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0.8</x:v>
      </x:c>
      <x:c r="E26" s="33" t="n">
        <x:v>0.8</x:v>
      </x:c>
      <x:c r="F26" s="33" t="n">
        <x:v>0.8</x:v>
      </x:c>
      <x:c r="G26" s="33" t="n">
        <x:v>0.8</x:v>
      </x:c>
      <x:c r="H26" s="33" t="n">
        <x:v>0.8</x:v>
      </x:c>
      <x:c r="I26" s="33" t="n">
        <x:v>0.8</x:v>
      </x:c>
      <x:c r="J26" s="33" t="n">
        <x:v>0.8</x:v>
      </x:c>
      <x:c r="K26" s="33" t="n">
        <x:v>0.8</x:v>
      </x:c>
      <x:c r="L26" s="33" t="n">
        <x:v>0.8</x:v>
      </x:c>
      <x:c r="M26" s="33" t="n">
        <x:v>0.8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0.6</x:v>
      </x:c>
      <x:c r="E27" s="33" t="n">
        <x:v>0.6</x:v>
      </x:c>
      <x:c r="F27" s="33" t="n">
        <x:v>0.6</x:v>
      </x:c>
      <x:c r="G27" s="33" t="n">
        <x:v>0.6</x:v>
      </x:c>
      <x:c r="H27" s="33" t="n">
        <x:v>0.6</x:v>
      </x:c>
      <x:c r="I27" s="33" t="n">
        <x:v>0.6</x:v>
      </x:c>
      <x:c r="J27" s="33" t="n">
        <x:v>0.6</x:v>
      </x:c>
      <x:c r="K27" s="33" t="n">
        <x:v>0.6</x:v>
      </x:c>
      <x:c r="L27" s="33" t="n">
        <x:v>0.6</x:v>
      </x:c>
      <x:c r="M27" s="33" t="n">
        <x:v>0.6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</x:v>
      </x:c>
      <x:c r="F28" s="33" t="n">
        <x:v>0</x:v>
      </x:c>
      <x:c r="G28" s="33" t="n">
        <x:v>0.2</x:v>
      </x:c>
      <x:c r="H28" s="33" t="n">
        <x:v>0.24</x:v>
      </x:c>
      <x:c r="I28" s="33" t="n">
        <x:v>0.25</x:v>
      </x:c>
      <x:c r="J28" s="33" t="n">
        <x:v>0.25</x:v>
      </x:c>
      <x:c r="K28" s="33" t="n">
        <x:v>0.25</x:v>
      </x:c>
      <x:c r="L28" s="33" t="n">
        <x:v>0.24</x:v>
      </x:c>
      <x:c r="M28" s="33" t="n">
        <x:v>0.23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0</x:v>
      </x:c>
      <x:c r="F37" s="26" t="n">
        <x:f>F25</x:f>
        <x:v>0</x:v>
      </x:c>
      <x:c r="G37" s="26" t="n">
        <x:f>G25</x:f>
        <x:v>8.525</x:v>
      </x:c>
      <x:c r="H37" s="26" t="n">
        <x:f>H25</x:f>
        <x:v>27.28</x:v>
      </x:c>
      <x:c r="I37" s="26" t="n">
        <x:f>I25</x:f>
        <x:v>34.1</x:v>
      </x:c>
      <x:c r="J37" s="26" t="n">
        <x:f>J25</x:f>
        <x:v>34.1</x:v>
      </x:c>
      <x:c r="K37" s="26" t="n">
        <x:f>K25</x:f>
        <x:v>34.1</x:v>
      </x:c>
      <x:c r="L37" s="26" t="n">
        <x:f>L25</x:f>
        <x:v>30.69</x:v>
      </x:c>
      <x:c r="M37" s="26" t="n">
        <x:f>M25</x:f>
        <x:v>27.28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0</x:v>
      </x:c>
      <x:c r="F38" s="29" t="n">
        <x:f>F25*F26</x:f>
        <x:v>0</x:v>
      </x:c>
      <x:c r="G38" s="29" t="n">
        <x:f>G25*G26</x:f>
        <x:v>6.82</x:v>
      </x:c>
      <x:c r="H38" s="29" t="n">
        <x:f>H25*H26</x:f>
        <x:v>21.824</x:v>
      </x:c>
      <x:c r="I38" s="29" t="n">
        <x:f>I25*I26</x:f>
        <x:v>27.28</x:v>
      </x:c>
      <x:c r="J38" s="29" t="n">
        <x:f>J25*J26</x:f>
        <x:v>27.28</x:v>
      </x:c>
      <x:c r="K38" s="29" t="n">
        <x:f>K25*K26</x:f>
        <x:v>27.28</x:v>
      </x:c>
      <x:c r="L38" s="29" t="n">
        <x:f>L25*L26</x:f>
        <x:v>24.552000000000003</x:v>
      </x:c>
      <x:c r="M38" s="29" t="n">
        <x:f>M25*M26</x:f>
        <x:v>21.824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0</x:v>
      </x:c>
      <x:c r="F39" s="26" t="n">
        <x:f>F38*F27</x:f>
        <x:v>0</x:v>
      </x:c>
      <x:c r="G39" s="26" t="n">
        <x:f>G38*G27</x:f>
        <x:v>4.092</x:v>
      </x:c>
      <x:c r="H39" s="26" t="n">
        <x:f>H38*H27</x:f>
        <x:v>13.0944</x:v>
      </x:c>
      <x:c r="I39" s="26" t="n">
        <x:f>I38*I27</x:f>
        <x:v>16.368</x:v>
      </x:c>
      <x:c r="J39" s="26" t="n">
        <x:f>J38*J27</x:f>
        <x:v>16.368</x:v>
      </x:c>
      <x:c r="K39" s="26" t="n">
        <x:f>K38*K27</x:f>
        <x:v>16.368</x:v>
      </x:c>
      <x:c r="L39" s="26" t="n">
        <x:f>L38*L27</x:f>
        <x:v>14.731200000000001</x:v>
      </x:c>
      <x:c r="M39" s="26" t="n">
        <x:f>M38*M27</x:f>
        <x:v>13.0944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</x:v>
      </x:c>
      <x:c r="F40" s="27" t="n">
        <x:f>F28</x:f>
        <x:v>0</x:v>
      </x:c>
      <x:c r="G40" s="27" t="n">
        <x:f>G28</x:f>
        <x:v>0.2</x:v>
      </x:c>
      <x:c r="H40" s="27" t="n">
        <x:f>H28</x:f>
        <x:v>0.24</x:v>
      </x:c>
      <x:c r="I40" s="27" t="n">
        <x:f>I28</x:f>
        <x:v>0.25</x:v>
      </x:c>
      <x:c r="J40" s="27" t="n">
        <x:f>J28</x:f>
        <x:v>0.25</x:v>
      </x:c>
      <x:c r="K40" s="27" t="n">
        <x:f>K28</x:f>
        <x:v>0.25</x:v>
      </x:c>
      <x:c r="L40" s="27" t="n">
        <x:f>L28</x:f>
        <x:v>0.24</x:v>
      </x:c>
      <x:c r="M40" s="27" t="n">
        <x:f>M28</x:f>
        <x:v>0.23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0</x:v>
      </x:c>
      <x:c r="F41" s="29" t="n">
        <x:f>F38*F40</x:f>
        <x:v>0</x:v>
      </x:c>
      <x:c r="G41" s="29" t="n">
        <x:f>G38*G40</x:f>
        <x:v>1.364</x:v>
      </x:c>
      <x:c r="H41" s="29" t="n">
        <x:f>H38*H40</x:f>
        <x:v>5.237760000000001</x:v>
      </x:c>
      <x:c r="I41" s="29" t="n">
        <x:f>I38*I40</x:f>
        <x:v>6.82</x:v>
      </x:c>
      <x:c r="J41" s="29" t="n">
        <x:f>J38*J40</x:f>
        <x:v>6.82</x:v>
      </x:c>
      <x:c r="K41" s="29" t="n">
        <x:f>K38*K40</x:f>
        <x:v>6.82</x:v>
      </x:c>
      <x:c r="L41" s="29" t="n">
        <x:f>L38*L40</x:f>
        <x:v>5.892480000000001</x:v>
      </x:c>
      <x:c r="M41" s="29" t="n">
        <x:f>M38*M40</x:f>
        <x:v>5.019520000000001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0</x:v>
      </x:c>
      <x:c r="F42" s="26" t="n">
        <x:f>F39*F40</x:f>
        <x:v>0</x:v>
      </x:c>
      <x:c r="G42" s="26" t="n">
        <x:f>G39*G40</x:f>
        <x:v>0.8184</x:v>
      </x:c>
      <x:c r="H42" s="26" t="n">
        <x:f>H39*H40</x:f>
        <x:v>3.142656</x:v>
      </x:c>
      <x:c r="I42" s="26" t="n">
        <x:f>I39*I40</x:f>
        <x:v>4.092</x:v>
      </x:c>
      <x:c r="J42" s="26" t="n">
        <x:f>J39*J40</x:f>
        <x:v>4.092</x:v>
      </x:c>
      <x:c r="K42" s="26" t="n">
        <x:f>K39*K40</x:f>
        <x:v>4.092</x:v>
      </x:c>
      <x:c r="L42" s="26" t="n">
        <x:f>L39*L40</x:f>
        <x:v>3.535488</x:v>
      </x:c>
      <x:c r="M42" s="26" t="n">
        <x:f>M39*M40</x:f>
        <x:v>3.011712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0</x:v>
      </x:c>
      <x:c r="F43" s="26" t="n">
        <x:f>F38*'Global Assump'!F$4</x:f>
        <x:v>0</x:v>
      </x:c>
      <x:c r="G43" s="26" t="n">
        <x:f>G38*'Global Assump'!G$4</x:f>
        <x:v>627.44</x:v>
      </x:c>
      <x:c r="H43" s="26" t="n">
        <x:f>H38*'Global Assump'!H$4</x:f>
        <x:v>2051.456</x:v>
      </x:c>
      <x:c r="I43" s="26" t="n">
        <x:f>I38*'Global Assump'!I$4</x:f>
        <x:v>2618.88</x:v>
      </x:c>
      <x:c r="J43" s="26" t="n">
        <x:f>J38*'Global Assump'!J$4</x:f>
        <x:v>2673.44</x:v>
      </x:c>
      <x:c r="K43" s="26" t="n">
        <x:f>K38*'Global Assump'!K$4</x:f>
        <x:v>2728</x:v>
      </x:c>
      <x:c r="L43" s="26" t="n">
        <x:f>L38*'Global Assump'!L$4</x:f>
        <x:v>2504.3040000000005</x:v>
      </x:c>
      <x:c r="M43" s="26" t="n">
        <x:f>M38*'Global Assump'!M$4</x:f>
        <x:v>2269.6960000000004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0</x:v>
      </x:c>
      <x:c r="F44" s="30" t="n">
        <x:f>F39*'Global Assump'!F$4</x:f>
        <x:v>0</x:v>
      </x:c>
      <x:c r="G44" s="30" t="n">
        <x:f>G39*'Global Assump'!G$4</x:f>
        <x:v>376.46399999999994</x:v>
      </x:c>
      <x:c r="H44" s="30" t="n">
        <x:f>H39*'Global Assump'!H$4</x:f>
        <x:v>1230.8736000000001</x:v>
      </x:c>
      <x:c r="I44" s="30" t="n">
        <x:f>I39*'Global Assump'!I$4</x:f>
        <x:v>1571.328</x:v>
      </x:c>
      <x:c r="J44" s="30" t="n">
        <x:f>J39*'Global Assump'!J$4</x:f>
        <x:v>1604.0639999999999</x:v>
      </x:c>
      <x:c r="K44" s="30" t="n">
        <x:f>K39*'Global Assump'!K$4</x:f>
        <x:v>1636.8</x:v>
      </x:c>
      <x:c r="L44" s="30" t="n">
        <x:f>L39*'Global Assump'!L$4</x:f>
        <x:v>1502.5824000000002</x:v>
      </x:c>
      <x:c r="M44" s="30" t="n">
        <x:f>M39*'Global Assump'!M$4</x:f>
        <x:v>1361.8176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LiqMeds | Oral-liquid portfolio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LiqMeds | Oral-liquid portfolio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505(b)(2) / differentiated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14 filings, 10 approvals, 7 launches disclosed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UK supply, US channel access, product-specific competition and launch cadence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Commercial products launched</x:v>
      </x:c>
      <x:c r="B20" s="16" t="str">
        <x:v>products</x:v>
      </x:c>
      <x:c r="C20" s="16"/>
      <x:c r="D20" s="32" t="n">
        <x:v>7</x:v>
      </x:c>
      <x:c r="E20" s="32" t="n">
        <x:v>8</x:v>
      </x:c>
      <x:c r="F20" s="32" t="n">
        <x:v>10</x:v>
      </x:c>
      <x:c r="G20" s="32" t="n">
        <x:v>12</x:v>
      </x:c>
      <x:c r="H20" s="32" t="n">
        <x:v>13</x:v>
      </x:c>
      <x:c r="I20" s="32" t="n">
        <x:v>14</x:v>
      </x:c>
      <x:c r="J20" s="32" t="n">
        <x:v>14</x:v>
      </x:c>
      <x:c r="K20" s="32" t="n">
        <x:v>14</x:v>
      </x:c>
      <x:c r="L20" s="32" t="n">
        <x:v>14</x:v>
      </x:c>
      <x:c r="M20" s="32" t="n">
        <x:v>14</x:v>
      </x:c>
    </x:row>
    <x:row r="21">
      <x:c r="A21" s="16" t="str">
        <x:v>Mature revenue per product</x:v>
      </x:c>
      <x:c r="B21" s="16" t="str">
        <x:v>$m</x:v>
      </x:c>
      <x:c r="C21" s="16"/>
      <x:c r="D21" s="32" t="n">
        <x:v>4.5</x:v>
      </x:c>
      <x:c r="E21" s="32" t="n">
        <x:v>4.5</x:v>
      </x:c>
      <x:c r="F21" s="32" t="n">
        <x:v>4.5</x:v>
      </x:c>
      <x:c r="G21" s="32" t="n">
        <x:v>4.5</x:v>
      </x:c>
      <x:c r="H21" s="32" t="n">
        <x:v>4.5</x:v>
      </x:c>
      <x:c r="I21" s="32" t="n">
        <x:v>4.5</x:v>
      </x:c>
      <x:c r="J21" s="32" t="n">
        <x:v>4.5</x:v>
      </x:c>
      <x:c r="K21" s="32" t="n">
        <x:v>4.5</x:v>
      </x:c>
      <x:c r="L21" s="32" t="n">
        <x:v>4.5</x:v>
      </x:c>
      <x:c r="M21" s="32" t="n">
        <x:v>4.5</x:v>
      </x:c>
    </x:row>
    <x:row r="22">
      <x:c r="A22" s="16" t="str">
        <x:v>Portfolio maturity factor</x:v>
      </x:c>
      <x:c r="B22" s="16" t="str">
        <x:v>%</x:v>
      </x:c>
      <x:c r="C22" s="16"/>
      <x:c r="D22" s="33" t="n">
        <x:v>0.55</x:v>
      </x:c>
      <x:c r="E22" s="33" t="n">
        <x:v>0.65</x:v>
      </x:c>
      <x:c r="F22" s="33" t="n">
        <x:v>0.8</x:v>
      </x:c>
      <x:c r="G22" s="33" t="n">
        <x:v>0.95</x:v>
      </x:c>
      <x:c r="H22" s="33" t="n">
        <x:v>1</x:v>
      </x:c>
      <x:c r="I22" s="33" t="n">
        <x:v>1</x:v>
      </x:c>
      <x:c r="J22" s="33" t="n">
        <x:v>1</x:v>
      </x:c>
      <x:c r="K22" s="33" t="n">
        <x:v>1</x:v>
      </x:c>
      <x:c r="L22" s="33" t="n">
        <x:v>1</x:v>
      </x:c>
      <x:c r="M22" s="33" t="n">
        <x:v>1</x:v>
      </x:c>
    </x:row>
    <x:row r="23">
      <x:c r="A23" s="16" t="str">
        <x:v>Launch / supply factor</x:v>
      </x:c>
      <x:c r="B23" s="16" t="str">
        <x:v>%</x:v>
      </x:c>
      <x:c r="C23" s="16"/>
      <x:c r="D23" s="33" t="n">
        <x:v>1</x:v>
      </x:c>
      <x:c r="E23" s="33" t="n">
        <x:v>1</x:v>
      </x:c>
      <x:c r="F23" s="33" t="n">
        <x:v>1</x:v>
      </x:c>
      <x:c r="G23" s="33" t="n">
        <x:v>1</x:v>
      </x:c>
      <x:c r="H23" s="33" t="n">
        <x:v>1</x:v>
      </x:c>
      <x:c r="I23" s="33" t="n">
        <x:v>1</x:v>
      </x:c>
      <x:c r="J23" s="33" t="n">
        <x:v>1</x:v>
      </x:c>
      <x:c r="K23" s="33" t="n">
        <x:v>1</x:v>
      </x:c>
      <x:c r="L23" s="33" t="n">
        <x:v>1</x:v>
      </x:c>
      <x:c r="M23" s="33" t="n">
        <x:v>1</x:v>
      </x:c>
    </x:row>
    <x:row r="24">
      <x:c r="A24" s="16" t="str">
        <x:v>Effective product equivalents</x:v>
      </x:c>
      <x:c r="B24" s="16" t="str">
        <x:v>products</x:v>
      </x:c>
      <x:c r="C24" s="16"/>
      <x:c r="D24" s="26" t="n">
        <x:f>D20*D22*D23</x:f>
        <x:v>3.8500000000000005</x:v>
      </x:c>
      <x:c r="E24" s="26" t="n">
        <x:f>E20*E22*E23</x:f>
        <x:v>5.2</x:v>
      </x:c>
      <x:c r="F24" s="26" t="n">
        <x:f>F20*F22*F23</x:f>
        <x:v>8</x:v>
      </x:c>
      <x:c r="G24" s="26" t="n">
        <x:f>G20*G22*G23</x:f>
        <x:v>11.399999999999999</x:v>
      </x:c>
      <x:c r="H24" s="26" t="n">
        <x:f>H20*H22*H23</x:f>
        <x:v>13</x:v>
      </x:c>
      <x:c r="I24" s="26" t="n">
        <x:f>I20*I22*I23</x:f>
        <x:v>14</x:v>
      </x:c>
      <x:c r="J24" s="26" t="n">
        <x:f>J20*J22*J23</x:f>
        <x:v>14</x:v>
      </x:c>
      <x:c r="K24" s="26" t="n">
        <x:f>K20*K22*K23</x:f>
        <x:v>14</x:v>
      </x:c>
      <x:c r="L24" s="26" t="n">
        <x:f>L20*L22*L23</x:f>
        <x:v>14</x:v>
      </x:c>
      <x:c r="M24" s="26" t="n">
        <x:f>M20*M22*M23</x:f>
        <x:v>14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D24*D21</x:f>
        <x:v>17.325000000000003</x:v>
      </x:c>
      <x:c r="E25" s="26" t="n">
        <x:f>E24*E21</x:f>
        <x:v>23.400000000000002</x:v>
      </x:c>
      <x:c r="F25" s="26" t="n">
        <x:f>F24*F21</x:f>
        <x:v>36</x:v>
      </x:c>
      <x:c r="G25" s="26" t="n">
        <x:f>G24*G21</x:f>
        <x:v>51.3</x:v>
      </x:c>
      <x:c r="H25" s="26" t="n">
        <x:f>H24*H21</x:f>
        <x:v>58.5</x:v>
      </x:c>
      <x:c r="I25" s="26" t="n">
        <x:f>I24*I21</x:f>
        <x:v>63</x:v>
      </x:c>
      <x:c r="J25" s="26" t="n">
        <x:f>J24*J21</x:f>
        <x:v>63</x:v>
      </x:c>
      <x:c r="K25" s="26" t="n">
        <x:f>K24*K21</x:f>
        <x:v>63</x:v>
      </x:c>
      <x:c r="L25" s="26" t="n">
        <x:f>L24*L21</x:f>
        <x:v>63</x:v>
      </x:c>
      <x:c r="M25" s="26" t="n">
        <x:f>M24*M21</x:f>
        <x:v>63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1</x:v>
      </x:c>
      <x:c r="E27" s="33" t="n">
        <x:v>1</x:v>
      </x:c>
      <x:c r="F27" s="33" t="n">
        <x:v>1</x:v>
      </x:c>
      <x:c r="G27" s="33" t="n">
        <x:v>1</x:v>
      </x:c>
      <x:c r="H27" s="33" t="n">
        <x:v>1</x:v>
      </x:c>
      <x:c r="I27" s="33" t="n">
        <x:v>1</x:v>
      </x:c>
      <x:c r="J27" s="33" t="n">
        <x:v>1</x:v>
      </x:c>
      <x:c r="K27" s="33" t="n">
        <x:v>1</x:v>
      </x:c>
      <x:c r="L27" s="33" t="n">
        <x:v>1</x:v>
      </x:c>
      <x:c r="M27" s="33" t="n">
        <x:v>1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0.2</x:v>
      </x:c>
      <x:c r="E28" s="33" t="n">
        <x:v>0.22</x:v>
      </x:c>
      <x:c r="F28" s="33" t="n">
        <x:v>0.24</x:v>
      </x:c>
      <x:c r="G28" s="33" t="n">
        <x:v>0.26</x:v>
      </x:c>
      <x:c r="H28" s="33" t="n">
        <x:v>0.27</x:v>
      </x:c>
      <x:c r="I28" s="33" t="n">
        <x:v>0.28</x:v>
      </x:c>
      <x:c r="J28" s="33" t="n">
        <x:v>0.28</x:v>
      </x:c>
      <x:c r="K28" s="33" t="n">
        <x:v>0.27</x:v>
      </x:c>
      <x:c r="L28" s="33" t="n">
        <x:v>0.26</x:v>
      </x:c>
      <x:c r="M28" s="33" t="n">
        <x:v>0.25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17.325000000000003</x:v>
      </x:c>
      <x:c r="E37" s="26" t="n">
        <x:f>E25</x:f>
        <x:v>23.400000000000002</x:v>
      </x:c>
      <x:c r="F37" s="26" t="n">
        <x:f>F25</x:f>
        <x:v>36</x:v>
      </x:c>
      <x:c r="G37" s="26" t="n">
        <x:f>G25</x:f>
        <x:v>51.3</x:v>
      </x:c>
      <x:c r="H37" s="26" t="n">
        <x:f>H25</x:f>
        <x:v>58.5</x:v>
      </x:c>
      <x:c r="I37" s="26" t="n">
        <x:f>I25</x:f>
        <x:v>63</x:v>
      </x:c>
      <x:c r="J37" s="26" t="n">
        <x:f>J25</x:f>
        <x:v>63</x:v>
      </x:c>
      <x:c r="K37" s="26" t="n">
        <x:f>K25</x:f>
        <x:v>63</x:v>
      </x:c>
      <x:c r="L37" s="26" t="n">
        <x:f>L25</x:f>
        <x:v>63</x:v>
      </x:c>
      <x:c r="M37" s="26" t="n">
        <x:f>M25</x:f>
        <x:v>63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17.325000000000003</x:v>
      </x:c>
      <x:c r="E38" s="29" t="n">
        <x:f>E25*E26</x:f>
        <x:v>23.400000000000002</x:v>
      </x:c>
      <x:c r="F38" s="29" t="n">
        <x:f>F25*F26</x:f>
        <x:v>36</x:v>
      </x:c>
      <x:c r="G38" s="29" t="n">
        <x:f>G25*G26</x:f>
        <x:v>51.3</x:v>
      </x:c>
      <x:c r="H38" s="29" t="n">
        <x:f>H25*H26</x:f>
        <x:v>58.5</x:v>
      </x:c>
      <x:c r="I38" s="29" t="n">
        <x:f>I25*I26</x:f>
        <x:v>63</x:v>
      </x:c>
      <x:c r="J38" s="29" t="n">
        <x:f>J25*J26</x:f>
        <x:v>63</x:v>
      </x:c>
      <x:c r="K38" s="29" t="n">
        <x:f>K25*K26</x:f>
        <x:v>63</x:v>
      </x:c>
      <x:c r="L38" s="29" t="n">
        <x:f>L25*L26</x:f>
        <x:v>63</x:v>
      </x:c>
      <x:c r="M38" s="29" t="n">
        <x:f>M25*M26</x:f>
        <x:v>63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17.325000000000003</x:v>
      </x:c>
      <x:c r="E39" s="26" t="n">
        <x:f>E38*E27</x:f>
        <x:v>23.400000000000002</x:v>
      </x:c>
      <x:c r="F39" s="26" t="n">
        <x:f>F38*F27</x:f>
        <x:v>36</x:v>
      </x:c>
      <x:c r="G39" s="26" t="n">
        <x:f>G38*G27</x:f>
        <x:v>51.3</x:v>
      </x:c>
      <x:c r="H39" s="26" t="n">
        <x:f>H38*H27</x:f>
        <x:v>58.5</x:v>
      </x:c>
      <x:c r="I39" s="26" t="n">
        <x:f>I38*I27</x:f>
        <x:v>63</x:v>
      </x:c>
      <x:c r="J39" s="26" t="n">
        <x:f>J38*J27</x:f>
        <x:v>63</x:v>
      </x:c>
      <x:c r="K39" s="26" t="n">
        <x:f>K38*K27</x:f>
        <x:v>63</x:v>
      </x:c>
      <x:c r="L39" s="26" t="n">
        <x:f>L38*L27</x:f>
        <x:v>63</x:v>
      </x:c>
      <x:c r="M39" s="26" t="n">
        <x:f>M38*M27</x:f>
        <x:v>63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0.2</x:v>
      </x:c>
      <x:c r="E40" s="27" t="n">
        <x:f>E28</x:f>
        <x:v>0.22</x:v>
      </x:c>
      <x:c r="F40" s="27" t="n">
        <x:f>F28</x:f>
        <x:v>0.24</x:v>
      </x:c>
      <x:c r="G40" s="27" t="n">
        <x:f>G28</x:f>
        <x:v>0.26</x:v>
      </x:c>
      <x:c r="H40" s="27" t="n">
        <x:f>H28</x:f>
        <x:v>0.27</x:v>
      </x:c>
      <x:c r="I40" s="27" t="n">
        <x:f>I28</x:f>
        <x:v>0.28</x:v>
      </x:c>
      <x:c r="J40" s="27" t="n">
        <x:f>J28</x:f>
        <x:v>0.28</x:v>
      </x:c>
      <x:c r="K40" s="27" t="n">
        <x:f>K28</x:f>
        <x:v>0.27</x:v>
      </x:c>
      <x:c r="L40" s="27" t="n">
        <x:f>L28</x:f>
        <x:v>0.26</x:v>
      </x:c>
      <x:c r="M40" s="27" t="n">
        <x:f>M28</x:f>
        <x:v>0.25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3.4650000000000007</x:v>
      </x:c>
      <x:c r="E41" s="29" t="n">
        <x:f>E38*E40</x:f>
        <x:v>5.148000000000001</x:v>
      </x:c>
      <x:c r="F41" s="29" t="n">
        <x:f>F38*F40</x:f>
        <x:v>8.64</x:v>
      </x:c>
      <x:c r="G41" s="29" t="n">
        <x:f>G38*G40</x:f>
        <x:v>13.338</x:v>
      </x:c>
      <x:c r="H41" s="29" t="n">
        <x:f>H38*H40</x:f>
        <x:v>15.795000000000002</x:v>
      </x:c>
      <x:c r="I41" s="29" t="n">
        <x:f>I38*I40</x:f>
        <x:v>17.64</x:v>
      </x:c>
      <x:c r="J41" s="29" t="n">
        <x:f>J38*J40</x:f>
        <x:v>17.64</x:v>
      </x:c>
      <x:c r="K41" s="29" t="n">
        <x:f>K38*K40</x:f>
        <x:v>17.01</x:v>
      </x:c>
      <x:c r="L41" s="29" t="n">
        <x:f>L38*L40</x:f>
        <x:v>16.38</x:v>
      </x:c>
      <x:c r="M41" s="29" t="n">
        <x:f>M38*M40</x:f>
        <x:v>15.75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3.4650000000000007</x:v>
      </x:c>
      <x:c r="E42" s="26" t="n">
        <x:f>E39*E40</x:f>
        <x:v>5.148000000000001</x:v>
      </x:c>
      <x:c r="F42" s="26" t="n">
        <x:f>F39*F40</x:f>
        <x:v>8.64</x:v>
      </x:c>
      <x:c r="G42" s="26" t="n">
        <x:f>G39*G40</x:f>
        <x:v>13.338</x:v>
      </x:c>
      <x:c r="H42" s="26" t="n">
        <x:f>H39*H40</x:f>
        <x:v>15.795000000000002</x:v>
      </x:c>
      <x:c r="I42" s="26" t="n">
        <x:f>I39*I40</x:f>
        <x:v>17.64</x:v>
      </x:c>
      <x:c r="J42" s="26" t="n">
        <x:f>J39*J40</x:f>
        <x:v>17.64</x:v>
      </x:c>
      <x:c r="K42" s="26" t="n">
        <x:f>K39*K40</x:f>
        <x:v>17.01</x:v>
      </x:c>
      <x:c r="L42" s="26" t="n">
        <x:f>L39*L40</x:f>
        <x:v>16.38</x:v>
      </x:c>
      <x:c r="M42" s="26" t="n">
        <x:f>M39*M40</x:f>
        <x:v>15.75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1489.9500000000003</x:v>
      </x:c>
      <x:c r="E43" s="26" t="n">
        <x:f>E38*'Global Assump'!E$4</x:f>
        <x:v>2059.2000000000003</x:v>
      </x:c>
      <x:c r="F43" s="26" t="n">
        <x:f>F38*'Global Assump'!F$4</x:f>
        <x:v>3240</x:v>
      </x:c>
      <x:c r="G43" s="26" t="n">
        <x:f>G38*'Global Assump'!G$4</x:f>
        <x:v>4719.599999999999</x:v>
      </x:c>
      <x:c r="H43" s="26" t="n">
        <x:f>H38*'Global Assump'!H$4</x:f>
        <x:v>5499</x:v>
      </x:c>
      <x:c r="I43" s="26" t="n">
        <x:f>I38*'Global Assump'!I$4</x:f>
        <x:v>6048</x:v>
      </x:c>
      <x:c r="J43" s="26" t="n">
        <x:f>J38*'Global Assump'!J$4</x:f>
        <x:v>6174</x:v>
      </x:c>
      <x:c r="K43" s="26" t="n">
        <x:f>K38*'Global Assump'!K$4</x:f>
        <x:v>6300</x:v>
      </x:c>
      <x:c r="L43" s="26" t="n">
        <x:f>L38*'Global Assump'!L$4</x:f>
        <x:v>6426</x:v>
      </x:c>
      <x:c r="M43" s="26" t="n">
        <x:f>M38*'Global Assump'!M$4</x:f>
        <x:v>6552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1489.9500000000003</x:v>
      </x:c>
      <x:c r="E44" s="30" t="n">
        <x:f>E39*'Global Assump'!E$4</x:f>
        <x:v>2059.2000000000003</x:v>
      </x:c>
      <x:c r="F44" s="30" t="n">
        <x:f>F39*'Global Assump'!F$4</x:f>
        <x:v>3240</x:v>
      </x:c>
      <x:c r="G44" s="30" t="n">
        <x:f>G39*'Global Assump'!G$4</x:f>
        <x:v>4719.599999999999</x:v>
      </x:c>
      <x:c r="H44" s="30" t="n">
        <x:f>H39*'Global Assump'!H$4</x:f>
        <x:v>5499</x:v>
      </x:c>
      <x:c r="I44" s="30" t="n">
        <x:f>I39*'Global Assump'!I$4</x:f>
        <x:v>6048</x:v>
      </x:c>
      <x:c r="J44" s="30" t="n">
        <x:f>J39*'Global Assump'!J$4</x:f>
        <x:v>6174</x:v>
      </x:c>
      <x:c r="K44" s="30" t="n">
        <x:f>K39*'Global Assump'!K$4</x:f>
        <x:v>6300</x:v>
      </x:c>
      <x:c r="L44" s="30" t="n">
        <x:f>L39*'Global Assump'!L$4</x:f>
        <x:v>6426</x:v>
      </x:c>
      <x:c r="M44" s="30" t="n">
        <x:f>M39*'Global Assump'!M$4</x:f>
        <x:v>6552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Sentynl | Combined orphan-drug portfolio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Sentynl | Combined orphan-drug portfolio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Acquired specialty / orphan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 / select ex-US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Commercial: NULIBRY, ZOKINVY, ZYCUBO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Patient identification, reimbursement, small-number quarterly volatility and geographic access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NULIBRY treated patients</x:v>
      </x:c>
      <x:c r="B20" s="16" t="str">
        <x:v>patients</x:v>
      </x:c>
      <x:c r="C20" s="16"/>
      <x:c r="D20" s="31" t="n">
        <x:v>25</x:v>
      </x:c>
      <x:c r="E20" s="31" t="n">
        <x:v>27</x:v>
      </x:c>
      <x:c r="F20" s="31" t="n">
        <x:v>29</x:v>
      </x:c>
      <x:c r="G20" s="31" t="n">
        <x:v>32</x:v>
      </x:c>
      <x:c r="H20" s="31" t="n">
        <x:v>34</x:v>
      </x:c>
      <x:c r="I20" s="31" t="n">
        <x:v>36</x:v>
      </x:c>
      <x:c r="J20" s="31" t="n">
        <x:v>38</x:v>
      </x:c>
      <x:c r="K20" s="31" t="n">
        <x:v>40</x:v>
      </x:c>
      <x:c r="L20" s="31" t="n">
        <x:v>42</x:v>
      </x:c>
      <x:c r="M20" s="31" t="n">
        <x:v>44</x:v>
      </x:c>
    </x:row>
    <x:row r="21">
      <x:c r="A21" s="16" t="str">
        <x:v>NULIBRY net revenue/patient</x:v>
      </x:c>
      <x:c r="B21" s="16" t="str">
        <x:v>$m</x:v>
      </x:c>
      <x:c r="C21" s="16"/>
      <x:c r="D21" s="32" t="n">
        <x:v>0.8</x:v>
      </x:c>
      <x:c r="E21" s="32" t="n">
        <x:v>0.8</x:v>
      </x:c>
      <x:c r="F21" s="32" t="n">
        <x:v>0.8</x:v>
      </x:c>
      <x:c r="G21" s="32" t="n">
        <x:v>0.8</x:v>
      </x:c>
      <x:c r="H21" s="32" t="n">
        <x:v>0.8</x:v>
      </x:c>
      <x:c r="I21" s="32" t="n">
        <x:v>0.8</x:v>
      </x:c>
      <x:c r="J21" s="32" t="n">
        <x:v>0.8</x:v>
      </x:c>
      <x:c r="K21" s="32" t="n">
        <x:v>0.8</x:v>
      </x:c>
      <x:c r="L21" s="32" t="n">
        <x:v>0.8</x:v>
      </x:c>
      <x:c r="M21" s="32" t="n">
        <x:v>0.8</x:v>
      </x:c>
    </x:row>
    <x:row r="22">
      <x:c r="A22" s="16" t="str">
        <x:v>NULIBRY revenue</x:v>
      </x:c>
      <x:c r="B22" s="16" t="str">
        <x:v>$m</x:v>
      </x:c>
      <x:c r="C22" s="16"/>
      <x:c r="D22" s="26" t="n">
        <x:f>D20*D21</x:f>
        <x:v>20</x:v>
      </x:c>
      <x:c r="E22" s="26" t="n">
        <x:f>E20*E21</x:f>
        <x:v>21.6</x:v>
      </x:c>
      <x:c r="F22" s="26" t="n">
        <x:f>F20*F21</x:f>
        <x:v>23.200000000000003</x:v>
      </x:c>
      <x:c r="G22" s="26" t="n">
        <x:f>G20*G21</x:f>
        <x:v>25.6</x:v>
      </x:c>
      <x:c r="H22" s="26" t="n">
        <x:f>H20*H21</x:f>
        <x:v>27.200000000000003</x:v>
      </x:c>
      <x:c r="I22" s="26" t="n">
        <x:f>I20*I21</x:f>
        <x:v>28.8</x:v>
      </x:c>
      <x:c r="J22" s="26" t="n">
        <x:f>J20*J21</x:f>
        <x:v>30.400000000000002</x:v>
      </x:c>
      <x:c r="K22" s="26" t="n">
        <x:f>K20*K21</x:f>
        <x:v>32</x:v>
      </x:c>
      <x:c r="L22" s="26" t="n">
        <x:f>L20*L21</x:f>
        <x:v>33.6</x:v>
      </x:c>
      <x:c r="M22" s="26" t="n">
        <x:f>M20*M21</x:f>
        <x:v>35.2</x:v>
      </x:c>
    </x:row>
    <x:row r="23">
      <x:c r="A23" s="16" t="str">
        <x:v>ZOKINVY treated patients</x:v>
      </x:c>
      <x:c r="B23" s="16" t="str">
        <x:v>patients</x:v>
      </x:c>
      <x:c r="C23" s="16"/>
      <x:c r="D23" s="31" t="n">
        <x:v>45</x:v>
      </x:c>
      <x:c r="E23" s="31" t="n">
        <x:v>47</x:v>
      </x:c>
      <x:c r="F23" s="31" t="n">
        <x:v>50</x:v>
      </x:c>
      <x:c r="G23" s="31" t="n">
        <x:v>54</x:v>
      </x:c>
      <x:c r="H23" s="31" t="n">
        <x:v>57</x:v>
      </x:c>
      <x:c r="I23" s="31" t="n">
        <x:v>60</x:v>
      </x:c>
      <x:c r="J23" s="31" t="n">
        <x:v>62</x:v>
      </x:c>
      <x:c r="K23" s="31" t="n">
        <x:v>64</x:v>
      </x:c>
      <x:c r="L23" s="31" t="n">
        <x:v>66</x:v>
      </x:c>
      <x:c r="M23" s="31" t="n">
        <x:v>68</x:v>
      </x:c>
    </x:row>
    <x:row r="24">
      <x:c r="A24" s="16" t="str">
        <x:v>ZOKINVY net revenue/patient</x:v>
      </x:c>
      <x:c r="B24" s="16" t="str">
        <x:v>$m</x:v>
      </x:c>
      <x:c r="C24" s="16"/>
      <x:c r="D24" s="32" t="n">
        <x:v>0.75</x:v>
      </x:c>
      <x:c r="E24" s="32" t="n">
        <x:v>0.75</x:v>
      </x:c>
      <x:c r="F24" s="32" t="n">
        <x:v>0.75</x:v>
      </x:c>
      <x:c r="G24" s="32" t="n">
        <x:v>0.75</x:v>
      </x:c>
      <x:c r="H24" s="32" t="n">
        <x:v>0.75</x:v>
      </x:c>
      <x:c r="I24" s="32" t="n">
        <x:v>0.75</x:v>
      </x:c>
      <x:c r="J24" s="32" t="n">
        <x:v>0.75</x:v>
      </x:c>
      <x:c r="K24" s="32" t="n">
        <x:v>0.75</x:v>
      </x:c>
      <x:c r="L24" s="32" t="n">
        <x:v>0.75</x:v>
      </x:c>
      <x:c r="M24" s="32" t="n">
        <x:v>0.75</x:v>
      </x:c>
    </x:row>
    <x:row r="25">
      <x:c r="A25" s="16" t="str">
        <x:v>ZOKINVY revenue</x:v>
      </x:c>
      <x:c r="B25" s="16" t="str">
        <x:v>$m</x:v>
      </x:c>
      <x:c r="C25" s="16"/>
      <x:c r="D25" s="26" t="n">
        <x:f>D23*D24</x:f>
        <x:v>33.75</x:v>
      </x:c>
      <x:c r="E25" s="26" t="n">
        <x:f>E23*E24</x:f>
        <x:v>35.25</x:v>
      </x:c>
      <x:c r="F25" s="26" t="n">
        <x:f>F23*F24</x:f>
        <x:v>37.5</x:v>
      </x:c>
      <x:c r="G25" s="26" t="n">
        <x:f>G23*G24</x:f>
        <x:v>40.5</x:v>
      </x:c>
      <x:c r="H25" s="26" t="n">
        <x:f>H23*H24</x:f>
        <x:v>42.75</x:v>
      </x:c>
      <x:c r="I25" s="26" t="n">
        <x:f>I23*I24</x:f>
        <x:v>45</x:v>
      </x:c>
      <x:c r="J25" s="26" t="n">
        <x:f>J23*J24</x:f>
        <x:v>46.5</x:v>
      </x:c>
      <x:c r="K25" s="26" t="n">
        <x:f>K23*K24</x:f>
        <x:v>48</x:v>
      </x:c>
      <x:c r="L25" s="26" t="n">
        <x:f>L23*L24</x:f>
        <x:v>49.5</x:v>
      </x:c>
      <x:c r="M25" s="26" t="n">
        <x:f>M23*M24</x:f>
        <x:v>51</x:v>
      </x:c>
    </x:row>
    <x:row r="26">
      <x:c r="A26" s="16" t="str">
        <x:v>ZYCUBO treated patients</x:v>
      </x:c>
      <x:c r="B26" s="16" t="str">
        <x:v>patients</x:v>
      </x:c>
      <x:c r="C26" s="16"/>
      <x:c r="D26" s="31" t="n">
        <x:v>12</x:v>
      </x:c>
      <x:c r="E26" s="31" t="n">
        <x:v>18</x:v>
      </x:c>
      <x:c r="F26" s="31" t="n">
        <x:v>26</x:v>
      </x:c>
      <x:c r="G26" s="31" t="n">
        <x:v>37</x:v>
      </x:c>
      <x:c r="H26" s="31" t="n">
        <x:v>48</x:v>
      </x:c>
      <x:c r="I26" s="31" t="n">
        <x:v>58</x:v>
      </x:c>
      <x:c r="J26" s="31" t="n">
        <x:v>68</x:v>
      </x:c>
      <x:c r="K26" s="31" t="n">
        <x:v>78</x:v>
      </x:c>
      <x:c r="L26" s="31" t="n">
        <x:v>88</x:v>
      </x:c>
      <x:c r="M26" s="31" t="n">
        <x:v>98</x:v>
      </x:c>
    </x:row>
    <x:row r="27">
      <x:c r="A27" s="16" t="str">
        <x:v>ZYCUBO net revenue/patient</x:v>
      </x:c>
      <x:c r="B27" s="16" t="str">
        <x:v>$m</x:v>
      </x:c>
      <x:c r="C27" s="16"/>
      <x:c r="D27" s="32" t="n">
        <x:v>0.52</x:v>
      </x:c>
      <x:c r="E27" s="32" t="n">
        <x:v>0.52</x:v>
      </x:c>
      <x:c r="F27" s="32" t="n">
        <x:v>0.52</x:v>
      </x:c>
      <x:c r="G27" s="32" t="n">
        <x:v>0.52</x:v>
      </x:c>
      <x:c r="H27" s="32" t="n">
        <x:v>0.52</x:v>
      </x:c>
      <x:c r="I27" s="32" t="n">
        <x:v>0.52</x:v>
      </x:c>
      <x:c r="J27" s="32" t="n">
        <x:v>0.52</x:v>
      </x:c>
      <x:c r="K27" s="32" t="n">
        <x:v>0.52</x:v>
      </x:c>
      <x:c r="L27" s="32" t="n">
        <x:v>0.52</x:v>
      </x:c>
      <x:c r="M27" s="32" t="n">
        <x:v>0.52</x:v>
      </x:c>
    </x:row>
    <x:row r="28">
      <x:c r="A28" s="16" t="str">
        <x:v>ZYCUBO revenue</x:v>
      </x:c>
      <x:c r="B28" s="16" t="str">
        <x:v>$m</x:v>
      </x:c>
      <x:c r="C28" s="16"/>
      <x:c r="D28" s="26" t="n">
        <x:f>D26*D27</x:f>
        <x:v>6.24</x:v>
      </x:c>
      <x:c r="E28" s="26" t="n">
        <x:f>E26*E27</x:f>
        <x:v>9.36</x:v>
      </x:c>
      <x:c r="F28" s="26" t="n">
        <x:f>F26*F27</x:f>
        <x:v>13.52</x:v>
      </x:c>
      <x:c r="G28" s="26" t="n">
        <x:f>G26*G27</x:f>
        <x:v>19.240000000000002</x:v>
      </x:c>
      <x:c r="H28" s="26" t="n">
        <x:f>H26*H27</x:f>
        <x:v>24.96</x:v>
      </x:c>
      <x:c r="I28" s="26" t="n">
        <x:f>I26*I27</x:f>
        <x:v>30.16</x:v>
      </x:c>
      <x:c r="J28" s="26" t="n">
        <x:f>J26*J27</x:f>
        <x:v>35.36</x:v>
      </x:c>
      <x:c r="K28" s="26" t="n">
        <x:f>K26*K27</x:f>
        <x:v>40.56</x:v>
      </x:c>
      <x:c r="L28" s="26" t="n">
        <x:f>L26*L27</x:f>
        <x:v>45.760000000000005</x:v>
      </x:c>
      <x:c r="M28" s="26" t="n">
        <x:f>M26*M27</x:f>
        <x:v>50.96</x:v>
      </x:c>
    </x:row>
    <x:row r="29" ht="16" customHeight="1">
      <x:c r="A29" s="16" t="str">
        <x:v>Combined orphan portfolio revenue</x:v>
      </x:c>
      <x:c r="B29" s="16" t="str">
        <x:v>$m</x:v>
      </x:c>
      <x:c r="C29" s="16" t="str">
        <x:v>NULIBRY + ZOKINVY + ZYCUBO</x:v>
      </x:c>
      <x:c r="D29" s="26" t="n">
        <x:f>SUM(D22,D25,D28)</x:f>
        <x:v>59.99</x:v>
      </x:c>
      <x:c r="E29" s="26" t="n">
        <x:f>SUM(E22,E25,E28)</x:f>
        <x:v>66.21000000000001</x:v>
      </x:c>
      <x:c r="F29" s="26" t="n">
        <x:f>SUM(F22,F25,F28)</x:f>
        <x:v>74.22</x:v>
      </x:c>
      <x:c r="G29" s="26" t="n">
        <x:f>SUM(G22,G25,G28)</x:f>
        <x:v>85.34</x:v>
      </x:c>
      <x:c r="H29" s="26" t="n">
        <x:f>SUM(H22,H25,H28)</x:f>
        <x:v>94.91</x:v>
      </x:c>
      <x:c r="I29" s="26" t="n">
        <x:f>SUM(I22,I25,I28)</x:f>
        <x:v>103.96</x:v>
      </x:c>
      <x:c r="J29" s="26" t="n">
        <x:f>SUM(J22,J25,J28)</x:f>
        <x:v>112.26</x:v>
      </x:c>
      <x:c r="K29" s="26" t="n">
        <x:f>SUM(K22,K25,K28)</x:f>
        <x:v>120.56</x:v>
      </x:c>
      <x:c r="L29" s="26" t="n">
        <x:f>SUM(L22,L25,L28)</x:f>
        <x:v>128.86</x:v>
      </x:c>
      <x:c r="M29" s="26" t="n">
        <x:f>SUM(M22,M25,M28)</x:f>
        <x:v>137.16</x:v>
      </x:c>
    </x:row>
    <x:row r="30" ht="16" customHeight="1">
      <x:c r="A30" s="16" t="str">
        <x:v>Probability of success</x:v>
      </x:c>
      <x:c r="B30" s="16" t="str">
        <x:v>%</x:v>
      </x:c>
      <x:c r="C30" s="16" t="str">
        <x:v>Commercial products; no clinical risk adjustment</x:v>
      </x:c>
      <x:c r="D30" s="27" t="n">
        <x:v>1</x:v>
      </x:c>
      <x:c r="E30" s="27" t="n">
        <x:v>1</x:v>
      </x:c>
      <x:c r="F30" s="27" t="n">
        <x:v>1</x:v>
      </x:c>
      <x:c r="G30" s="27" t="n">
        <x:v>1</x:v>
      </x:c>
      <x:c r="H30" s="27" t="n">
        <x:v>1</x:v>
      </x:c>
      <x:c r="I30" s="27" t="n">
        <x:v>1</x:v>
      </x:c>
      <x:c r="J30" s="27" t="n">
        <x:v>1</x:v>
      </x:c>
      <x:c r="K30" s="27" t="n">
        <x:v>1</x:v>
      </x:c>
      <x:c r="L30" s="27" t="n">
        <x:v>1</x:v>
      </x:c>
      <x:c r="M30" s="27" t="n">
        <x:v>1</x:v>
      </x:c>
    </x:row>
    <x:row r="31" ht="16" customHeight="1">
      <x:c r="A31" s="16" t="str">
        <x:v>Contribution margin</x:v>
      </x:c>
      <x:c r="B31" s="16" t="str">
        <x:v>%</x:v>
      </x:c>
      <x:c r="C31" s="16" t="str">
        <x:v>Portfolio EBITDA proxy calibrated to report</x:v>
      </x:c>
      <x:c r="D31" s="27" t="n">
        <x:v>0.32</x:v>
      </x:c>
      <x:c r="E31" s="27" t="n">
        <x:v>0.34</x:v>
      </x:c>
      <x:c r="F31" s="27" t="n">
        <x:v>0.35</x:v>
      </x:c>
      <x:c r="G31" s="27" t="n">
        <x:v>0.37</x:v>
      </x:c>
      <x:c r="H31" s="27" t="n">
        <x:v>0.38</x:v>
      </x:c>
      <x:c r="I31" s="27" t="n">
        <x:v>0.39</x:v>
      </x:c>
      <x:c r="J31" s="27" t="n">
        <x:v>0.4</x:v>
      </x:c>
      <x:c r="K31" s="27" t="n">
        <x:v>0.4</x:v>
      </x:c>
      <x:c r="L31" s="27" t="n">
        <x:v>0.4</x:v>
      </x:c>
      <x:c r="M31" s="27" t="n">
        <x:v>0.4</x:v>
      </x:c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D29</x:f>
        <x:v>59.99</x:v>
      </x:c>
      <x:c r="E37" s="26" t="n">
        <x:f>E29</x:f>
        <x:v>66.21000000000001</x:v>
      </x:c>
      <x:c r="F37" s="26" t="n">
        <x:f>F29</x:f>
        <x:v>74.22</x:v>
      </x:c>
      <x:c r="G37" s="26" t="n">
        <x:f>G29</x:f>
        <x:v>85.34</x:v>
      </x:c>
      <x:c r="H37" s="26" t="n">
        <x:f>H29</x:f>
        <x:v>94.91</x:v>
      </x:c>
      <x:c r="I37" s="26" t="n">
        <x:f>I29</x:f>
        <x:v>103.96</x:v>
      </x:c>
      <x:c r="J37" s="26" t="n">
        <x:f>J29</x:f>
        <x:v>112.26</x:v>
      </x:c>
      <x:c r="K37" s="26" t="n">
        <x:f>K29</x:f>
        <x:v>120.56</x:v>
      </x:c>
      <x:c r="L37" s="26" t="n">
        <x:f>L29</x:f>
        <x:v>128.86</x:v>
      </x:c>
      <x:c r="M37" s="26" t="n">
        <x:f>M29</x:f>
        <x:v>137.16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D29</x:f>
        <x:v>59.99</x:v>
      </x:c>
      <x:c r="E38" s="29" t="n">
        <x:f>E29</x:f>
        <x:v>66.21000000000001</x:v>
      </x:c>
      <x:c r="F38" s="29" t="n">
        <x:f>F29</x:f>
        <x:v>74.22</x:v>
      </x:c>
      <x:c r="G38" s="29" t="n">
        <x:f>G29</x:f>
        <x:v>85.34</x:v>
      </x:c>
      <x:c r="H38" s="29" t="n">
        <x:f>H29</x:f>
        <x:v>94.91</x:v>
      </x:c>
      <x:c r="I38" s="29" t="n">
        <x:f>I29</x:f>
        <x:v>103.96</x:v>
      </x:c>
      <x:c r="J38" s="29" t="n">
        <x:f>J29</x:f>
        <x:v>112.26</x:v>
      </x:c>
      <x:c r="K38" s="29" t="n">
        <x:f>K29</x:f>
        <x:v>120.56</x:v>
      </x:c>
      <x:c r="L38" s="29" t="n">
        <x:f>L29</x:f>
        <x:v>128.86</x:v>
      </x:c>
      <x:c r="M38" s="29" t="n">
        <x:f>M29</x:f>
        <x:v>137.16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D38*D30</x:f>
        <x:v>59.99</x:v>
      </x:c>
      <x:c r="E39" s="26" t="n">
        <x:f>E38*E30</x:f>
        <x:v>66.21000000000001</x:v>
      </x:c>
      <x:c r="F39" s="26" t="n">
        <x:f>F38*F30</x:f>
        <x:v>74.22</x:v>
      </x:c>
      <x:c r="G39" s="26" t="n">
        <x:f>G38*G30</x:f>
        <x:v>85.34</x:v>
      </x:c>
      <x:c r="H39" s="26" t="n">
        <x:f>H38*H30</x:f>
        <x:v>94.91</x:v>
      </x:c>
      <x:c r="I39" s="26" t="n">
        <x:f>I38*I30</x:f>
        <x:v>103.96</x:v>
      </x:c>
      <x:c r="J39" s="26" t="n">
        <x:f>J38*J30</x:f>
        <x:v>112.26</x:v>
      </x:c>
      <x:c r="K39" s="26" t="n">
        <x:f>K38*K30</x:f>
        <x:v>120.56</x:v>
      </x:c>
      <x:c r="L39" s="26" t="n">
        <x:f>L38*L30</x:f>
        <x:v>128.86</x:v>
      </x:c>
      <x:c r="M39" s="26" t="n">
        <x:f>M38*M30</x:f>
        <x:v>137.16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D31</x:f>
        <x:v>0.32</x:v>
      </x:c>
      <x:c r="E40" s="27" t="n">
        <x:f>E31</x:f>
        <x:v>0.34</x:v>
      </x:c>
      <x:c r="F40" s="27" t="n">
        <x:f>F31</x:f>
        <x:v>0.35</x:v>
      </x:c>
      <x:c r="G40" s="27" t="n">
        <x:f>G31</x:f>
        <x:v>0.37</x:v>
      </x:c>
      <x:c r="H40" s="27" t="n">
        <x:f>H31</x:f>
        <x:v>0.38</x:v>
      </x:c>
      <x:c r="I40" s="27" t="n">
        <x:f>I31</x:f>
        <x:v>0.39</x:v>
      </x:c>
      <x:c r="J40" s="27" t="n">
        <x:f>J31</x:f>
        <x:v>0.4</x:v>
      </x:c>
      <x:c r="K40" s="27" t="n">
        <x:f>K31</x:f>
        <x:v>0.4</x:v>
      </x:c>
      <x:c r="L40" s="27" t="n">
        <x:f>L31</x:f>
        <x:v>0.4</x:v>
      </x:c>
      <x:c r="M40" s="27" t="n">
        <x:f>M31</x:f>
        <x:v>0.4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19.1968</x:v>
      </x:c>
      <x:c r="E41" s="29" t="n">
        <x:f>E38*E40</x:f>
        <x:v>22.511400000000005</x:v>
      </x:c>
      <x:c r="F41" s="29" t="n">
        <x:f>F38*F40</x:f>
        <x:v>25.976999999999997</x:v>
      </x:c>
      <x:c r="G41" s="29" t="n">
        <x:f>G38*G40</x:f>
        <x:v>31.5758</x:v>
      </x:c>
      <x:c r="H41" s="29" t="n">
        <x:f>H38*H40</x:f>
        <x:v>36.065799999999996</x:v>
      </x:c>
      <x:c r="I41" s="29" t="n">
        <x:f>I38*I40</x:f>
        <x:v>40.544399999999996</x:v>
      </x:c>
      <x:c r="J41" s="29" t="n">
        <x:f>J38*J40</x:f>
        <x:v>44.904</x:v>
      </x:c>
      <x:c r="K41" s="29" t="n">
        <x:f>K38*K40</x:f>
        <x:v>48.224000000000004</x:v>
      </x:c>
      <x:c r="L41" s="29" t="n">
        <x:f>L38*L40</x:f>
        <x:v>51.54400000000001</x:v>
      </x:c>
      <x:c r="M41" s="29" t="n">
        <x:f>M38*M40</x:f>
        <x:v>54.864000000000004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19.1968</x:v>
      </x:c>
      <x:c r="E42" s="26" t="n">
        <x:f>E39*E40</x:f>
        <x:v>22.511400000000005</x:v>
      </x:c>
      <x:c r="F42" s="26" t="n">
        <x:f>F39*F40</x:f>
        <x:v>25.976999999999997</x:v>
      </x:c>
      <x:c r="G42" s="26" t="n">
        <x:f>G39*G40</x:f>
        <x:v>31.5758</x:v>
      </x:c>
      <x:c r="H42" s="26" t="n">
        <x:f>H39*H40</x:f>
        <x:v>36.065799999999996</x:v>
      </x:c>
      <x:c r="I42" s="26" t="n">
        <x:f>I39*I40</x:f>
        <x:v>40.544399999999996</x:v>
      </x:c>
      <x:c r="J42" s="26" t="n">
        <x:f>J39*J40</x:f>
        <x:v>44.904</x:v>
      </x:c>
      <x:c r="K42" s="26" t="n">
        <x:f>K39*K40</x:f>
        <x:v>48.224000000000004</x:v>
      </x:c>
      <x:c r="L42" s="26" t="n">
        <x:f>L39*L40</x:f>
        <x:v>51.54400000000001</x:v>
      </x:c>
      <x:c r="M42" s="26" t="n">
        <x:f>M39*M40</x:f>
        <x:v>54.864000000000004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5159.14</x:v>
      </x:c>
      <x:c r="E43" s="26" t="n">
        <x:f>E38*'Global Assump'!E$4</x:f>
        <x:v>5826.4800000000005</x:v>
      </x:c>
      <x:c r="F43" s="26" t="n">
        <x:f>F38*'Global Assump'!F$4</x:f>
        <x:v>6679.8</x:v>
      </x:c>
      <x:c r="G43" s="26" t="n">
        <x:f>G38*'Global Assump'!G$4</x:f>
        <x:v>7851.280000000001</x:v>
      </x:c>
      <x:c r="H43" s="26" t="n">
        <x:f>H38*'Global Assump'!H$4</x:f>
        <x:v>8921.539999999999</x:v>
      </x:c>
      <x:c r="I43" s="26" t="n">
        <x:f>I38*'Global Assump'!I$4</x:f>
        <x:v>9980.16</x:v>
      </x:c>
      <x:c r="J43" s="26" t="n">
        <x:f>J38*'Global Assump'!J$4</x:f>
        <x:v>11001.480000000001</x:v>
      </x:c>
      <x:c r="K43" s="26" t="n">
        <x:f>K38*'Global Assump'!K$4</x:f>
        <x:v>12056</x:v>
      </x:c>
      <x:c r="L43" s="26" t="n">
        <x:f>L38*'Global Assump'!L$4</x:f>
        <x:v>13143.720000000001</x:v>
      </x:c>
      <x:c r="M43" s="26" t="n">
        <x:f>M38*'Global Assump'!M$4</x:f>
        <x:v>14264.64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5159.14</x:v>
      </x:c>
      <x:c r="E44" s="30" t="n">
        <x:f>E39*'Global Assump'!E$4</x:f>
        <x:v>5826.4800000000005</x:v>
      </x:c>
      <x:c r="F44" s="30" t="n">
        <x:f>F39*'Global Assump'!F$4</x:f>
        <x:v>6679.8</x:v>
      </x:c>
      <x:c r="G44" s="30" t="n">
        <x:f>G39*'Global Assump'!G$4</x:f>
        <x:v>7851.280000000001</x:v>
      </x:c>
      <x:c r="H44" s="30" t="n">
        <x:f>H39*'Global Assump'!H$4</x:f>
        <x:v>8921.539999999999</x:v>
      </x:c>
      <x:c r="I44" s="30" t="n">
        <x:f>I39*'Global Assump'!I$4</x:f>
        <x:v>9980.16</x:v>
      </x:c>
      <x:c r="J44" s="30" t="n">
        <x:f>J39*'Global Assump'!J$4</x:f>
        <x:v>11001.480000000001</x:v>
      </x:c>
      <x:c r="K44" s="30" t="n">
        <x:f>K39*'Global Assump'!K$4</x:f>
        <x:v>12056</x:v>
      </x:c>
      <x:c r="L44" s="30" t="n">
        <x:f>L39*'Global Assump'!L$4</x:f>
        <x:v>13143.720000000001</x:v>
      </x:c>
      <x:c r="M44" s="30" t="n">
        <x:f>M39*'Global Assump'!M$4</x:f>
        <x:v>14264.64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ROLVEDON | Long-acting G-CSF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ROLVEDON | Long-acting G-CSF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Acquired specialty / oncology supportive care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Commercial; Assertio acquisition; US$15-20m quarterly run-rate guided from Q2FY27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G-CSF biosimilar competition, net pricing, contract access and dose share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Addressable market units</x:v>
      </x:c>
      <x:c r="B20" s="16" t="str">
        <x:v>000 units</x:v>
      </x:c>
      <x:c r="C20" s="16"/>
      <x:c r="D20" s="31" t="n">
        <x:v>0</x:v>
      </x:c>
      <x:c r="E20" s="31" t="n">
        <x:v>2400</x:v>
      </x:c>
      <x:c r="F20" s="31" t="n">
        <x:v>2500</x:v>
      </x:c>
      <x:c r="G20" s="31" t="n">
        <x:v>2600</x:v>
      </x:c>
      <x:c r="H20" s="31" t="n">
        <x:v>2700</x:v>
      </x:c>
      <x:c r="I20" s="31" t="n">
        <x:v>2800</x:v>
      </x:c>
      <x:c r="J20" s="31" t="n">
        <x:v>2900</x:v>
      </x:c>
      <x:c r="K20" s="31" t="n">
        <x:v>3000</x:v>
      </x:c>
      <x:c r="L20" s="31" t="n">
        <x:v>3100</x:v>
      </x:c>
      <x:c r="M20" s="31" t="n">
        <x:v>3200</x:v>
      </x:c>
    </x:row>
    <x:row r="21">
      <x:c r="A21" s="16" t="str">
        <x:v>Net revenue per unit</x:v>
      </x:c>
      <x:c r="B21" s="16" t="str">
        <x:v>$ / unit</x:v>
      </x:c>
      <x:c r="C21" s="16"/>
      <x:c r="D21" s="31" t="n">
        <x:v>0</x:v>
      </x:c>
      <x:c r="E21" s="31" t="n">
        <x:v>1450</x:v>
      </x:c>
      <x:c r="F21" s="31" t="n">
        <x:v>1420</x:v>
      </x:c>
      <x:c r="G21" s="31" t="n">
        <x:v>1390</x:v>
      </x:c>
      <x:c r="H21" s="31" t="n">
        <x:v>1360</x:v>
      </x:c>
      <x:c r="I21" s="31" t="n">
        <x:v>1330</x:v>
      </x:c>
      <x:c r="J21" s="31" t="n">
        <x:v>1300</x:v>
      </x:c>
      <x:c r="K21" s="31" t="n">
        <x:v>1270</x:v>
      </x:c>
      <x:c r="L21" s="31" t="n">
        <x:v>1240</x:v>
      </x:c>
      <x:c r="M21" s="31" t="n">
        <x:v>1210</x:v>
      </x:c>
    </x:row>
    <x:row r="22">
      <x:c r="A22" s="16" t="str">
        <x:v>Zydus unit share</x:v>
      </x:c>
      <x:c r="B22" s="16" t="str">
        <x:v>%</x:v>
      </x:c>
      <x:c r="C22" s="16"/>
      <x:c r="D22" s="33" t="n">
        <x:v>0</x:v>
      </x:c>
      <x:c r="E22" s="33" t="n">
        <x:v>0.019</x:v>
      </x:c>
      <x:c r="F22" s="33" t="n">
        <x:v>0.022</x:v>
      </x:c>
      <x:c r="G22" s="33" t="n">
        <x:v>0.022</x:v>
      </x:c>
      <x:c r="H22" s="33" t="n">
        <x:v>0.021</x:v>
      </x:c>
      <x:c r="I22" s="33" t="n">
        <x:v>0.02</x:v>
      </x:c>
      <x:c r="J22" s="33" t="n">
        <x:v>0.019</x:v>
      </x:c>
      <x:c r="K22" s="33" t="n">
        <x:v>0.018</x:v>
      </x:c>
      <x:c r="L22" s="33" t="n">
        <x:v>0.017</x:v>
      </x:c>
      <x:c r="M22" s="33" t="n">
        <x:v>0.016</x:v>
      </x:c>
    </x:row>
    <x:row r="23">
      <x:c r="A23" s="16" t="str">
        <x:v>Launch-year factor</x:v>
      </x:c>
      <x:c r="B23" s="16" t="str">
        <x:v>%</x:v>
      </x:c>
      <x:c r="C23" s="16"/>
      <x:c r="D23" s="33" t="n">
        <x:v>1</x:v>
      </x:c>
      <x:c r="E23" s="33" t="n">
        <x:v>1</x:v>
      </x:c>
      <x:c r="F23" s="33" t="n">
        <x:v>1</x:v>
      </x:c>
      <x:c r="G23" s="33" t="n">
        <x:v>1</x:v>
      </x:c>
      <x:c r="H23" s="33" t="n">
        <x:v>1</x:v>
      </x:c>
      <x:c r="I23" s="33" t="n">
        <x:v>1</x:v>
      </x:c>
      <x:c r="J23" s="33" t="n">
        <x:v>1</x:v>
      </x:c>
      <x:c r="K23" s="33" t="n">
        <x:v>1</x:v>
      </x:c>
      <x:c r="L23" s="33" t="n">
        <x:v>1</x:v>
      </x:c>
      <x:c r="M23" s="33" t="n">
        <x:v>1</x:v>
      </x:c>
    </x:row>
    <x:row r="24">
      <x:c r="A24" s="16" t="str">
        <x:v>Captured volume</x:v>
      </x:c>
      <x:c r="B24" s="16" t="str">
        <x:v>000 units</x:v>
      </x:c>
      <x:c r="C24" s="16"/>
      <x:c r="D24" s="25" t="n">
        <x:f>D20*D22*D23</x:f>
        <x:v>0</x:v>
      </x:c>
      <x:c r="E24" s="25" t="n">
        <x:f>E20*E22*E23</x:f>
        <x:v>45.6</x:v>
      </x:c>
      <x:c r="F24" s="25" t="n">
        <x:f>F20*F22*F23</x:f>
        <x:v>55</x:v>
      </x:c>
      <x:c r="G24" s="25" t="n">
        <x:f>G20*G22*G23</x:f>
        <x:v>57.199999999999996</x:v>
      </x:c>
      <x:c r="H24" s="25" t="n">
        <x:f>H20*H22*H23</x:f>
        <x:v>56.7</x:v>
      </x:c>
      <x:c r="I24" s="25" t="n">
        <x:f>I20*I22*I23</x:f>
        <x:v>56</x:v>
      </x:c>
      <x:c r="J24" s="25" t="n">
        <x:f>J20*J22*J23</x:f>
        <x:v>55.1</x:v>
      </x:c>
      <x:c r="K24" s="25" t="n">
        <x:f>K20*K22*K23</x:f>
        <x:v>53.99999999999999</x:v>
      </x:c>
      <x:c r="L24" s="25" t="n">
        <x:f>L20*L22*L23</x:f>
        <x:v>52.7</x:v>
      </x:c>
      <x:c r="M24" s="25" t="n">
        <x:f>M20*M22*M23</x:f>
        <x:v>51.2</x:v>
      </x:c>
    </x:row>
    <x:row r="25">
      <x:c r="A25" s="16" t="str">
        <x:v>Zydus end-market sales</x:v>
      </x:c>
      <x:c r="B25" s="16" t="str">
        <x:v>$m</x:v>
      </x:c>
      <x:c r="C25" s="16"/>
      <x:c r="D25" s="26" t="n">
        <x:f>D24*D21/1000</x:f>
        <x:v>0</x:v>
      </x:c>
      <x:c r="E25" s="26" t="n">
        <x:f>E24*E21/1000</x:f>
        <x:v>66.12</x:v>
      </x:c>
      <x:c r="F25" s="26" t="n">
        <x:f>F24*F21/1000</x:f>
        <x:v>78.1</x:v>
      </x:c>
      <x:c r="G25" s="26" t="n">
        <x:f>G24*G21/1000</x:f>
        <x:v>79.508</x:v>
      </x:c>
      <x:c r="H25" s="26" t="n">
        <x:f>H24*H21/1000</x:f>
        <x:v>77.112</x:v>
      </x:c>
      <x:c r="I25" s="26" t="n">
        <x:f>I24*I21/1000</x:f>
        <x:v>74.48</x:v>
      </x:c>
      <x:c r="J25" s="26" t="n">
        <x:f>J24*J21/1000</x:f>
        <x:v>71.63</x:v>
      </x:c>
      <x:c r="K25" s="26" t="n">
        <x:f>K24*K21/1000</x:f>
        <x:v>68.57999999999998</x:v>
      </x:c>
      <x:c r="L25" s="26" t="n">
        <x:f>L24*L21/1000</x:f>
        <x:v>65.348</x:v>
      </x:c>
      <x:c r="M25" s="26" t="n">
        <x:f>M24*M21/1000</x:f>
        <x:v>61.952</x:v>
      </x:c>
    </x:row>
    <x:row r="26">
      <x:c r="A26" s="16" t="str">
        <x:v>Zydus economics share</x:v>
      </x:c>
      <x:c r="B26" s="16" t="str">
        <x:v>%</x:v>
      </x:c>
      <x:c r="C26" s="16"/>
      <x:c r="D26" s="33" t="n">
        <x:v>1</x:v>
      </x:c>
      <x:c r="E26" s="33" t="n">
        <x:v>1</x:v>
      </x:c>
      <x:c r="F26" s="33" t="n">
        <x:v>1</x:v>
      </x:c>
      <x:c r="G26" s="33" t="n">
        <x:v>1</x:v>
      </x:c>
      <x:c r="H26" s="33" t="n">
        <x:v>1</x:v>
      </x:c>
      <x:c r="I26" s="33" t="n">
        <x:v>1</x:v>
      </x:c>
      <x:c r="J26" s="33" t="n">
        <x:v>1</x:v>
      </x:c>
      <x:c r="K26" s="33" t="n">
        <x:v>1</x:v>
      </x:c>
      <x:c r="L26" s="33" t="n">
        <x:v>1</x:v>
      </x:c>
      <x:c r="M26" s="33" t="n">
        <x:v>1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1</x:v>
      </x:c>
      <x:c r="E27" s="33" t="n">
        <x:v>1</x:v>
      </x:c>
      <x:c r="F27" s="33" t="n">
        <x:v>1</x:v>
      </x:c>
      <x:c r="G27" s="33" t="n">
        <x:v>1</x:v>
      </x:c>
      <x:c r="H27" s="33" t="n">
        <x:v>1</x:v>
      </x:c>
      <x:c r="I27" s="33" t="n">
        <x:v>1</x:v>
      </x:c>
      <x:c r="J27" s="33" t="n">
        <x:v>1</x:v>
      </x:c>
      <x:c r="K27" s="33" t="n">
        <x:v>1</x:v>
      </x:c>
      <x:c r="L27" s="33" t="n">
        <x:v>1</x:v>
      </x:c>
      <x:c r="M27" s="33" t="n">
        <x:v>1</x:v>
      </x:c>
    </x:row>
    <x:row r="28">
      <x:c r="A28" s="16" t="str">
        <x:v>Contribution margin</x:v>
      </x:c>
      <x:c r="B28" s="16" t="str">
        <x:v>%</x:v>
      </x:c>
      <x:c r="C28" s="16"/>
      <x:c r="D28" s="33" t="n">
        <x:v>0</x:v>
      </x:c>
      <x:c r="E28" s="33" t="n">
        <x:v>0.25</x:v>
      </x:c>
      <x:c r="F28" s="33" t="n">
        <x:v>0.28</x:v>
      </x:c>
      <x:c r="G28" s="33" t="n">
        <x:v>0.3</x:v>
      </x:c>
      <x:c r="H28" s="33" t="n">
        <x:v>0.3</x:v>
      </x:c>
      <x:c r="I28" s="33" t="n">
        <x:v>0.29</x:v>
      </x:c>
      <x:c r="J28" s="33" t="n">
        <x:v>0.28</x:v>
      </x:c>
      <x:c r="K28" s="33" t="n">
        <x:v>0.27</x:v>
      </x:c>
      <x:c r="L28" s="33" t="n">
        <x:v>0.26</x:v>
      </x:c>
      <x:c r="M28" s="33" t="n">
        <x:v>0.25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D25</x:f>
        <x:v>0</x:v>
      </x:c>
      <x:c r="E37" s="26" t="n">
        <x:f>E25</x:f>
        <x:v>66.12</x:v>
      </x:c>
      <x:c r="F37" s="26" t="n">
        <x:f>F25</x:f>
        <x:v>78.1</x:v>
      </x:c>
      <x:c r="G37" s="26" t="n">
        <x:f>G25</x:f>
        <x:v>79.508</x:v>
      </x:c>
      <x:c r="H37" s="26" t="n">
        <x:f>H25</x:f>
        <x:v>77.112</x:v>
      </x:c>
      <x:c r="I37" s="26" t="n">
        <x:f>I25</x:f>
        <x:v>74.48</x:v>
      </x:c>
      <x:c r="J37" s="26" t="n">
        <x:f>J25</x:f>
        <x:v>71.63</x:v>
      </x:c>
      <x:c r="K37" s="26" t="n">
        <x:f>K25</x:f>
        <x:v>68.57999999999998</x:v>
      </x:c>
      <x:c r="L37" s="26" t="n">
        <x:f>L25</x:f>
        <x:v>65.348</x:v>
      </x:c>
      <x:c r="M37" s="26" t="n">
        <x:f>M25</x:f>
        <x:v>61.952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D25*D26</x:f>
        <x:v>0</x:v>
      </x:c>
      <x:c r="E38" s="29" t="n">
        <x:f>E25*E26</x:f>
        <x:v>66.12</x:v>
      </x:c>
      <x:c r="F38" s="29" t="n">
        <x:f>F25*F26</x:f>
        <x:v>78.1</x:v>
      </x:c>
      <x:c r="G38" s="29" t="n">
        <x:f>G25*G26</x:f>
        <x:v>79.508</x:v>
      </x:c>
      <x:c r="H38" s="29" t="n">
        <x:f>H25*H26</x:f>
        <x:v>77.112</x:v>
      </x:c>
      <x:c r="I38" s="29" t="n">
        <x:f>I25*I26</x:f>
        <x:v>74.48</x:v>
      </x:c>
      <x:c r="J38" s="29" t="n">
        <x:f>J25*J26</x:f>
        <x:v>71.63</x:v>
      </x:c>
      <x:c r="K38" s="29" t="n">
        <x:f>K25*K26</x:f>
        <x:v>68.57999999999998</x:v>
      </x:c>
      <x:c r="L38" s="29" t="n">
        <x:f>L25*L26</x:f>
        <x:v>65.348</x:v>
      </x:c>
      <x:c r="M38" s="29" t="n">
        <x:f>M25*M26</x:f>
        <x:v>61.952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66.12</x:v>
      </x:c>
      <x:c r="F39" s="26" t="n">
        <x:f>F38*F27</x:f>
        <x:v>78.1</x:v>
      </x:c>
      <x:c r="G39" s="26" t="n">
        <x:f>G38*G27</x:f>
        <x:v>79.508</x:v>
      </x:c>
      <x:c r="H39" s="26" t="n">
        <x:f>H38*H27</x:f>
        <x:v>77.112</x:v>
      </x:c>
      <x:c r="I39" s="26" t="n">
        <x:f>I38*I27</x:f>
        <x:v>74.48</x:v>
      </x:c>
      <x:c r="J39" s="26" t="n">
        <x:f>J38*J27</x:f>
        <x:v>71.63</x:v>
      </x:c>
      <x:c r="K39" s="26" t="n">
        <x:f>K38*K27</x:f>
        <x:v>68.57999999999998</x:v>
      </x:c>
      <x:c r="L39" s="26" t="n">
        <x:f>L38*L27</x:f>
        <x:v>65.348</x:v>
      </x:c>
      <x:c r="M39" s="26" t="n">
        <x:f>M38*M27</x:f>
        <x:v>61.952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D28</x:f>
        <x:v>0</x:v>
      </x:c>
      <x:c r="E40" s="27" t="n">
        <x:f>E28</x:f>
        <x:v>0.25</x:v>
      </x:c>
      <x:c r="F40" s="27" t="n">
        <x:f>F28</x:f>
        <x:v>0.28</x:v>
      </x:c>
      <x:c r="G40" s="27" t="n">
        <x:f>G28</x:f>
        <x:v>0.3</x:v>
      </x:c>
      <x:c r="H40" s="27" t="n">
        <x:f>H28</x:f>
        <x:v>0.3</x:v>
      </x:c>
      <x:c r="I40" s="27" t="n">
        <x:f>I28</x:f>
        <x:v>0.29</x:v>
      </x:c>
      <x:c r="J40" s="27" t="n">
        <x:f>J28</x:f>
        <x:v>0.28</x:v>
      </x:c>
      <x:c r="K40" s="27" t="n">
        <x:f>K28</x:f>
        <x:v>0.27</x:v>
      </x:c>
      <x:c r="L40" s="27" t="n">
        <x:f>L28</x:f>
        <x:v>0.26</x:v>
      </x:c>
      <x:c r="M40" s="27" t="n">
        <x:f>M28</x:f>
        <x:v>0.25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16.53</x:v>
      </x:c>
      <x:c r="F41" s="29" t="n">
        <x:f>F38*F40</x:f>
        <x:v>21.868000000000002</x:v>
      </x:c>
      <x:c r="G41" s="29" t="n">
        <x:f>G38*G40</x:f>
        <x:v>23.8524</x:v>
      </x:c>
      <x:c r="H41" s="29" t="n">
        <x:f>H38*H40</x:f>
        <x:v>23.133599999999998</x:v>
      </x:c>
      <x:c r="I41" s="29" t="n">
        <x:f>I38*I40</x:f>
        <x:v>21.5992</x:v>
      </x:c>
      <x:c r="J41" s="29" t="n">
        <x:f>J38*J40</x:f>
        <x:v>20.0564</x:v>
      </x:c>
      <x:c r="K41" s="29" t="n">
        <x:f>K38*K40</x:f>
        <x:v>18.516599999999997</x:v>
      </x:c>
      <x:c r="L41" s="29" t="n">
        <x:f>L38*L40</x:f>
        <x:v>16.99048</x:v>
      </x:c>
      <x:c r="M41" s="29" t="n">
        <x:f>M38*M40</x:f>
        <x:v>15.488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16.53</x:v>
      </x:c>
      <x:c r="F42" s="26" t="n">
        <x:f>F39*F40</x:f>
        <x:v>21.868000000000002</x:v>
      </x:c>
      <x:c r="G42" s="26" t="n">
        <x:f>G39*G40</x:f>
        <x:v>23.8524</x:v>
      </x:c>
      <x:c r="H42" s="26" t="n">
        <x:f>H39*H40</x:f>
        <x:v>23.133599999999998</x:v>
      </x:c>
      <x:c r="I42" s="26" t="n">
        <x:f>I39*I40</x:f>
        <x:v>21.5992</x:v>
      </x:c>
      <x:c r="J42" s="26" t="n">
        <x:f>J39*J40</x:f>
        <x:v>20.0564</x:v>
      </x:c>
      <x:c r="K42" s="26" t="n">
        <x:f>K39*K40</x:f>
        <x:v>18.516599999999997</x:v>
      </x:c>
      <x:c r="L42" s="26" t="n">
        <x:f>L39*L40</x:f>
        <x:v>16.99048</x:v>
      </x:c>
      <x:c r="M42" s="26" t="n">
        <x:f>M39*M40</x:f>
        <x:v>15.488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5818.56</x:v>
      </x:c>
      <x:c r="F43" s="26" t="n">
        <x:f>F38*'Global Assump'!F$4</x:f>
        <x:v>7028.999999999999</x:v>
      </x:c>
      <x:c r="G43" s="26" t="n">
        <x:f>G38*'Global Assump'!G$4</x:f>
        <x:v>7314.736</x:v>
      </x:c>
      <x:c r="H43" s="26" t="n">
        <x:f>H38*'Global Assump'!H$4</x:f>
        <x:v>7248.527999999999</x:v>
      </x:c>
      <x:c r="I43" s="26" t="n">
        <x:f>I38*'Global Assump'!I$4</x:f>
        <x:v>7150.08</x:v>
      </x:c>
      <x:c r="J43" s="26" t="n">
        <x:f>J38*'Global Assump'!J$4</x:f>
        <x:v>7019.74</x:v>
      </x:c>
      <x:c r="K43" s="26" t="n">
        <x:f>K38*'Global Assump'!K$4</x:f>
        <x:v>6857.999999999998</x:v>
      </x:c>
      <x:c r="L43" s="26" t="n">
        <x:f>L38*'Global Assump'!L$4</x:f>
        <x:v>6665.496</x:v>
      </x:c>
      <x:c r="M43" s="26" t="n">
        <x:f>M38*'Global Assump'!M$4</x:f>
        <x:v>6443.008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5818.56</x:v>
      </x:c>
      <x:c r="F44" s="30" t="n">
        <x:f>F39*'Global Assump'!F$4</x:f>
        <x:v>7028.999999999999</x:v>
      </x:c>
      <x:c r="G44" s="30" t="n">
        <x:f>G39*'Global Assump'!G$4</x:f>
        <x:v>7314.736</x:v>
      </x:c>
      <x:c r="H44" s="30" t="n">
        <x:f>H39*'Global Assump'!H$4</x:f>
        <x:v>7248.527999999999</x:v>
      </x:c>
      <x:c r="I44" s="30" t="n">
        <x:f>I39*'Global Assump'!I$4</x:f>
        <x:v>7150.08</x:v>
      </x:c>
      <x:c r="J44" s="30" t="n">
        <x:f>J39*'Global Assump'!J$4</x:f>
        <x:v>7019.74</x:v>
      </x:c>
      <x:c r="K44" s="30" t="n">
        <x:f>K39*'Global Assump'!K$4</x:f>
        <x:v>6857.999999999998</x:v>
      </x:c>
      <x:c r="L44" s="30" t="n">
        <x:f>L39*'Global Assump'!L$4</x:f>
        <x:v>6665.496</x:v>
      </x:c>
      <x:c r="M44" s="30" t="n">
        <x:f>M39*'Global Assump'!M$4</x:f>
        <x:v>6443.008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Zylidac Bio | BOT/BAL CDMO + regional rights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Zylidac Bio | BOT/BAL CDMO + regional rights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Biologics CDMO / innovation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US manufacturing; India/Sri Lanka rights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Two US facilities acquired; BOT/BAL manufacturing live; regional launch FY32 earliest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Facility utilisation, Agenus orders, external customers, Phase III success and regional launch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Revenue at full facility utilisation</x:v>
      </x:c>
      <x:c r="B20" s="16" t="str">
        <x:v>$m</x:v>
      </x:c>
      <x:c r="C20" s="16"/>
      <x:c r="D20" s="32" t="n">
        <x:v>80</x:v>
      </x:c>
      <x:c r="E20" s="32" t="n">
        <x:v>80</x:v>
      </x:c>
      <x:c r="F20" s="32" t="n">
        <x:v>80</x:v>
      </x:c>
      <x:c r="G20" s="32" t="n">
        <x:v>80</x:v>
      </x:c>
      <x:c r="H20" s="32" t="n">
        <x:v>80</x:v>
      </x:c>
      <x:c r="I20" s="32" t="n">
        <x:v>80</x:v>
      </x:c>
      <x:c r="J20" s="32" t="n">
        <x:v>80</x:v>
      </x:c>
      <x:c r="K20" s="32" t="n">
        <x:v>80</x:v>
      </x:c>
      <x:c r="L20" s="32" t="n">
        <x:v>80</x:v>
      </x:c>
      <x:c r="M20" s="32" t="n">
        <x:v>80</x:v>
      </x:c>
    </x:row>
    <x:row r="21">
      <x:c r="A21" s="16" t="str">
        <x:v>Facility utilisation</x:v>
      </x:c>
      <x:c r="B21" s="16" t="str">
        <x:v>%</x:v>
      </x:c>
      <x:c r="C21" s="16"/>
      <x:c r="D21" s="33" t="n">
        <x:v>0</x:v>
      </x:c>
      <x:c r="E21" s="33" t="n">
        <x:v>0.15</x:v>
      </x:c>
      <x:c r="F21" s="33" t="n">
        <x:v>0.3</x:v>
      </x:c>
      <x:c r="G21" s="33" t="n">
        <x:v>0.5</x:v>
      </x:c>
      <x:c r="H21" s="33" t="n">
        <x:v>0.55</x:v>
      </x:c>
      <x:c r="I21" s="33" t="n">
        <x:v>0.6</x:v>
      </x:c>
      <x:c r="J21" s="33" t="n">
        <x:v>0.65</x:v>
      </x:c>
      <x:c r="K21" s="33" t="n">
        <x:v>0.72</x:v>
      </x:c>
      <x:c r="L21" s="33" t="n">
        <x:v>0.78</x:v>
      </x:c>
      <x:c r="M21" s="33" t="n">
        <x:v>0.85</x:v>
      </x:c>
    </x:row>
    <x:row r="22">
      <x:c r="A22" s="16" t="str">
        <x:v>Biologics CDMO revenue</x:v>
      </x:c>
      <x:c r="B22" s="16" t="str">
        <x:v>$m</x:v>
      </x:c>
      <x:c r="C22" s="16"/>
      <x:c r="D22" s="26" t="n">
        <x:f>D20*D21</x:f>
        <x:v>0</x:v>
      </x:c>
      <x:c r="E22" s="26" t="n">
        <x:f>E20*E21</x:f>
        <x:v>12</x:v>
      </x:c>
      <x:c r="F22" s="26" t="n">
        <x:f>F20*F21</x:f>
        <x:v>24</x:v>
      </x:c>
      <x:c r="G22" s="26" t="n">
        <x:f>G20*G21</x:f>
        <x:v>40</x:v>
      </x:c>
      <x:c r="H22" s="26" t="n">
        <x:f>H20*H21</x:f>
        <x:v>44</x:v>
      </x:c>
      <x:c r="I22" s="26" t="n">
        <x:f>I20*I21</x:f>
        <x:v>48</x:v>
      </x:c>
      <x:c r="J22" s="26" t="n">
        <x:f>J20*J21</x:f>
        <x:v>52</x:v>
      </x:c>
      <x:c r="K22" s="26" t="n">
        <x:f>K20*K21</x:f>
        <x:v>57.599999999999994</x:v>
      </x:c>
      <x:c r="L22" s="26" t="n">
        <x:f>L20*L21</x:f>
        <x:v>62.400000000000006</x:v>
      </x:c>
      <x:c r="M22" s="26" t="n">
        <x:f>M20*M21</x:f>
        <x:v>68</x:v>
      </x:c>
    </x:row>
    <x:row r="23">
      <x:c r="A23" s="16" t="str">
        <x:v>BOT/BAL share of CDMO revenue</x:v>
      </x:c>
      <x:c r="B23" s="16" t="str">
        <x:v>%</x:v>
      </x:c>
      <x:c r="C23" s="16"/>
      <x:c r="D23" s="33" t="n">
        <x:v>0</x:v>
      </x:c>
      <x:c r="E23" s="33" t="n">
        <x:v>0.5</x:v>
      </x:c>
      <x:c r="F23" s="33" t="n">
        <x:v>0.5</x:v>
      </x:c>
      <x:c r="G23" s="33" t="n">
        <x:v>0.5</x:v>
      </x:c>
      <x:c r="H23" s="33" t="n">
        <x:v>0.5</x:v>
      </x:c>
      <x:c r="I23" s="33" t="n">
        <x:v>0.5</x:v>
      </x:c>
      <x:c r="J23" s="33" t="n">
        <x:v>0.5</x:v>
      </x:c>
      <x:c r="K23" s="33" t="n">
        <x:v>0.48</x:v>
      </x:c>
      <x:c r="L23" s="33" t="n">
        <x:v>0.45</x:v>
      </x:c>
      <x:c r="M23" s="33" t="n">
        <x:v>0.42</x:v>
      </x:c>
    </x:row>
    <x:row r="24">
      <x:c r="A24" s="16" t="str">
        <x:v>BOT/BAL manufacturing revenue</x:v>
      </x:c>
      <x:c r="B24" s="16" t="str">
        <x:v>$m</x:v>
      </x:c>
      <x:c r="C24" s="16"/>
      <x:c r="D24" s="26" t="n">
        <x:f>D22*D23</x:f>
        <x:v>0</x:v>
      </x:c>
      <x:c r="E24" s="26" t="n">
        <x:f>E22*E23</x:f>
        <x:v>6</x:v>
      </x:c>
      <x:c r="F24" s="26" t="n">
        <x:f>F22*F23</x:f>
        <x:v>12</x:v>
      </x:c>
      <x:c r="G24" s="26" t="n">
        <x:f>G22*G23</x:f>
        <x:v>20</x:v>
      </x:c>
      <x:c r="H24" s="26" t="n">
        <x:f>H22*H23</x:f>
        <x:v>22</x:v>
      </x:c>
      <x:c r="I24" s="26" t="n">
        <x:f>I22*I23</x:f>
        <x:v>24</x:v>
      </x:c>
      <x:c r="J24" s="26" t="n">
        <x:f>J22*J23</x:f>
        <x:v>26</x:v>
      </x:c>
      <x:c r="K24" s="26" t="n">
        <x:f>K22*K23</x:f>
        <x:v>27.647999999999996</x:v>
      </x:c>
      <x:c r="L24" s="26" t="n">
        <x:f>L22*L23</x:f>
        <x:v>28.080000000000002</x:v>
      </x:c>
      <x:c r="M24" s="26" t="n">
        <x:f>M22*M23</x:f>
        <x:v>28.56</x:v>
      </x:c>
    </x:row>
    <x:row r="25">
      <x:c r="A25" s="16" t="str">
        <x:v>Other-customer CDMO revenue</x:v>
      </x:c>
      <x:c r="B25" s="16" t="str">
        <x:v>$m</x:v>
      </x:c>
      <x:c r="C25" s="16"/>
      <x:c r="D25" s="26" t="n">
        <x:f>D22-D24</x:f>
        <x:v>0</x:v>
      </x:c>
      <x:c r="E25" s="26" t="n">
        <x:f>E22-E24</x:f>
        <x:v>6</x:v>
      </x:c>
      <x:c r="F25" s="26" t="n">
        <x:f>F22-F24</x:f>
        <x:v>12</x:v>
      </x:c>
      <x:c r="G25" s="26" t="n">
        <x:f>G22-G24</x:f>
        <x:v>20</x:v>
      </x:c>
      <x:c r="H25" s="26" t="n">
        <x:f>H22-H24</x:f>
        <x:v>22</x:v>
      </x:c>
      <x:c r="I25" s="26" t="n">
        <x:f>I22-I24</x:f>
        <x:v>24</x:v>
      </x:c>
      <x:c r="J25" s="26" t="n">
        <x:f>J22-J24</x:f>
        <x:v>26</x:v>
      </x:c>
      <x:c r="K25" s="26" t="n">
        <x:f>K22-K24</x:f>
        <x:v>29.951999999999998</x:v>
      </x:c>
      <x:c r="L25" s="26" t="n">
        <x:f>L22-L24</x:f>
        <x:v>34.32000000000001</x:v>
      </x:c>
      <x:c r="M25" s="26" t="n">
        <x:f>M22-M24</x:f>
        <x:v>39.44</x:v>
      </x:c>
    </x:row>
    <x:row r="26">
      <x:c r="A26" s="16" t="str">
        <x:v>India/Sri Lanka BOT/BAL product revenue</x:v>
      </x:c>
      <x:c r="B26" s="16" t="str">
        <x:v>$m</x:v>
      </x:c>
      <x:c r="C26" s="16"/>
      <x:c r="D26" s="32" t="n">
        <x:v>0</x:v>
      </x:c>
      <x:c r="E26" s="32" t="n">
        <x:v>0</x:v>
      </x:c>
      <x:c r="F26" s="32" t="n">
        <x:v>0</x:v>
      </x:c>
      <x:c r="G26" s="32" t="n">
        <x:v>0</x:v>
      </x:c>
      <x:c r="H26" s="32" t="n">
        <x:v>0</x:v>
      </x:c>
      <x:c r="I26" s="32" t="n">
        <x:v>0</x:v>
      </x:c>
      <x:c r="J26" s="32" t="n">
        <x:v>5</x:v>
      </x:c>
      <x:c r="K26" s="32" t="n">
        <x:v>15</x:v>
      </x:c>
      <x:c r="L26" s="32" t="n">
        <x:v>25</x:v>
      </x:c>
      <x:c r="M26" s="32" t="n">
        <x:v>35</x:v>
      </x:c>
    </x:row>
    <x:row r="27">
      <x:c r="A27" s="16" t="str">
        <x:v>Regional product probability of success</x:v>
      </x:c>
      <x:c r="B27" s="16" t="str">
        <x:v>%</x:v>
      </x:c>
      <x:c r="C27" s="16"/>
      <x:c r="D27" s="33" t="n">
        <x:v>0.2</x:v>
      </x:c>
      <x:c r="E27" s="33" t="n">
        <x:v>0.2</x:v>
      </x:c>
      <x:c r="F27" s="33" t="n">
        <x:v>0.2</x:v>
      </x:c>
      <x:c r="G27" s="33" t="n">
        <x:v>0.2</x:v>
      </x:c>
      <x:c r="H27" s="33" t="n">
        <x:v>0.2</x:v>
      </x:c>
      <x:c r="I27" s="33" t="n">
        <x:v>0.2</x:v>
      </x:c>
      <x:c r="J27" s="33" t="n">
        <x:v>0.2</x:v>
      </x:c>
      <x:c r="K27" s="33" t="n">
        <x:v>0.2</x:v>
      </x:c>
      <x:c r="L27" s="33" t="n">
        <x:v>0.2</x:v>
      </x:c>
      <x:c r="M27" s="33" t="n">
        <x:v>0.2</x:v>
      </x:c>
    </x:row>
    <x:row r="28">
      <x:c r="A28" s="16" t="str">
        <x:v>CDMO contribution margin</x:v>
      </x:c>
      <x:c r="B28" s="16" t="str">
        <x:v>%</x:v>
      </x:c>
      <x:c r="C28" s="16"/>
      <x:c r="D28" s="33" t="n">
        <x:v>0</x:v>
      </x:c>
      <x:c r="E28" s="33" t="n">
        <x:v>0.15</x:v>
      </x:c>
      <x:c r="F28" s="33" t="n">
        <x:v>0.18</x:v>
      </x:c>
      <x:c r="G28" s="33" t="n">
        <x:v>0.22</x:v>
      </x:c>
      <x:c r="H28" s="33" t="n">
        <x:v>0.23</x:v>
      </x:c>
      <x:c r="I28" s="33" t="n">
        <x:v>0.24</x:v>
      </x:c>
      <x:c r="J28" s="33" t="n">
        <x:v>0.25</x:v>
      </x:c>
      <x:c r="K28" s="33" t="n">
        <x:v>0.26</x:v>
      </x:c>
      <x:c r="L28" s="33" t="n">
        <x:v>0.27</x:v>
      </x:c>
      <x:c r="M28" s="33" t="n">
        <x:v>0.28</x:v>
      </x:c>
    </x:row>
    <x:row r="29" ht="16" customHeight="1">
      <x:c r="A29" s="16" t="str">
        <x:v>Regional product contribution margin</x:v>
      </x:c>
      <x:c r="B29" s="16" t="str">
        <x:v>%</x:v>
      </x:c>
      <x:c r="C29" s="16" t="str">
        <x:v>Net of 5% Agenus royalty</x:v>
      </x:c>
      <x:c r="D29" s="27" t="n">
        <x:v>0</x:v>
      </x:c>
      <x:c r="E29" s="27" t="n">
        <x:v>0</x:v>
      </x:c>
      <x:c r="F29" s="27" t="n">
        <x:v>0</x:v>
      </x:c>
      <x:c r="G29" s="27" t="n">
        <x:v>0</x:v>
      </x:c>
      <x:c r="H29" s="27" t="n">
        <x:v>0</x:v>
      </x:c>
      <x:c r="I29" s="27" t="n">
        <x:v>0</x:v>
      </x:c>
      <x:c r="J29" s="27" t="n">
        <x:v>0.35</x:v>
      </x:c>
      <x:c r="K29" s="27" t="n">
        <x:v>0.36</x:v>
      </x:c>
      <x:c r="L29" s="27" t="n">
        <x:v>0.37</x:v>
      </x:c>
      <x:c r="M29" s="27" t="n">
        <x:v>0.38</x:v>
      </x:c>
    </x:row>
    <x:row r="30" ht="16" customHeight="1">
      <x:c r="A30" s="16" t="str">
        <x:v>Total reported revenue</x:v>
      </x:c>
      <x:c r="B30" s="16" t="str">
        <x:v>$m</x:v>
      </x:c>
      <x:c r="C30" s="16" t="str">
        <x:v>CDMO + regional product revenue</x:v>
      </x:c>
      <x:c r="D30" s="26" t="n">
        <x:f>D22+D26</x:f>
        <x:v>0</x:v>
      </x:c>
      <x:c r="E30" s="26" t="n">
        <x:f>E22+E26</x:f>
        <x:v>12</x:v>
      </x:c>
      <x:c r="F30" s="26" t="n">
        <x:f>F22+F26</x:f>
        <x:v>24</x:v>
      </x:c>
      <x:c r="G30" s="26" t="n">
        <x:f>G22+G26</x:f>
        <x:v>40</x:v>
      </x:c>
      <x:c r="H30" s="26" t="n">
        <x:f>H22+H26</x:f>
        <x:v>44</x:v>
      </x:c>
      <x:c r="I30" s="26" t="n">
        <x:f>I22+I26</x:f>
        <x:v>48</x:v>
      </x:c>
      <x:c r="J30" s="26" t="n">
        <x:f>J22+J26</x:f>
        <x:v>57</x:v>
      </x:c>
      <x:c r="K30" s="26" t="n">
        <x:f>K22+K26</x:f>
        <x:v>72.6</x:v>
      </x:c>
      <x:c r="L30" s="26" t="n">
        <x:f>L22+L26</x:f>
        <x:v>87.4</x:v>
      </x:c>
      <x:c r="M30" s="26" t="n">
        <x:f>M22+M26</x:f>
        <x:v>103</x:v>
      </x:c>
    </x:row>
    <x:row r="31" ht="16" customHeight="1">
      <x:c r="A31" s="16" t="str">
        <x:v>Risk-adjusted revenue</x:v>
      </x:c>
      <x:c r="B31" s="16" t="str">
        <x:v>$m</x:v>
      </x:c>
      <x:c r="C31" s="16" t="str">
        <x:v>CDMO fully counted; regional product revenue risk-adjusted</x:v>
      </x:c>
      <x:c r="D31" s="26" t="n">
        <x:f>D22+D26*D27</x:f>
        <x:v>0</x:v>
      </x:c>
      <x:c r="E31" s="26" t="n">
        <x:f>E22+E26*E27</x:f>
        <x:v>12</x:v>
      </x:c>
      <x:c r="F31" s="26" t="n">
        <x:f>F22+F26*F27</x:f>
        <x:v>24</x:v>
      </x:c>
      <x:c r="G31" s="26" t="n">
        <x:f>G22+G26*G27</x:f>
        <x:v>40</x:v>
      </x:c>
      <x:c r="H31" s="26" t="n">
        <x:f>H22+H26*H27</x:f>
        <x:v>44</x:v>
      </x:c>
      <x:c r="I31" s="26" t="n">
        <x:f>I22+I26*I27</x:f>
        <x:v>48</x:v>
      </x:c>
      <x:c r="J31" s="26" t="n">
        <x:f>J22+J26*J27</x:f>
        <x:v>53</x:v>
      </x:c>
      <x:c r="K31" s="26" t="n">
        <x:f>K22+K26*K27</x:f>
        <x:v>60.599999999999994</x:v>
      </x:c>
      <x:c r="L31" s="26" t="n">
        <x:f>L22+L26*L27</x:f>
        <x:v>67.4</x:v>
      </x:c>
      <x:c r="M31" s="26" t="n">
        <x:f>M22+M26*M27</x:f>
        <x:v>75</x:v>
      </x:c>
    </x:row>
    <x:row r="32" ht="16" customHeight="1">
      <x:c r="A32" s="16" t="str">
        <x:v>Contribution profit</x:v>
      </x:c>
      <x:c r="B32" s="16" t="str">
        <x:v>$m</x:v>
      </x:c>
      <x:c r="C32" s="16" t="str">
        <x:v>CDMO and regional contribution</x:v>
      </x:c>
      <x:c r="D32" s="26" t="n">
        <x:f>D22*D28+D26*D29</x:f>
        <x:v>0</x:v>
      </x:c>
      <x:c r="E32" s="26" t="n">
        <x:f>E22*E28+E26*E29</x:f>
        <x:v>1.7999999999999998</x:v>
      </x:c>
      <x:c r="F32" s="26" t="n">
        <x:f>F22*F28+F26*F29</x:f>
        <x:v>4.32</x:v>
      </x:c>
      <x:c r="G32" s="26" t="n">
        <x:f>G22*G28+G26*G29</x:f>
        <x:v>8.8</x:v>
      </x:c>
      <x:c r="H32" s="26" t="n">
        <x:f>H22*H28+H26*H29</x:f>
        <x:v>10.120000000000001</x:v>
      </x:c>
      <x:c r="I32" s="26" t="n">
        <x:f>I22*I28+I26*I29</x:f>
        <x:v>11.52</x:v>
      </x:c>
      <x:c r="J32" s="26" t="n">
        <x:f>J22*J28+J26*J29</x:f>
        <x:v>14.75</x:v>
      </x:c>
      <x:c r="K32" s="26" t="n">
        <x:f>K22*K28+K26*K29</x:f>
        <x:v>20.375999999999998</x:v>
      </x:c>
      <x:c r="L32" s="26" t="n">
        <x:f>L22*L28+L26*L29</x:f>
        <x:v>26.098000000000003</x:v>
      </x:c>
      <x:c r="M32" s="26" t="n">
        <x:f>M22*M28+M26*M29</x:f>
        <x:v>32.34</x:v>
      </x:c>
    </x:row>
    <x:row r="33" ht="16" customHeight="1">
      <x:c r="A33" s="16" t="str">
        <x:v>Risk-adjusted contribution profit</x:v>
      </x:c>
      <x:c r="B33" s="16" t="str">
        <x:v>$m</x:v>
      </x:c>
      <x:c r="C33" s="16" t="str">
        <x:v>Regional contribution risk-adjusted</x:v>
      </x:c>
      <x:c r="D33" s="26" t="n">
        <x:f>D22*D28+D26*D27*D29</x:f>
        <x:v>0</x:v>
      </x:c>
      <x:c r="E33" s="26" t="n">
        <x:f>E22*E28+E26*E27*E29</x:f>
        <x:v>1.7999999999999998</x:v>
      </x:c>
      <x:c r="F33" s="26" t="n">
        <x:f>F22*F28+F26*F27*F29</x:f>
        <x:v>4.32</x:v>
      </x:c>
      <x:c r="G33" s="26" t="n">
        <x:f>G22*G28+G26*G27*G29</x:f>
        <x:v>8.8</x:v>
      </x:c>
      <x:c r="H33" s="26" t="n">
        <x:f>H22*H28+H26*H27*H29</x:f>
        <x:v>10.120000000000001</x:v>
      </x:c>
      <x:c r="I33" s="26" t="n">
        <x:f>I22*I28+I26*I27*I29</x:f>
        <x:v>11.52</x:v>
      </x:c>
      <x:c r="J33" s="26" t="n">
        <x:f>J22*J28+J26*J27*J29</x:f>
        <x:v>13.35</x:v>
      </x:c>
      <x:c r="K33" s="26" t="n">
        <x:f>K22*K28+K26*K27*K29</x:f>
        <x:v>16.055999999999997</x:v>
      </x:c>
      <x:c r="L33" s="26" t="n">
        <x:f>L22*L28+L26*L27*L29</x:f>
        <x:v>18.698000000000004</x:v>
      </x:c>
      <x:c r="M33" s="26" t="n">
        <x:f>M22*M28+M26*M27*M29</x:f>
        <x:v>21.700000000000003</x:v>
      </x:c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D30</x:f>
        <x:v>0</x:v>
      </x:c>
      <x:c r="E37" s="26" t="n">
        <x:f>E30</x:f>
        <x:v>12</x:v>
      </x:c>
      <x:c r="F37" s="26" t="n">
        <x:f>F30</x:f>
        <x:v>24</x:v>
      </x:c>
      <x:c r="G37" s="26" t="n">
        <x:f>G30</x:f>
        <x:v>40</x:v>
      </x:c>
      <x:c r="H37" s="26" t="n">
        <x:f>H30</x:f>
        <x:v>44</x:v>
      </x:c>
      <x:c r="I37" s="26" t="n">
        <x:f>I30</x:f>
        <x:v>48</x:v>
      </x:c>
      <x:c r="J37" s="26" t="n">
        <x:f>J30</x:f>
        <x:v>57</x:v>
      </x:c>
      <x:c r="K37" s="26" t="n">
        <x:f>K30</x:f>
        <x:v>72.6</x:v>
      </x:c>
      <x:c r="L37" s="26" t="n">
        <x:f>L30</x:f>
        <x:v>87.4</x:v>
      </x:c>
      <x:c r="M37" s="26" t="n">
        <x:f>M30</x:f>
        <x:v>103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D30</x:f>
        <x:v>0</x:v>
      </x:c>
      <x:c r="E38" s="29" t="n">
        <x:f>E30</x:f>
        <x:v>12</x:v>
      </x:c>
      <x:c r="F38" s="29" t="n">
        <x:f>F30</x:f>
        <x:v>24</x:v>
      </x:c>
      <x:c r="G38" s="29" t="n">
        <x:f>G30</x:f>
        <x:v>40</x:v>
      </x:c>
      <x:c r="H38" s="29" t="n">
        <x:f>H30</x:f>
        <x:v>44</x:v>
      </x:c>
      <x:c r="I38" s="29" t="n">
        <x:f>I30</x:f>
        <x:v>48</x:v>
      </x:c>
      <x:c r="J38" s="29" t="n">
        <x:f>J30</x:f>
        <x:v>57</x:v>
      </x:c>
      <x:c r="K38" s="29" t="n">
        <x:f>K30</x:f>
        <x:v>72.6</x:v>
      </x:c>
      <x:c r="L38" s="29" t="n">
        <x:f>L30</x:f>
        <x:v>87.4</x:v>
      </x:c>
      <x:c r="M38" s="29" t="n">
        <x:f>M30</x:f>
        <x:v>103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D31</x:f>
        <x:v>0</x:v>
      </x:c>
      <x:c r="E39" s="26" t="n">
        <x:f>E31</x:f>
        <x:v>12</x:v>
      </x:c>
      <x:c r="F39" s="26" t="n">
        <x:f>F31</x:f>
        <x:v>24</x:v>
      </x:c>
      <x:c r="G39" s="26" t="n">
        <x:f>G31</x:f>
        <x:v>40</x:v>
      </x:c>
      <x:c r="H39" s="26" t="n">
        <x:f>H31</x:f>
        <x:v>44</x:v>
      </x:c>
      <x:c r="I39" s="26" t="n">
        <x:f>I31</x:f>
        <x:v>48</x:v>
      </x:c>
      <x:c r="J39" s="26" t="n">
        <x:f>J31</x:f>
        <x:v>53</x:v>
      </x:c>
      <x:c r="K39" s="26" t="n">
        <x:f>K31</x:f>
        <x:v>60.599999999999994</x:v>
      </x:c>
      <x:c r="L39" s="26" t="n">
        <x:f>L31</x:f>
        <x:v>67.4</x:v>
      </x:c>
      <x:c r="M39" s="26" t="n">
        <x:f>M31</x:f>
        <x:v>75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IFERROR(D32/D30,0)</x:f>
        <x:v>0</x:v>
      </x:c>
      <x:c r="E40" s="27" t="n">
        <x:f>IFERROR(E32/E30,0)</x:f>
        <x:v>0.15</x:v>
      </x:c>
      <x:c r="F40" s="27" t="n">
        <x:f>IFERROR(F32/F30,0)</x:f>
        <x:v>0.18000000000000002</x:v>
      </x:c>
      <x:c r="G40" s="27" t="n">
        <x:f>IFERROR(G32/G30,0)</x:f>
        <x:v>0.22000000000000003</x:v>
      </x:c>
      <x:c r="H40" s="27" t="n">
        <x:f>IFERROR(H32/H30,0)</x:f>
        <x:v>0.23</x:v>
      </x:c>
      <x:c r="I40" s="27" t="n">
        <x:f>IFERROR(I32/I30,0)</x:f>
        <x:v>0.24</x:v>
      </x:c>
      <x:c r="J40" s="27" t="n">
        <x:f>IFERROR(J32/J30,0)</x:f>
        <x:v>0.25877192982456143</x:v>
      </x:c>
      <x:c r="K40" s="27" t="n">
        <x:f>IFERROR(K32/K30,0)</x:f>
        <x:v>0.2806611570247934</x:v>
      </x:c>
      <x:c r="L40" s="27" t="n">
        <x:f>IFERROR(L32/L30,0)</x:f>
        <x:v>0.29860411899313505</x:v>
      </x:c>
      <x:c r="M40" s="27" t="n">
        <x:f>IFERROR(M32/M30,0)</x:f>
        <x:v>0.31398058252427186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D32</x:f>
        <x:v>0</x:v>
      </x:c>
      <x:c r="E41" s="29" t="n">
        <x:f>E32</x:f>
        <x:v>1.7999999999999998</x:v>
      </x:c>
      <x:c r="F41" s="29" t="n">
        <x:f>F32</x:f>
        <x:v>4.32</x:v>
      </x:c>
      <x:c r="G41" s="29" t="n">
        <x:f>G32</x:f>
        <x:v>8.8</x:v>
      </x:c>
      <x:c r="H41" s="29" t="n">
        <x:f>H32</x:f>
        <x:v>10.120000000000001</x:v>
      </x:c>
      <x:c r="I41" s="29" t="n">
        <x:f>I32</x:f>
        <x:v>11.52</x:v>
      </x:c>
      <x:c r="J41" s="29" t="n">
        <x:f>J32</x:f>
        <x:v>14.75</x:v>
      </x:c>
      <x:c r="K41" s="29" t="n">
        <x:f>K32</x:f>
        <x:v>20.375999999999998</x:v>
      </x:c>
      <x:c r="L41" s="29" t="n">
        <x:f>L32</x:f>
        <x:v>26.098000000000003</x:v>
      </x:c>
      <x:c r="M41" s="29" t="n">
        <x:f>M32</x:f>
        <x:v>32.34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D33</x:f>
        <x:v>0</x:v>
      </x:c>
      <x:c r="E42" s="26" t="n">
        <x:f>E33</x:f>
        <x:v>1.7999999999999998</x:v>
      </x:c>
      <x:c r="F42" s="26" t="n">
        <x:f>F33</x:f>
        <x:v>4.32</x:v>
      </x:c>
      <x:c r="G42" s="26" t="n">
        <x:f>G33</x:f>
        <x:v>8.8</x:v>
      </x:c>
      <x:c r="H42" s="26" t="n">
        <x:f>H33</x:f>
        <x:v>10.120000000000001</x:v>
      </x:c>
      <x:c r="I42" s="26" t="n">
        <x:f>I33</x:f>
        <x:v>11.52</x:v>
      </x:c>
      <x:c r="J42" s="26" t="n">
        <x:f>J33</x:f>
        <x:v>13.35</x:v>
      </x:c>
      <x:c r="K42" s="26" t="n">
        <x:f>K33</x:f>
        <x:v>16.055999999999997</x:v>
      </x:c>
      <x:c r="L42" s="26" t="n">
        <x:f>L33</x:f>
        <x:v>18.698000000000004</x:v>
      </x:c>
      <x:c r="M42" s="26" t="n">
        <x:f>M33</x:f>
        <x:v>21.700000000000003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D38*'Global Assump'!D$4</x:f>
        <x:v>0</x:v>
      </x:c>
      <x:c r="E43" s="26" t="n">
        <x:f>E38*'Global Assump'!E$4</x:f>
        <x:v>1056</x:v>
      </x:c>
      <x:c r="F43" s="26" t="n">
        <x:f>F38*'Global Assump'!F$4</x:f>
        <x:v>2160</x:v>
      </x:c>
      <x:c r="G43" s="26" t="n">
        <x:f>G38*'Global Assump'!G$4</x:f>
        <x:v>3680</x:v>
      </x:c>
      <x:c r="H43" s="26" t="n">
        <x:f>H38*'Global Assump'!H$4</x:f>
        <x:v>4136</x:v>
      </x:c>
      <x:c r="I43" s="26" t="n">
        <x:f>I38*'Global Assump'!I$4</x:f>
        <x:v>4608</x:v>
      </x:c>
      <x:c r="J43" s="26" t="n">
        <x:f>J38*'Global Assump'!J$4</x:f>
        <x:v>5586</x:v>
      </x:c>
      <x:c r="K43" s="26" t="n">
        <x:f>K38*'Global Assump'!K$4</x:f>
        <x:v>7259.999999999999</x:v>
      </x:c>
      <x:c r="L43" s="26" t="n">
        <x:f>L38*'Global Assump'!L$4</x:f>
        <x:v>8914.800000000001</x:v>
      </x:c>
      <x:c r="M43" s="26" t="n">
        <x:f>M38*'Global Assump'!M$4</x:f>
        <x:v>10712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D39*'Global Assump'!D$4</x:f>
        <x:v>0</x:v>
      </x:c>
      <x:c r="E44" s="30" t="n">
        <x:f>E39*'Global Assump'!E$4</x:f>
        <x:v>1056</x:v>
      </x:c>
      <x:c r="F44" s="30" t="n">
        <x:f>F39*'Global Assump'!F$4</x:f>
        <x:v>2160</x:v>
      </x:c>
      <x:c r="G44" s="30" t="n">
        <x:f>G39*'Global Assump'!G$4</x:f>
        <x:v>3680</x:v>
      </x:c>
      <x:c r="H44" s="30" t="n">
        <x:f>H39*'Global Assump'!H$4</x:f>
        <x:v>4136</x:v>
      </x:c>
      <x:c r="I44" s="30" t="n">
        <x:f>I39*'Global Assump'!I$4</x:f>
        <x:v>4608</x:v>
      </x:c>
      <x:c r="J44" s="30" t="n">
        <x:f>J39*'Global Assump'!J$4</x:f>
        <x:v>5194</x:v>
      </x:c>
      <x:c r="K44" s="30" t="n">
        <x:f>K39*'Global Assump'!K$4</x:f>
        <x:v>6059.999999999999</x:v>
      </x:c>
      <x:c r="L44" s="30" t="n">
        <x:f>L39*'Global Assump'!L$4</x:f>
        <x:v>6874.8</x:v>
      </x:c>
      <x:c r="M44" s="30" t="n">
        <x:f>M39*'Global Assump'!M$4</x:f>
        <x:v>7800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Tishtha | India nivolumab biosimilar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Tishtha | India nivolumab biosimilar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Biosimilar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India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Commercial launch Jan-2026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Oncologist confidence, hospital access, originator response and competing biosimilars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Addressable nivolumab doses</x:v>
      </x:c>
      <x:c r="B20" s="16" t="str">
        <x:v>000 doses</x:v>
      </x:c>
      <x:c r="C20" s="16"/>
      <x:c r="D20" s="32" t="n">
        <x:v>120</x:v>
      </x:c>
      <x:c r="E20" s="32" t="n">
        <x:v>150</x:v>
      </x:c>
      <x:c r="F20" s="32" t="n">
        <x:v>180</x:v>
      </x:c>
      <x:c r="G20" s="32" t="n">
        <x:v>210</x:v>
      </x:c>
      <x:c r="H20" s="32" t="n">
        <x:v>240</x:v>
      </x:c>
      <x:c r="I20" s="32" t="n">
        <x:v>270</x:v>
      </x:c>
      <x:c r="J20" s="32" t="n">
        <x:v>300</x:v>
      </x:c>
      <x:c r="K20" s="32" t="n">
        <x:v>330</x:v>
      </x:c>
      <x:c r="L20" s="32" t="n">
        <x:v>360</x:v>
      </x:c>
      <x:c r="M20" s="32" t="n">
        <x:v>390</x:v>
      </x:c>
    </x:row>
    <x:row r="21">
      <x:c r="A21" s="16" t="str">
        <x:v>Net revenue per dose</x:v>
      </x:c>
      <x:c r="B21" s="16" t="str">
        <x:v>INR000</x:v>
      </x:c>
      <x:c r="C21" s="16"/>
      <x:c r="D21" s="32" t="n">
        <x:v>40</x:v>
      </x:c>
      <x:c r="E21" s="32" t="n">
        <x:v>39</x:v>
      </x:c>
      <x:c r="F21" s="32" t="n">
        <x:v>38</x:v>
      </x:c>
      <x:c r="G21" s="32" t="n">
        <x:v>37</x:v>
      </x:c>
      <x:c r="H21" s="32" t="n">
        <x:v>36</x:v>
      </x:c>
      <x:c r="I21" s="32" t="n">
        <x:v>35</x:v>
      </x:c>
      <x:c r="J21" s="32" t="n">
        <x:v>34</x:v>
      </x:c>
      <x:c r="K21" s="32" t="n">
        <x:v>33</x:v>
      </x:c>
      <x:c r="L21" s="32" t="n">
        <x:v>32</x:v>
      </x:c>
      <x:c r="M21" s="32" t="n">
        <x:v>31</x:v>
      </x:c>
    </x:row>
    <x:row r="22">
      <x:c r="A22" s="16" t="str">
        <x:v>Tishtha dose share</x:v>
      </x:c>
      <x:c r="B22" s="16" t="str">
        <x:v>%</x:v>
      </x:c>
      <x:c r="C22" s="16"/>
      <x:c r="D22" s="33" t="n">
        <x:v>0.1</x:v>
      </x:c>
      <x:c r="E22" s="33" t="n">
        <x:v>0.15</x:v>
      </x:c>
      <x:c r="F22" s="33" t="n">
        <x:v>0.23</x:v>
      </x:c>
      <x:c r="G22" s="33" t="n">
        <x:v>0.3</x:v>
      </x:c>
      <x:c r="H22" s="33" t="n">
        <x:v>0.32</x:v>
      </x:c>
      <x:c r="I22" s="33" t="n">
        <x:v>0.3</x:v>
      </x:c>
      <x:c r="J22" s="33" t="n">
        <x:v>0.28</x:v>
      </x:c>
      <x:c r="K22" s="33" t="n">
        <x:v>0.26</x:v>
      </x:c>
      <x:c r="L22" s="33" t="n">
        <x:v>0.24</x:v>
      </x:c>
      <x:c r="M22" s="33" t="n">
        <x:v>0.22</x:v>
      </x:c>
    </x:row>
    <x:row r="23">
      <x:c r="A23" s="16" t="str">
        <x:v>Launch factor</x:v>
      </x:c>
      <x:c r="B23" s="16" t="str">
        <x:v>%</x:v>
      </x:c>
      <x:c r="C23" s="16"/>
      <x:c r="D23" s="33" t="n">
        <x:v>1</x:v>
      </x:c>
      <x:c r="E23" s="33" t="n">
        <x:v>1</x:v>
      </x:c>
      <x:c r="F23" s="33" t="n">
        <x:v>1</x:v>
      </x:c>
      <x:c r="G23" s="33" t="n">
        <x:v>1</x:v>
      </x:c>
      <x:c r="H23" s="33" t="n">
        <x:v>1</x:v>
      </x:c>
      <x:c r="I23" s="33" t="n">
        <x:v>1</x:v>
      </x:c>
      <x:c r="J23" s="33" t="n">
        <x:v>1</x:v>
      </x:c>
      <x:c r="K23" s="33" t="n">
        <x:v>1</x:v>
      </x:c>
      <x:c r="L23" s="33" t="n">
        <x:v>1</x:v>
      </x:c>
      <x:c r="M23" s="33" t="n">
        <x:v>1</x:v>
      </x:c>
    </x:row>
    <x:row r="24">
      <x:c r="A24" s="16" t="str">
        <x:v>India end-market revenue</x:v>
      </x:c>
      <x:c r="B24" s="16" t="str">
        <x:v>INRm</x:v>
      </x:c>
      <x:c r="C24" s="16"/>
      <x:c r="D24" s="26" t="n">
        <x:f>D20*D21*D22*D23</x:f>
        <x:v>480</x:v>
      </x:c>
      <x:c r="E24" s="26" t="n">
        <x:f>E20*E21*E22*E23</x:f>
        <x:v>877.5</x:v>
      </x:c>
      <x:c r="F24" s="26" t="n">
        <x:f>F20*F21*F22*F23</x:f>
        <x:v>1573.2</x:v>
      </x:c>
      <x:c r="G24" s="26" t="n">
        <x:f>G20*G21*G22*G23</x:f>
        <x:v>2331</x:v>
      </x:c>
      <x:c r="H24" s="26" t="n">
        <x:f>H20*H21*H22*H23</x:f>
        <x:v>2764.8</x:v>
      </x:c>
      <x:c r="I24" s="26" t="n">
        <x:f>I20*I21*I22*I23</x:f>
        <x:v>2835</x:v>
      </x:c>
      <x:c r="J24" s="26" t="n">
        <x:f>J20*J21*J22*J23</x:f>
        <x:v>2856.0000000000005</x:v>
      </x:c>
      <x:c r="K24" s="26" t="n">
        <x:f>K20*K21*K22*K23</x:f>
        <x:v>2831.4</x:v>
      </x:c>
      <x:c r="L24" s="26" t="n">
        <x:f>L20*L21*L22*L23</x:f>
        <x:v>2764.7999999999997</x:v>
      </x:c>
      <x:c r="M24" s="26" t="n">
        <x:f>M20*M21*M22*M23</x:f>
        <x:v>2659.8</x:v>
      </x:c>
    </x:row>
    <x:row r="25">
      <x:c r="A25" s="16" t="str">
        <x:v>Probability of success</x:v>
      </x:c>
      <x:c r="B25" s="16" t="str">
        <x:v>%</x:v>
      </x:c>
      <x:c r="C25" s="16"/>
      <x:c r="D25" s="33" t="n">
        <x:v>1</x:v>
      </x:c>
      <x:c r="E25" s="33" t="n">
        <x:v>1</x:v>
      </x:c>
      <x:c r="F25" s="33" t="n">
        <x:v>1</x:v>
      </x:c>
      <x:c r="G25" s="33" t="n">
        <x:v>1</x:v>
      </x:c>
      <x:c r="H25" s="33" t="n">
        <x:v>1</x:v>
      </x:c>
      <x:c r="I25" s="33" t="n">
        <x:v>1</x:v>
      </x:c>
      <x:c r="J25" s="33" t="n">
        <x:v>1</x:v>
      </x:c>
      <x:c r="K25" s="33" t="n">
        <x:v>1</x:v>
      </x:c>
      <x:c r="L25" s="33" t="n">
        <x:v>1</x:v>
      </x:c>
      <x:c r="M25" s="33" t="n">
        <x:v>1</x:v>
      </x:c>
    </x:row>
    <x:row r="26">
      <x:c r="A26" s="16" t="str">
        <x:v>Contribution margin</x:v>
      </x:c>
      <x:c r="B26" s="16" t="str">
        <x:v>%</x:v>
      </x:c>
      <x:c r="C26" s="16"/>
      <x:c r="D26" s="33" t="n">
        <x:v>0.25</x:v>
      </x:c>
      <x:c r="E26" s="33" t="n">
        <x:v>0.28</x:v>
      </x:c>
      <x:c r="F26" s="33" t="n">
        <x:v>0.32</x:v>
      </x:c>
      <x:c r="G26" s="33" t="n">
        <x:v>0.35</x:v>
      </x:c>
      <x:c r="H26" s="33" t="n">
        <x:v>0.36</x:v>
      </x:c>
      <x:c r="I26" s="33" t="n">
        <x:v>0.36</x:v>
      </x:c>
      <x:c r="J26" s="33" t="n">
        <x:v>0.35</x:v>
      </x:c>
      <x:c r="K26" s="33" t="n">
        <x:v>0.34</x:v>
      </x:c>
      <x:c r="L26" s="33" t="n">
        <x:v>0.33</x:v>
      </x:c>
      <x:c r="M26" s="33" t="n">
        <x:v>0.32</x:v>
      </x:c>
    </x:row>
    <x:row r="27">
      <x:c r="A27" s="16" t="str">
        <x:v>Revenue translated to US$</x:v>
      </x:c>
      <x:c r="B27" s="16" t="str">
        <x:v>$m</x:v>
      </x:c>
      <x:c r="C27" s="16"/>
      <x:c r="D27" s="26" t="n">
        <x:f>D24/'Global Assump'!D$4</x:f>
        <x:v>5.5813953488372094</x:v>
      </x:c>
      <x:c r="E27" s="26" t="n">
        <x:f>E24/'Global Assump'!E$4</x:f>
        <x:v>9.971590909090908</x:v>
      </x:c>
      <x:c r="F27" s="26" t="n">
        <x:f>F24/'Global Assump'!F$4</x:f>
        <x:v>17.48</x:v>
      </x:c>
      <x:c r="G27" s="26" t="n">
        <x:f>G24/'Global Assump'!G$4</x:f>
        <x:v>25.33695652173913</x:v>
      </x:c>
      <x:c r="H27" s="26" t="n">
        <x:f>H24/'Global Assump'!H$4</x:f>
        <x:v>29.412765957446812</x:v>
      </x:c>
      <x:c r="I27" s="26" t="n">
        <x:f>I24/'Global Assump'!I$4</x:f>
        <x:v>29.53125</x:v>
      </x:c>
      <x:c r="J27" s="26" t="n">
        <x:f>J24/'Global Assump'!J$4</x:f>
        <x:v>29.142857142857146</x:v>
      </x:c>
      <x:c r="K27" s="26" t="n">
        <x:f>K24/'Global Assump'!K$4</x:f>
        <x:v>28.314</x:v>
      </x:c>
      <x:c r="L27" s="26" t="n">
        <x:f>L24/'Global Assump'!L$4</x:f>
        <x:v>27.105882352941173</x:v>
      </x:c>
      <x:c r="M27" s="26" t="n">
        <x:f>M24/'Global Assump'!M$4</x:f>
        <x:v>25.575000000000003</x:v>
      </x:c>
    </x:row>
    <x:row r="28">
      <x:c r="A28" s="16"/>
      <x:c r="B28" s="16"/>
      <x:c r="C28" s="1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D27</x:f>
        <x:v>5.5813953488372094</x:v>
      </x:c>
      <x:c r="E37" s="26" t="n">
        <x:f>E27</x:f>
        <x:v>9.971590909090908</x:v>
      </x:c>
      <x:c r="F37" s="26" t="n">
        <x:f>F27</x:f>
        <x:v>17.48</x:v>
      </x:c>
      <x:c r="G37" s="26" t="n">
        <x:f>G27</x:f>
        <x:v>25.33695652173913</x:v>
      </x:c>
      <x:c r="H37" s="26" t="n">
        <x:f>H27</x:f>
        <x:v>29.412765957446812</x:v>
      </x:c>
      <x:c r="I37" s="26" t="n">
        <x:f>I27</x:f>
        <x:v>29.53125</x:v>
      </x:c>
      <x:c r="J37" s="26" t="n">
        <x:f>J27</x:f>
        <x:v>29.142857142857146</x:v>
      </x:c>
      <x:c r="K37" s="26" t="n">
        <x:f>K27</x:f>
        <x:v>28.314</x:v>
      </x:c>
      <x:c r="L37" s="26" t="n">
        <x:f>L27</x:f>
        <x:v>27.105882352941173</x:v>
      </x:c>
      <x:c r="M37" s="26" t="n">
        <x:f>M27</x:f>
        <x:v>25.575000000000003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D27</x:f>
        <x:v>5.5813953488372094</x:v>
      </x:c>
      <x:c r="E38" s="29" t="n">
        <x:f>E27</x:f>
        <x:v>9.971590909090908</x:v>
      </x:c>
      <x:c r="F38" s="29" t="n">
        <x:f>F27</x:f>
        <x:v>17.48</x:v>
      </x:c>
      <x:c r="G38" s="29" t="n">
        <x:f>G27</x:f>
        <x:v>25.33695652173913</x:v>
      </x:c>
      <x:c r="H38" s="29" t="n">
        <x:f>H27</x:f>
        <x:v>29.412765957446812</x:v>
      </x:c>
      <x:c r="I38" s="29" t="n">
        <x:f>I27</x:f>
        <x:v>29.53125</x:v>
      </x:c>
      <x:c r="J38" s="29" t="n">
        <x:f>J27</x:f>
        <x:v>29.142857142857146</x:v>
      </x:c>
      <x:c r="K38" s="29" t="n">
        <x:f>K27</x:f>
        <x:v>28.314</x:v>
      </x:c>
      <x:c r="L38" s="29" t="n">
        <x:f>L27</x:f>
        <x:v>27.105882352941173</x:v>
      </x:c>
      <x:c r="M38" s="29" t="n">
        <x:f>M27</x:f>
        <x:v>25.575000000000003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D38*D25</x:f>
        <x:v>5.5813953488372094</x:v>
      </x:c>
      <x:c r="E39" s="26" t="n">
        <x:f>E38*E25</x:f>
        <x:v>9.971590909090908</x:v>
      </x:c>
      <x:c r="F39" s="26" t="n">
        <x:f>F38*F25</x:f>
        <x:v>17.48</x:v>
      </x:c>
      <x:c r="G39" s="26" t="n">
        <x:f>G38*G25</x:f>
        <x:v>25.33695652173913</x:v>
      </x:c>
      <x:c r="H39" s="26" t="n">
        <x:f>H38*H25</x:f>
        <x:v>29.412765957446812</x:v>
      </x:c>
      <x:c r="I39" s="26" t="n">
        <x:f>I38*I25</x:f>
        <x:v>29.53125</x:v>
      </x:c>
      <x:c r="J39" s="26" t="n">
        <x:f>J38*J25</x:f>
        <x:v>29.142857142857146</x:v>
      </x:c>
      <x:c r="K39" s="26" t="n">
        <x:f>K38*K25</x:f>
        <x:v>28.314</x:v>
      </x:c>
      <x:c r="L39" s="26" t="n">
        <x:f>L38*L25</x:f>
        <x:v>27.105882352941173</x:v>
      </x:c>
      <x:c r="M39" s="26" t="n">
        <x:f>M38*M25</x:f>
        <x:v>25.575000000000003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D26</x:f>
        <x:v>0.25</x:v>
      </x:c>
      <x:c r="E40" s="27" t="n">
        <x:f>E26</x:f>
        <x:v>0.28</x:v>
      </x:c>
      <x:c r="F40" s="27" t="n">
        <x:f>F26</x:f>
        <x:v>0.32</x:v>
      </x:c>
      <x:c r="G40" s="27" t="n">
        <x:f>G26</x:f>
        <x:v>0.35</x:v>
      </x:c>
      <x:c r="H40" s="27" t="n">
        <x:f>H26</x:f>
        <x:v>0.36</x:v>
      </x:c>
      <x:c r="I40" s="27" t="n">
        <x:f>I26</x:f>
        <x:v>0.36</x:v>
      </x:c>
      <x:c r="J40" s="27" t="n">
        <x:f>J26</x:f>
        <x:v>0.35</x:v>
      </x:c>
      <x:c r="K40" s="27" t="n">
        <x:f>K26</x:f>
        <x:v>0.34</x:v>
      </x:c>
      <x:c r="L40" s="27" t="n">
        <x:f>L26</x:f>
        <x:v>0.33</x:v>
      </x:c>
      <x:c r="M40" s="27" t="n">
        <x:f>M26</x:f>
        <x:v>0.32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1.3953488372093024</x:v>
      </x:c>
      <x:c r="E41" s="29" t="n">
        <x:f>E38*E40</x:f>
        <x:v>2.7920454545454545</x:v>
      </x:c>
      <x:c r="F41" s="29" t="n">
        <x:f>F38*F40</x:f>
        <x:v>5.5936</x:v>
      </x:c>
      <x:c r="G41" s="29" t="n">
        <x:f>G38*G40</x:f>
        <x:v>8.867934782608694</x:v>
      </x:c>
      <x:c r="H41" s="29" t="n">
        <x:f>H38*H40</x:f>
        <x:v>10.588595744680852</x:v>
      </x:c>
      <x:c r="I41" s="29" t="n">
        <x:f>I38*I40</x:f>
        <x:v>10.63125</x:v>
      </x:c>
      <x:c r="J41" s="29" t="n">
        <x:f>J38*J40</x:f>
        <x:v>10.200000000000001</x:v>
      </x:c>
      <x:c r="K41" s="29" t="n">
        <x:f>K38*K40</x:f>
        <x:v>9.62676</x:v>
      </x:c>
      <x:c r="L41" s="29" t="n">
        <x:f>L38*L40</x:f>
        <x:v>8.944941176470588</x:v>
      </x:c>
      <x:c r="M41" s="29" t="n">
        <x:f>M38*M40</x:f>
        <x:v>8.184000000000001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1.3953488372093024</x:v>
      </x:c>
      <x:c r="E42" s="26" t="n">
        <x:f>E39*E40</x:f>
        <x:v>2.7920454545454545</x:v>
      </x:c>
      <x:c r="F42" s="26" t="n">
        <x:f>F39*F40</x:f>
        <x:v>5.5936</x:v>
      </x:c>
      <x:c r="G42" s="26" t="n">
        <x:f>G39*G40</x:f>
        <x:v>8.867934782608694</x:v>
      </x:c>
      <x:c r="H42" s="26" t="n">
        <x:f>H39*H40</x:f>
        <x:v>10.588595744680852</x:v>
      </x:c>
      <x:c r="I42" s="26" t="n">
        <x:f>I39*I40</x:f>
        <x:v>10.63125</x:v>
      </x:c>
      <x:c r="J42" s="26" t="n">
        <x:f>J39*J40</x:f>
        <x:v>10.200000000000001</x:v>
      </x:c>
      <x:c r="K42" s="26" t="n">
        <x:f>K39*K40</x:f>
        <x:v>9.62676</x:v>
      </x:c>
      <x:c r="L42" s="26" t="n">
        <x:f>L39*L40</x:f>
        <x:v>8.944941176470588</x:v>
      </x:c>
      <x:c r="M42" s="26" t="n">
        <x:f>M39*M40</x:f>
        <x:v>8.184000000000001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D24</x:f>
        <x:v>480</x:v>
      </x:c>
      <x:c r="E43" s="26" t="n">
        <x:f>E24</x:f>
        <x:v>877.5</x:v>
      </x:c>
      <x:c r="F43" s="26" t="n">
        <x:f>F24</x:f>
        <x:v>1573.2</x:v>
      </x:c>
      <x:c r="G43" s="26" t="n">
        <x:f>G24</x:f>
        <x:v>2331</x:v>
      </x:c>
      <x:c r="H43" s="26" t="n">
        <x:f>H24</x:f>
        <x:v>2764.8</x:v>
      </x:c>
      <x:c r="I43" s="26" t="n">
        <x:f>I24</x:f>
        <x:v>2835</x:v>
      </x:c>
      <x:c r="J43" s="26" t="n">
        <x:f>J24</x:f>
        <x:v>2856.0000000000005</x:v>
      </x:c>
      <x:c r="K43" s="26" t="n">
        <x:f>K24</x:f>
        <x:v>2831.4</x:v>
      </x:c>
      <x:c r="L43" s="26" t="n">
        <x:f>L24</x:f>
        <x:v>2764.7999999999997</x:v>
      </x:c>
      <x:c r="M43" s="26" t="n">
        <x:f>M24</x:f>
        <x:v>2659.8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D43*D25</x:f>
        <x:v>480</x:v>
      </x:c>
      <x:c r="E44" s="30" t="n">
        <x:f>E43*E25</x:f>
        <x:v>877.5</x:v>
      </x:c>
      <x:c r="F44" s="30" t="n">
        <x:f>F43*F25</x:f>
        <x:v>1573.2</x:v>
      </x:c>
      <x:c r="G44" s="30" t="n">
        <x:f>G43*G25</x:f>
        <x:v>2331</x:v>
      </x:c>
      <x:c r="H44" s="30" t="n">
        <x:f>H43*H25</x:f>
        <x:v>2764.8</x:v>
      </x:c>
      <x:c r="I44" s="30" t="n">
        <x:f>I43*I25</x:f>
        <x:v>2835</x:v>
      </x:c>
      <x:c r="J44" s="30" t="n">
        <x:f>J43*J25</x:f>
        <x:v>2856.0000000000005</x:v>
      </x:c>
      <x:c r="K44" s="30" t="n">
        <x:f>K43*K25</x:f>
        <x:v>2831.4</x:v>
      </x:c>
      <x:c r="L44" s="30" t="n">
        <x:f>L43*L25</x:f>
        <x:v>2764.7999999999997</x:v>
      </x:c>
      <x:c r="M44" s="30" t="n">
        <x:f>M43*M25</x:f>
        <x:v>2659.8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36" hidden="0" customWidth="1"/>
    <x:col min="2" max="2" width="13" hidden="0" customWidth="1"/>
    <x:col min="3" max="3" width="2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</x:cols>
  <x:sheetData>
    <x:row r="1" ht="20" customHeight="1">
      <x:c r="A1" s="15" t="str">
        <x:v>Semaglutide | India cartridge platform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1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</x:row>
    <x:row r="4" ht="17" customHeight="1">
      <x:c r="A4" s="17" t="str">
        <x:v>Assumptions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>
      <x:c r="A5" s="18" t="str">
        <x:v>Asset / franchise</x:v>
      </x:c>
      <x:c r="B5" s="16" t="str">
        <x:v>Semaglutide | India cartridge platform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</x:row>
    <x:row r="6">
      <x:c r="A6" s="18" t="str">
        <x:v>Category</x:v>
      </x:c>
      <x:c r="B6" s="16" t="str">
        <x:v>India differentiated product</x:v>
      </x:c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</x:row>
    <x:row r="7">
      <x:c r="A7" s="18" t="str">
        <x:v>Geography</x:v>
      </x:c>
      <x:c r="B7" s="16" t="str">
        <x:v>India</x:v>
      </x:c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</x:row>
    <x:row r="8">
      <x:c r="A8" s="18" t="str">
        <x:v>Status / launch window</x:v>
      </x:c>
      <x:c r="B8" s="16" t="str">
        <x:v>Launched; Zydus own brands plus Lupin and Torrent co-marketing</x:v>
      </x:c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</x:row>
    <x:row r="9">
      <x:c r="A9" s="18" t="str">
        <x:v>Principal risk</x:v>
      </x:c>
      <x:c r="B9" s="16" t="str">
        <x:v>More than ten entrants, originator retention, refill continuity, cartridge supply and price erosion</x:v>
      </x:c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</x:row>
    <x:row r="10" ht="1" customHeight="1">
      <x:c r="A10" s="16"/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</x:row>
    <x:row r="11" ht="1" customHeight="1">
      <x:c r="A11" s="16"/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</x:row>
    <x:row r="12" ht="1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</x:row>
    <x:row r="13" ht="1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</x:row>
    <x:row r="14" ht="1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</x:row>
    <x:row r="15" ht="1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  <x:c r="M15" s="16"/>
    </x:row>
    <x:row r="16" ht="1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</x:row>
    <x:row r="17" ht="1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</x:row>
    <x:row r="18" ht="17" customHeight="1">
      <x:c r="A18" s="17" t="str">
        <x:v>Forecast</x:v>
      </x:c>
      <x:c r="B18" s="17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</x:row>
    <x:row r="19" ht="17" customHeight="1">
      <x:c r="A19" s="17" t="str">
        <x:v>Line item</x:v>
      </x:c>
      <x:c r="B19" s="17" t="str">
        <x:v>Units</x:v>
      </x:c>
      <x:c r="C19" s="17"/>
      <x:c r="D19" s="19" t="str">
        <x:v>FY26A</x:v>
      </x:c>
      <x:c r="E19" s="19" t="str">
        <x:v>FY27E</x:v>
      </x:c>
      <x:c r="F19" s="19" t="str">
        <x:v>FY28E</x:v>
      </x:c>
      <x:c r="G19" s="19" t="str">
        <x:v>FY29E</x:v>
      </x:c>
      <x:c r="H19" s="19" t="str">
        <x:v>FY30E</x:v>
      </x:c>
      <x:c r="I19" s="19" t="str">
        <x:v>FY31E</x:v>
      </x:c>
      <x:c r="J19" s="19" t="str">
        <x:v>FY32E</x:v>
      </x:c>
      <x:c r="K19" s="19" t="str">
        <x:v>FY33E</x:v>
      </x:c>
      <x:c r="L19" s="19" t="str">
        <x:v>FY34E</x:v>
      </x:c>
      <x:c r="M19" s="19" t="str">
        <x:v>FY35E</x:v>
      </x:c>
    </x:row>
    <x:row r="20">
      <x:c r="A20" s="16" t="str">
        <x:v>India semaglutide market</x:v>
      </x:c>
      <x:c r="B20" s="16" t="str">
        <x:v>INRm</x:v>
      </x:c>
      <x:c r="C20" s="16"/>
      <x:c r="D20" s="32" t="n">
        <x:v>0</x:v>
      </x:c>
      <x:c r="E20" s="32" t="n">
        <x:v>11240</x:v>
      </x:c>
      <x:c r="F20" s="32" t="n">
        <x:v>13500</x:v>
      </x:c>
      <x:c r="G20" s="32" t="n">
        <x:v>17000</x:v>
      </x:c>
      <x:c r="H20" s="32" t="n">
        <x:v>20000</x:v>
      </x:c>
      <x:c r="I20" s="32" t="n">
        <x:v>23000</x:v>
      </x:c>
      <x:c r="J20" s="32" t="n">
        <x:v>26000</x:v>
      </x:c>
      <x:c r="K20" s="32" t="n">
        <x:v>29000</x:v>
      </x:c>
      <x:c r="L20" s="32" t="n">
        <x:v>32000</x:v>
      </x:c>
      <x:c r="M20" s="32" t="n">
        <x:v>35000</x:v>
      </x:c>
    </x:row>
    <x:row r="21">
      <x:c r="A21" s="16" t="str">
        <x:v>Zydus manufacturing-platform share</x:v>
      </x:c>
      <x:c r="B21" s="16" t="str">
        <x:v>%</x:v>
      </x:c>
      <x:c r="C21" s="16"/>
      <x:c r="D21" s="33" t="n">
        <x:v>0</x:v>
      </x:c>
      <x:c r="E21" s="33" t="n">
        <x:v>0.08</x:v>
      </x:c>
      <x:c r="F21" s="33" t="n">
        <x:v>0.13</x:v>
      </x:c>
      <x:c r="G21" s="33" t="n">
        <x:v>0.135</x:v>
      </x:c>
      <x:c r="H21" s="33" t="n">
        <x:v>0.135</x:v>
      </x:c>
      <x:c r="I21" s="33" t="n">
        <x:v>0.13</x:v>
      </x:c>
      <x:c r="J21" s="33" t="n">
        <x:v>0.125</x:v>
      </x:c>
      <x:c r="K21" s="33" t="n">
        <x:v>0.12</x:v>
      </x:c>
      <x:c r="L21" s="33" t="n">
        <x:v>0.115</x:v>
      </x:c>
      <x:c r="M21" s="33" t="n">
        <x:v>0.11</x:v>
      </x:c>
    </x:row>
    <x:row r="22">
      <x:c r="A22" s="16" t="str">
        <x:v>Zydus platform revenue</x:v>
      </x:c>
      <x:c r="B22" s="16" t="str">
        <x:v>INRm</x:v>
      </x:c>
      <x:c r="C22" s="16"/>
      <x:c r="D22" s="26" t="n">
        <x:f>D20*D21</x:f>
        <x:v>0</x:v>
      </x:c>
      <x:c r="E22" s="26" t="n">
        <x:f>E20*E21</x:f>
        <x:v>899.2</x:v>
      </x:c>
      <x:c r="F22" s="26" t="n">
        <x:f>F20*F21</x:f>
        <x:v>1755</x:v>
      </x:c>
      <x:c r="G22" s="26" t="n">
        <x:f>G20*G21</x:f>
        <x:v>2295</x:v>
      </x:c>
      <x:c r="H22" s="26" t="n">
        <x:f>H20*H21</x:f>
        <x:v>2700</x:v>
      </x:c>
      <x:c r="I22" s="26" t="n">
        <x:f>I20*I21</x:f>
        <x:v>2990</x:v>
      </x:c>
      <x:c r="J22" s="26" t="n">
        <x:f>J20*J21</x:f>
        <x:v>3250</x:v>
      </x:c>
      <x:c r="K22" s="26" t="n">
        <x:f>K20*K21</x:f>
        <x:v>3480</x:v>
      </x:c>
      <x:c r="L22" s="26" t="n">
        <x:f>L20*L21</x:f>
        <x:v>3680</x:v>
      </x:c>
      <x:c r="M22" s="26" t="n">
        <x:f>M20*M21</x:f>
        <x:v>3850</x:v>
      </x:c>
    </x:row>
    <x:row r="23">
      <x:c r="A23" s="16" t="str">
        <x:v>Own-brand mix</x:v>
      </x:c>
      <x:c r="B23" s="16" t="str">
        <x:v>%</x:v>
      </x:c>
      <x:c r="C23" s="16"/>
      <x:c r="D23" s="33" t="n">
        <x:v>0</x:v>
      </x:c>
      <x:c r="E23" s="33" t="n">
        <x:v>0.45</x:v>
      </x:c>
      <x:c r="F23" s="33" t="n">
        <x:v>0.45</x:v>
      </x:c>
      <x:c r="G23" s="33" t="n">
        <x:v>0.46</x:v>
      </x:c>
      <x:c r="H23" s="33" t="n">
        <x:v>0.47</x:v>
      </x:c>
      <x:c r="I23" s="33" t="n">
        <x:v>0.48</x:v>
      </x:c>
      <x:c r="J23" s="33" t="n">
        <x:v>0.49</x:v>
      </x:c>
      <x:c r="K23" s="33" t="n">
        <x:v>0.5</x:v>
      </x:c>
      <x:c r="L23" s="33" t="n">
        <x:v>0.5</x:v>
      </x:c>
      <x:c r="M23" s="33" t="n">
        <x:v>0.5</x:v>
      </x:c>
    </x:row>
    <x:row r="24">
      <x:c r="A24" s="16" t="str">
        <x:v>Own-brand gross margin</x:v>
      </x:c>
      <x:c r="B24" s="16" t="str">
        <x:v>%</x:v>
      </x:c>
      <x:c r="C24" s="16"/>
      <x:c r="D24" s="33" t="n">
        <x:v>0</x:v>
      </x:c>
      <x:c r="E24" s="33" t="n">
        <x:v>0.45</x:v>
      </x:c>
      <x:c r="F24" s="33" t="n">
        <x:v>0.45</x:v>
      </x:c>
      <x:c r="G24" s="33" t="n">
        <x:v>0.44</x:v>
      </x:c>
      <x:c r="H24" s="33" t="n">
        <x:v>0.43</x:v>
      </x:c>
      <x:c r="I24" s="33" t="n">
        <x:v>0.42</x:v>
      </x:c>
      <x:c r="J24" s="33" t="n">
        <x:v>0.41</x:v>
      </x:c>
      <x:c r="K24" s="33" t="n">
        <x:v>0.4</x:v>
      </x:c>
      <x:c r="L24" s="33" t="n">
        <x:v>0.39</x:v>
      </x:c>
      <x:c r="M24" s="33" t="n">
        <x:v>0.38</x:v>
      </x:c>
    </x:row>
    <x:row r="25">
      <x:c r="A25" s="16" t="str">
        <x:v>Partner-supply gross margin</x:v>
      </x:c>
      <x:c r="B25" s="16" t="str">
        <x:v>%</x:v>
      </x:c>
      <x:c r="C25" s="16"/>
      <x:c r="D25" s="33" t="n">
        <x:v>0</x:v>
      </x:c>
      <x:c r="E25" s="33" t="n">
        <x:v>0.22</x:v>
      </x:c>
      <x:c r="F25" s="33" t="n">
        <x:v>0.22</x:v>
      </x:c>
      <x:c r="G25" s="33" t="n">
        <x:v>0.22</x:v>
      </x:c>
      <x:c r="H25" s="33" t="n">
        <x:v>0.21</x:v>
      </x:c>
      <x:c r="I25" s="33" t="n">
        <x:v>0.21</x:v>
      </x:c>
      <x:c r="J25" s="33" t="n">
        <x:v>0.2</x:v>
      </x:c>
      <x:c r="K25" s="33" t="n">
        <x:v>0.2</x:v>
      </x:c>
      <x:c r="L25" s="33" t="n">
        <x:v>0.2</x:v>
      </x:c>
      <x:c r="M25" s="33" t="n">
        <x:v>0.2</x:v>
      </x:c>
    </x:row>
    <x:row r="26">
      <x:c r="A26" s="16" t="str">
        <x:v>Blended contribution margin</x:v>
      </x:c>
      <x:c r="B26" s="16" t="str">
        <x:v>%</x:v>
      </x:c>
      <x:c r="C26" s="16"/>
      <x:c r="D26" s="27" t="n">
        <x:f>D23*D24+(1-D23)*D25</x:f>
        <x:v>0</x:v>
      </x:c>
      <x:c r="E26" s="27" t="n">
        <x:f>E23*E24+(1-E23)*E25</x:f>
        <x:v>0.3235</x:v>
      </x:c>
      <x:c r="F26" s="27" t="n">
        <x:f>F23*F24+(1-F23)*F25</x:f>
        <x:v>0.3235</x:v>
      </x:c>
      <x:c r="G26" s="27" t="n">
        <x:f>G23*G24+(1-G23)*G25</x:f>
        <x:v>0.3212</x:v>
      </x:c>
      <x:c r="H26" s="27" t="n">
        <x:f>H23*H24+(1-H23)*H25</x:f>
        <x:v>0.31339999999999996</x:v>
      </x:c>
      <x:c r="I26" s="27" t="n">
        <x:f>I23*I24+(1-I23)*I25</x:f>
        <x:v>0.31079999999999997</x:v>
      </x:c>
      <x:c r="J26" s="27" t="n">
        <x:f>J23*J24+(1-J23)*J25</x:f>
        <x:v>0.3029</x:v>
      </x:c>
      <x:c r="K26" s="27" t="n">
        <x:f>K23*K24+(1-K23)*K25</x:f>
        <x:v>0.30000000000000004</x:v>
      </x:c>
      <x:c r="L26" s="27" t="n">
        <x:f>L23*L24+(1-L23)*L25</x:f>
        <x:v>0.29500000000000004</x:v>
      </x:c>
      <x:c r="M26" s="27" t="n">
        <x:f>M23*M24+(1-M23)*M25</x:f>
        <x:v>0.29000000000000004</x:v>
      </x:c>
    </x:row>
    <x:row r="27">
      <x:c r="A27" s="16" t="str">
        <x:v>Probability of success</x:v>
      </x:c>
      <x:c r="B27" s="16" t="str">
        <x:v>%</x:v>
      </x:c>
      <x:c r="C27" s="16"/>
      <x:c r="D27" s="33" t="n">
        <x:v>1</x:v>
      </x:c>
      <x:c r="E27" s="33" t="n">
        <x:v>1</x:v>
      </x:c>
      <x:c r="F27" s="33" t="n">
        <x:v>1</x:v>
      </x:c>
      <x:c r="G27" s="33" t="n">
        <x:v>1</x:v>
      </x:c>
      <x:c r="H27" s="33" t="n">
        <x:v>1</x:v>
      </x:c>
      <x:c r="I27" s="33" t="n">
        <x:v>1</x:v>
      </x:c>
      <x:c r="J27" s="33" t="n">
        <x:v>1</x:v>
      </x:c>
      <x:c r="K27" s="33" t="n">
        <x:v>1</x:v>
      </x:c>
      <x:c r="L27" s="33" t="n">
        <x:v>1</x:v>
      </x:c>
      <x:c r="M27" s="33" t="n">
        <x:v>1</x:v>
      </x:c>
    </x:row>
    <x:row r="28">
      <x:c r="A28" s="16" t="str">
        <x:v>Revenue translated to US$</x:v>
      </x:c>
      <x:c r="B28" s="16" t="str">
        <x:v>$m</x:v>
      </x:c>
      <x:c r="C28" s="16"/>
      <x:c r="D28" s="26" t="n">
        <x:f>D22/'Global Assump'!D$4</x:f>
        <x:v>0</x:v>
      </x:c>
      <x:c r="E28" s="26" t="n">
        <x:f>E22/'Global Assump'!E$4</x:f>
        <x:v>10.218181818181819</x:v>
      </x:c>
      <x:c r="F28" s="26" t="n">
        <x:f>F22/'Global Assump'!F$4</x:f>
        <x:v>19.5</x:v>
      </x:c>
      <x:c r="G28" s="26" t="n">
        <x:f>G22/'Global Assump'!G$4</x:f>
        <x:v>24.945652173913043</x:v>
      </x:c>
      <x:c r="H28" s="26" t="n">
        <x:f>H22/'Global Assump'!H$4</x:f>
        <x:v>28.72340425531915</x:v>
      </x:c>
      <x:c r="I28" s="26" t="n">
        <x:f>I22/'Global Assump'!I$4</x:f>
        <x:v>31.145833333333332</x:v>
      </x:c>
      <x:c r="J28" s="26" t="n">
        <x:f>J22/'Global Assump'!J$4</x:f>
        <x:v>33.16326530612245</x:v>
      </x:c>
      <x:c r="K28" s="26" t="n">
        <x:f>K22/'Global Assump'!K$4</x:f>
        <x:v>34.8</x:v>
      </x:c>
      <x:c r="L28" s="26" t="n">
        <x:f>L22/'Global Assump'!L$4</x:f>
        <x:v>36.07843137254902</x:v>
      </x:c>
      <x:c r="M28" s="26" t="n">
        <x:f>M22/'Global Assump'!M$4</x:f>
        <x:v>37.01923076923077</x:v>
      </x:c>
    </x:row>
    <x:row r="29" ht="1" customHeight="1">
      <x:c r="A29" s="16"/>
      <x:c r="B29" s="16"/>
      <x:c r="C29" s="1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</x:row>
    <x:row r="30" ht="1" customHeight="1">
      <x:c r="A30" s="16"/>
      <x:c r="B30" s="16"/>
      <x:c r="C30" s="1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</x:row>
    <x:row r="31" ht="1" customHeight="1">
      <x:c r="A31" s="16"/>
      <x:c r="B31" s="16"/>
      <x:c r="C31" s="1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</x:row>
    <x:row r="32" ht="1" customHeight="1">
      <x:c r="A32" s="16"/>
      <x:c r="B32" s="16"/>
      <x:c r="C32" s="1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</x:row>
    <x:row r="33" ht="1" customHeight="1">
      <x:c r="A33" s="16"/>
      <x:c r="B33" s="16"/>
      <x:c r="C33" s="1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</x:row>
    <x:row r="34" ht="1" customHeight="1">
      <x:c r="A34" s="16"/>
      <x:c r="B34" s="16"/>
      <x:c r="C34" s="1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</x:row>
    <x:row r="35" ht="1" customHeight="1">
      <x:c r="A35" s="16"/>
      <x:c r="B35" s="16"/>
      <x:c r="C35" s="1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</x:row>
    <x:row r="36" ht="17" customHeight="1">
      <x:c r="A36" s="17" t="str">
        <x:v>Revenue &amp; contribution</x:v>
      </x:c>
      <x:c r="B36" s="17"/>
      <x:c r="C36" s="17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</x:row>
    <x:row r="37">
      <x:c r="A37" s="16" t="str">
        <x:v>End-market sales</x:v>
      </x:c>
      <x:c r="B37" s="16" t="str">
        <x:v>$m</x:v>
      </x:c>
      <x:c r="C37" s="16"/>
      <x:c r="D37" s="26" t="n">
        <x:f>D28</x:f>
        <x:v>0</x:v>
      </x:c>
      <x:c r="E37" s="26" t="n">
        <x:f>E28</x:f>
        <x:v>10.218181818181819</x:v>
      </x:c>
      <x:c r="F37" s="26" t="n">
        <x:f>F28</x:f>
        <x:v>19.5</x:v>
      </x:c>
      <x:c r="G37" s="26" t="n">
        <x:f>G28</x:f>
        <x:v>24.945652173913043</x:v>
      </x:c>
      <x:c r="H37" s="26" t="n">
        <x:f>H28</x:f>
        <x:v>28.72340425531915</x:v>
      </x:c>
      <x:c r="I37" s="26" t="n">
        <x:f>I28</x:f>
        <x:v>31.145833333333332</x:v>
      </x:c>
      <x:c r="J37" s="26" t="n">
        <x:f>J28</x:f>
        <x:v>33.16326530612245</x:v>
      </x:c>
      <x:c r="K37" s="26" t="n">
        <x:f>K28</x:f>
        <x:v>34.8</x:v>
      </x:c>
      <x:c r="L37" s="26" t="n">
        <x:f>L28</x:f>
        <x:v>36.07843137254902</x:v>
      </x:c>
      <x:c r="M37" s="26" t="n">
        <x:f>M28</x:f>
        <x:v>37.01923076923077</x:v>
      </x:c>
    </x:row>
    <x:row r="38">
      <x:c r="A38" s="18" t="str">
        <x:v>Zydus reported revenue</x:v>
      </x:c>
      <x:c r="B38" s="18" t="str">
        <x:v>$m</x:v>
      </x:c>
      <x:c r="C38" s="18"/>
      <x:c r="D38" s="29" t="n">
        <x:f>D28</x:f>
        <x:v>0</x:v>
      </x:c>
      <x:c r="E38" s="29" t="n">
        <x:f>E28</x:f>
        <x:v>10.218181818181819</x:v>
      </x:c>
      <x:c r="F38" s="29" t="n">
        <x:f>F28</x:f>
        <x:v>19.5</x:v>
      </x:c>
      <x:c r="G38" s="29" t="n">
        <x:f>G28</x:f>
        <x:v>24.945652173913043</x:v>
      </x:c>
      <x:c r="H38" s="29" t="n">
        <x:f>H28</x:f>
        <x:v>28.72340425531915</x:v>
      </x:c>
      <x:c r="I38" s="29" t="n">
        <x:f>I28</x:f>
        <x:v>31.145833333333332</x:v>
      </x:c>
      <x:c r="J38" s="29" t="n">
        <x:f>J28</x:f>
        <x:v>33.16326530612245</x:v>
      </x:c>
      <x:c r="K38" s="29" t="n">
        <x:f>K28</x:f>
        <x:v>34.8</x:v>
      </x:c>
      <x:c r="L38" s="29" t="n">
        <x:f>L28</x:f>
        <x:v>36.07843137254902</x:v>
      </x:c>
      <x:c r="M38" s="29" t="n">
        <x:f>M28</x:f>
        <x:v>37.01923076923077</x:v>
      </x:c>
    </x:row>
    <x:row r="39">
      <x:c r="A39" s="16" t="str">
        <x:v>Risk-adjusted revenue</x:v>
      </x:c>
      <x:c r="B39" s="16" t="str">
        <x:v>$m</x:v>
      </x:c>
      <x:c r="C39" s="16"/>
      <x:c r="D39" s="26" t="n">
        <x:f>D38*D27</x:f>
        <x:v>0</x:v>
      </x:c>
      <x:c r="E39" s="26" t="n">
        <x:f>E38*E27</x:f>
        <x:v>10.218181818181819</x:v>
      </x:c>
      <x:c r="F39" s="26" t="n">
        <x:f>F38*F27</x:f>
        <x:v>19.5</x:v>
      </x:c>
      <x:c r="G39" s="26" t="n">
        <x:f>G38*G27</x:f>
        <x:v>24.945652173913043</x:v>
      </x:c>
      <x:c r="H39" s="26" t="n">
        <x:f>H38*H27</x:f>
        <x:v>28.72340425531915</x:v>
      </x:c>
      <x:c r="I39" s="26" t="n">
        <x:f>I38*I27</x:f>
        <x:v>31.145833333333332</x:v>
      </x:c>
      <x:c r="J39" s="26" t="n">
        <x:f>J38*J27</x:f>
        <x:v>33.16326530612245</x:v>
      </x:c>
      <x:c r="K39" s="26" t="n">
        <x:f>K38*K27</x:f>
        <x:v>34.8</x:v>
      </x:c>
      <x:c r="L39" s="26" t="n">
        <x:f>L38*L27</x:f>
        <x:v>36.07843137254902</x:v>
      </x:c>
      <x:c r="M39" s="26" t="n">
        <x:f>M38*M27</x:f>
        <x:v>37.01923076923077</x:v>
      </x:c>
    </x:row>
    <x:row r="40">
      <x:c r="A40" s="16" t="str">
        <x:v>Contribution margin</x:v>
      </x:c>
      <x:c r="B40" s="16" t="str">
        <x:v>%</x:v>
      </x:c>
      <x:c r="C40" s="16"/>
      <x:c r="D40" s="27" t="n">
        <x:f>D26</x:f>
        <x:v>0</x:v>
      </x:c>
      <x:c r="E40" s="27" t="n">
        <x:f>E26</x:f>
        <x:v>0.3235</x:v>
      </x:c>
      <x:c r="F40" s="27" t="n">
        <x:f>F26</x:f>
        <x:v>0.3235</x:v>
      </x:c>
      <x:c r="G40" s="27" t="n">
        <x:f>G26</x:f>
        <x:v>0.3212</x:v>
      </x:c>
      <x:c r="H40" s="27" t="n">
        <x:f>H26</x:f>
        <x:v>0.31339999999999996</x:v>
      </x:c>
      <x:c r="I40" s="27" t="n">
        <x:f>I26</x:f>
        <x:v>0.31079999999999997</x:v>
      </x:c>
      <x:c r="J40" s="27" t="n">
        <x:f>J26</x:f>
        <x:v>0.3029</x:v>
      </x:c>
      <x:c r="K40" s="27" t="n">
        <x:f>K26</x:f>
        <x:v>0.30000000000000004</x:v>
      </x:c>
      <x:c r="L40" s="27" t="n">
        <x:f>L26</x:f>
        <x:v>0.29500000000000004</x:v>
      </x:c>
      <x:c r="M40" s="27" t="n">
        <x:f>M26</x:f>
        <x:v>0.29000000000000004</x:v>
      </x:c>
    </x:row>
    <x:row r="41">
      <x:c r="A41" s="18" t="str">
        <x:v>Contribution profit</x:v>
      </x:c>
      <x:c r="B41" s="18" t="str">
        <x:v>$m</x:v>
      </x:c>
      <x:c r="C41" s="18"/>
      <x:c r="D41" s="29" t="n">
        <x:f>D38*D40</x:f>
        <x:v>0</x:v>
      </x:c>
      <x:c r="E41" s="29" t="n">
        <x:f>E38*E40</x:f>
        <x:v>3.3055818181818184</x:v>
      </x:c>
      <x:c r="F41" s="29" t="n">
        <x:f>F38*F40</x:f>
        <x:v>6.30825</x:v>
      </x:c>
      <x:c r="G41" s="29" t="n">
        <x:f>G38*G40</x:f>
        <x:v>8.012543478260868</x:v>
      </x:c>
      <x:c r="H41" s="29" t="n">
        <x:f>H38*H40</x:f>
        <x:v>9.00191489361702</x:v>
      </x:c>
      <x:c r="I41" s="29" t="n">
        <x:f>I38*I40</x:f>
        <x:v>9.680124999999999</x:v>
      </x:c>
      <x:c r="J41" s="29" t="n">
        <x:f>J38*J40</x:f>
        <x:v>10.04515306122449</x:v>
      </x:c>
      <x:c r="K41" s="29" t="n">
        <x:f>K38*K40</x:f>
        <x:v>10.440000000000001</x:v>
      </x:c>
      <x:c r="L41" s="29" t="n">
        <x:f>L38*L40</x:f>
        <x:v>10.643137254901962</x:v>
      </x:c>
      <x:c r="M41" s="29" t="n">
        <x:f>M38*M40</x:f>
        <x:v>10.735576923076923</x:v>
      </x:c>
    </x:row>
    <x:row r="42">
      <x:c r="A42" s="16" t="str">
        <x:v>Risk-adjusted contribution profit</x:v>
      </x:c>
      <x:c r="B42" s="16" t="str">
        <x:v>$m</x:v>
      </x:c>
      <x:c r="C42" s="16"/>
      <x:c r="D42" s="26" t="n">
        <x:f>D39*D40</x:f>
        <x:v>0</x:v>
      </x:c>
      <x:c r="E42" s="26" t="n">
        <x:f>E39*E40</x:f>
        <x:v>3.3055818181818184</x:v>
      </x:c>
      <x:c r="F42" s="26" t="n">
        <x:f>F39*F40</x:f>
        <x:v>6.30825</x:v>
      </x:c>
      <x:c r="G42" s="26" t="n">
        <x:f>G39*G40</x:f>
        <x:v>8.012543478260868</x:v>
      </x:c>
      <x:c r="H42" s="26" t="n">
        <x:f>H39*H40</x:f>
        <x:v>9.00191489361702</x:v>
      </x:c>
      <x:c r="I42" s="26" t="n">
        <x:f>I39*I40</x:f>
        <x:v>9.680124999999999</x:v>
      </x:c>
      <x:c r="J42" s="26" t="n">
        <x:f>J39*J40</x:f>
        <x:v>10.04515306122449</x:v>
      </x:c>
      <x:c r="K42" s="26" t="n">
        <x:f>K39*K40</x:f>
        <x:v>10.440000000000001</x:v>
      </x:c>
      <x:c r="L42" s="26" t="n">
        <x:f>L39*L40</x:f>
        <x:v>10.643137254901962</x:v>
      </x:c>
      <x:c r="M42" s="26" t="n">
        <x:f>M39*M40</x:f>
        <x:v>10.735576923076923</x:v>
      </x:c>
    </x:row>
    <x:row r="43">
      <x:c r="A43" s="16" t="str">
        <x:v>Zydus reported revenue</x:v>
      </x:c>
      <x:c r="B43" s="16" t="str">
        <x:v>INRm</x:v>
      </x:c>
      <x:c r="C43" s="16"/>
      <x:c r="D43" s="26" t="n">
        <x:f>D22</x:f>
        <x:v>0</x:v>
      </x:c>
      <x:c r="E43" s="26" t="n">
        <x:f>E22</x:f>
        <x:v>899.2</x:v>
      </x:c>
      <x:c r="F43" s="26" t="n">
        <x:f>F22</x:f>
        <x:v>1755</x:v>
      </x:c>
      <x:c r="G43" s="26" t="n">
        <x:f>G22</x:f>
        <x:v>2295</x:v>
      </x:c>
      <x:c r="H43" s="26" t="n">
        <x:f>H22</x:f>
        <x:v>2700</x:v>
      </x:c>
      <x:c r="I43" s="26" t="n">
        <x:f>I22</x:f>
        <x:v>2990</x:v>
      </x:c>
      <x:c r="J43" s="26" t="n">
        <x:f>J22</x:f>
        <x:v>3250</x:v>
      </x:c>
      <x:c r="K43" s="26" t="n">
        <x:f>K22</x:f>
        <x:v>3480</x:v>
      </x:c>
      <x:c r="L43" s="26" t="n">
        <x:f>L22</x:f>
        <x:v>3680</x:v>
      </x:c>
      <x:c r="M43" s="26" t="n">
        <x:f>M22</x:f>
        <x:v>3850</x:v>
      </x:c>
    </x:row>
    <x:row r="44">
      <x:c r="A44" s="23" t="str">
        <x:v>Risk-adjusted revenue</x:v>
      </x:c>
      <x:c r="B44" s="23" t="str">
        <x:v>INRm</x:v>
      </x:c>
      <x:c r="C44" s="23"/>
      <x:c r="D44" s="30" t="n">
        <x:f>D43*D27</x:f>
        <x:v>0</x:v>
      </x:c>
      <x:c r="E44" s="30" t="n">
        <x:f>E43*E27</x:f>
        <x:v>899.2</x:v>
      </x:c>
      <x:c r="F44" s="30" t="n">
        <x:f>F43*F27</x:f>
        <x:v>1755</x:v>
      </x:c>
      <x:c r="G44" s="30" t="n">
        <x:f>G43*G27</x:f>
        <x:v>2295</x:v>
      </x:c>
      <x:c r="H44" s="30" t="n">
        <x:f>H43*H27</x:f>
        <x:v>2700</x:v>
      </x:c>
      <x:c r="I44" s="30" t="n">
        <x:f>I43*I27</x:f>
        <x:v>2990</x:v>
      </x:c>
      <x:c r="J44" s="30" t="n">
        <x:f>J43*J27</x:f>
        <x:v>3250</x:v>
      </x:c>
      <x:c r="K44" s="30" t="n">
        <x:f>K43*K27</x:f>
        <x:v>3480</x:v>
      </x:c>
      <x:c r="L44" s="30" t="n">
        <x:f>L43*L27</x:f>
        <x:v>3680</x:v>
      </x:c>
      <x:c r="M44" s="30" t="n">
        <x:f>M43*M27</x:f>
        <x:v>3850</x:v>
      </x:c>
    </x:row>
    <x:row r="45" ht="1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 ht="1" customHeight="1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 ht="1" customHeight="1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 ht="1" customHeight="1"/>
    <x:row r="49" ht="1" customHeight="1"/>
    <x:row r="50" ht="1" customHeight="1"/>
    <x:row r="51" ht="1" customHeight="1"/>
    <x:row r="52" ht="1" customHeight="1"/>
    <x:row r="53" ht="1" customHeight="1"/>
    <x:row r="54" ht="1" customHeight="1"/>
    <x:row r="55" ht="1" customHeight="1"/>
    <x:row r="56" ht="1" customHeight="1"/>
    <x:row r="57" ht="1" customHeight="1"/>
    <x:row r="58" ht="1" customHeight="1"/>
    <x:row r="59" ht="1" customHeight="1"/>
    <x:row r="60" ht="1" customHeight="1"/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1E9AD6"/>
  </x:sheetPr>
  <x:sheetViews>
    <x:sheetView showGridLines="0" workbookViewId="0"/>
  </x:sheetViews>
  <x:sheetFormatPr defaultRowHeight="15"/>
  <x:cols>
    <x:col min="1" max="1" width="22" hidden="0" customWidth="1"/>
    <x:col min="2" max="2" width="35" hidden="0" customWidth="1"/>
    <x:col min="3" max="3" width="60" hidden="0" customWidth="1"/>
  </x:cols>
  <x:sheetData>
    <x:row r="1">
      <x:c r="A1" s="6" t="str">
        <x:v>References</x:v>
      </x:c>
      <x:c r="B1" s="6"/>
      <x:c r="C1" s="6"/>
      <x:c r="D1"/>
    </x:row>
    <x:row r="2">
      <x:c r="A2" s="4"/>
      <x:c r="B2" s="4"/>
      <x:c r="C2" s="4"/>
      <x:c r="D2"/>
    </x:row>
    <x:row r="3">
      <x:c r="A3" s="4"/>
      <x:c r="B3" s="4"/>
      <x:c r="C3" s="4"/>
      <x:c r="D3"/>
    </x:row>
    <x:row r="4">
      <x:c r="A4" s="7" t="str">
        <x:v>Asset</x:v>
      </x:c>
      <x:c r="B4" s="7" t="str">
        <x:v>Document</x:v>
      </x:c>
      <x:c r="C4" s="7" t="str">
        <x:v>Link</x:v>
      </x:c>
      <x:c r="D4"/>
    </x:row>
    <x:row r="5">
      <x:c r="A5" s="16" t="str">
        <x:v>All assets</x:v>
      </x:c>
      <x:c r="B5" s="16" t="str">
        <x:v>Zydus Detailed Note, 6-Sep-2026</x:v>
      </x:c>
      <x:c r="C5" s="16" t="str">
        <x:v>User-provided PDF</x:v>
      </x:c>
      <x:c r="D5"/>
    </x:row>
    <x:row r="6">
      <x:c r="A6" s="16" t="str">
        <x:v>Manager scope</x:v>
      </x:c>
      <x:c r="B6" s="16" t="str">
        <x:v>Manager message</x:v>
      </x:c>
      <x:c r="C6" s="16" t="str">
        <x:v>User-provided screenshot</x:v>
      </x:c>
      <x:c r="D6"/>
    </x:row>
    <x:row r="7">
      <x:c r="A7" s="16" t="str">
        <x:v>RK Pharma</x:v>
      </x:c>
      <x:c r="B7" s="16" t="str">
        <x:v>Zydus/RK Pharma licensing release, 26-Nov-2025</x:v>
      </x:c>
      <x:c r="C7" s="16" t="str">
        <x:v>https://mail.zyduslife.com/investor/admin/uploads/21/83/Zydus-and-RK-Pharma-enter-into-an-exclusive-licensing-and-commercialization-agreement-for-a-novel-505%28b%29%282%29-product-of-supportive--oncology-treatment-for-the-USA-market.pdf</x:v>
      </x:c>
      <x:c r="D7"/>
    </x:row>
    <x:row r="8">
      <x:c r="A8" s="16" t="str">
        <x:v>BEIZRAY</x:v>
      </x:c>
      <x:c r="B8" s="16" t="str">
        <x:v>Zydus/Beihai licensing release</x:v>
      </x:c>
      <x:c r="C8" s="16" t="str">
        <x:v>https://zyduslife.com/investor/admin/uploads/21/83/Zydus-and-Beihai-Biotech-sign-an-exclusive-licensing--supply-and-commercialization-agreement-for-BEIZRAY-%28Albumin-Solubilized-Docetaxel-Injection%29--a-505%28B%29%282%29-product-for-the-US-market.pdf</x:v>
      </x:c>
      <x:c r="D8"/>
    </x:row>
    <x:row r="9">
      <x:c r="A9" s="16" t="str">
        <x:v>FYB206</x:v>
      </x:c>
      <x:c r="B9" s="16" t="str">
        <x:v>Formycon/Zydus partnership release</x:v>
      </x:c>
      <x:c r="C9" s="16" t="str">
        <x:v>https://www.formycon.com/en/blog/press-release/formycon-and-zydus-partner-for-exclusive-licensing-and-supply-agreement-of-fyb206-a-biosimilar-to-keytruda-pembrolizumab-in-the-u-s-and-canada/</x:v>
      </x:c>
      <x:c r="D9"/>
    </x:row>
    <x:row r="10">
      <x:c r="A10" s="16" t="str">
        <x:v>Zylidac/BOT-BAL</x:v>
      </x:c>
      <x:c r="B10" s="16" t="str">
        <x:v>Agenus/Zydus transaction release and SEC disclosures</x:v>
      </x:c>
      <x:c r="C10" s="16" t="str">
        <x:v>https://investor.agenusbio.com/news/news-details/2026/Agenus-Announces-Closing-of-141M-Strategic-Collaboration-with-Zydus-Lifesciences-to-Advance-BOTBAL-and-Strengthen-U-S--Manufacturing-Readiness/default.aspx</x:v>
      </x:c>
      <x:c r="D10"/>
    </x:row>
    <x:row r="11">
      <x:c r="A11" s="16" t="str">
        <x:v>Saroglitazar</x:v>
      </x:c>
      <x:c r="B11" s="16" t="str">
        <x:v>Zydus Therapeutics EPICS-III release</x:v>
      </x:c>
      <x:c r="C11" s="16" t="str">
        <x:v>https://zydustx.com/news-article/zydus-therapeutics-reports-positive-topline-results-from-epics-iii-phase-2b-3-trial-of-saroglitazar-magnesium-in-patients-with-primary-biliary-cholangitis/</x:v>
      </x:c>
      <x:c r="D11"/>
    </x:row>
    <x:row r="12">
      <x:c r="A12" s="16" t="str">
        <x:v>Usnoflast</x:v>
      </x:c>
      <x:c r="B12" s="16" t="str">
        <x:v>Zydus Fast Track release</x:v>
      </x:c>
      <x:c r="C12" s="16" t="str">
        <x:v>https://zyduslife.com/investor/admin/uploads/21/83/Zydus-receives-USFDA--Fast-Track-Designation--for-Usnoflast--a-novel-oral-NLRP3-inhibitor--for-the-treatment-of-Amyotrophic-Lateral-Sclerosis-%28ALS%29.pdf</x:v>
      </x:c>
      <x:c r="D12"/>
    </x:row>
    <x:row r="13">
      <x:c r="A13" s="16" t="str">
        <x:v>RK identity check</x:v>
      </x:c>
      <x:c r="B13" s="16" t="str">
        <x:v>RK Pharma product / patent review</x:v>
      </x:c>
      <x:c r="C13" s="16" t="str">
        <x:v>https://rkpharmainc.com/our-products.html</x:v>
      </x:c>
      <x:c r="D13"/>
    </x:row>
  </x:sheetData>
  <x:pageMargins left="0.7" right="0.7" top="0.75" bottom="0.75" header="0.3" footer="0.3"/>
</x:worksheet>
</file>