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9e3204953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Tracker" sheetId="1" r:id="R42598cd310fd424b"/>
    <x:sheet xmlns:r="http://schemas.openxmlformats.org/officeDocument/2006/relationships" name="Capex &amp; Returns" sheetId="2" r:id="R8d9e9c3b4d1e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%;[Red](0.0%);-"/>
    <x:numFmt numFmtId="202" formatCode="0.00;[Red](0.00);-"/>
    <x:numFmt numFmtId="203" formatCode="0.0x;[Red](0.0x);-"/>
    <x:numFmt numFmtId="204" formatCode="#,##0.0;[Red](#,##0.0);-"/>
    <x:numFmt numFmtId="205" formatCode="@"/>
  </x:numFmts>
  <x:fonts count="18">
    <x:font>
      <x:sz val="11"/>
      <x:name val="Carlito"/>
    </x:font>
    <x:font>
      <x:b/>
      <x:sz val="15"/>
      <x:color rgb="FFFFFFFF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name val="Carlito"/>
    </x:font>
    <x:font>
      <x:i/>
      <x:sz val="8"/>
      <x:color rgb="FF666666"/>
      <x:name val="Carlito"/>
    </x:font>
    <x:font>
      <x:sz val="9"/>
      <x:color rgb="FF0000FF"/>
      <x:name val="Carlito"/>
    </x:font>
    <x:font>
      <x:sz val="9"/>
      <x:color rgb="FF000000"/>
      <x:name val="Carlito"/>
    </x:font>
    <x:font>
      <x:sz val="8"/>
      <x:color rgb="FF0000FF"/>
      <x:name val="Carlito"/>
    </x:font>
    <x:font>
      <x:sz val="8"/>
      <x:color rgb="FF666666"/>
      <x:name val="Carlito"/>
    </x:font>
    <x:font>
      <x:sz val="8"/>
      <x:name val="Carlito"/>
    </x:font>
    <x:font>
      <x:sz val="8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B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8" fillId="6" borderId="0" xfId="0" applyNumberFormat="1" applyFont="1" applyFill="1" applyBorder="1"/>
    <x:xf numFmtId="200" fontId="8" fillId="6" borderId="1" xfId="0" applyNumberFormat="1" applyFont="1" applyFill="1" applyBorder="1"/>
    <x:xf numFmtId="202" fontId="8" fillId="6" borderId="0" xfId="0" applyNumberFormat="1" applyFont="1" applyFill="1" applyBorder="1"/>
    <x:xf numFmtId="202" fontId="8" fillId="6" borderId="1" xfId="0" applyNumberFormat="1" applyFont="1" applyFill="1" applyBorder="1"/>
    <x:xf numFmtId="201" fontId="8" fillId="6" borderId="0" xfId="0" applyNumberFormat="1" applyFont="1" applyFill="1" applyBorder="1"/>
    <x:xf numFmtId="201" fontId="8" fillId="6" borderId="1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1" fontId="9" fillId="5" borderId="0" xfId="0" applyNumberFormat="1" applyFont="1" applyFill="1" applyBorder="1"/>
    <x:xf numFmtId="0" fontId="5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201" fontId="9" fillId="5" borderId="1" xfId="0" applyNumberFormat="1" applyFont="1" applyFill="1" applyBorder="1"/>
    <x:xf numFmtId="200" fontId="9" fillId="5" borderId="0" xfId="0" applyNumberFormat="1" applyFont="1" applyFill="1" applyBorder="1"/>
    <x:xf numFmtId="200" fontId="9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203" fontId="9" fillId="0" borderId="0" xfId="0" applyNumberFormat="1" applyFont="1" applyFill="1" applyBorder="1"/>
    <x:xf numFmtId="203" fontId="9" fillId="0" borderId="1" xfId="0" applyNumberFormat="1" applyFont="1" applyFill="1" applyBorder="1"/>
    <x:xf numFmtId="203" fontId="9" fillId="5" borderId="0" xfId="0" applyNumberFormat="1" applyFont="1" applyFill="1" applyBorder="1"/>
    <x:xf numFmtId="203" fontId="9" fillId="5" borderId="1" xfId="0" applyNumberFormat="1" applyFont="1" applyFill="1" applyBorder="1"/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1" fontId="10" fillId="0" borderId="1" xfId="0" applyNumberFormat="1" applyFont="1" applyFill="1" applyBorder="1" applyAlignment="1">
      <x:alignment wrapText="1"/>
    </x:xf>
    <x:xf numFmtId="204" fontId="10" fillId="0" borderId="0" xfId="0" applyNumberFormat="1" applyFont="1" applyFill="1" applyBorder="1" applyAlignment="1">
      <x:alignment wrapText="1"/>
    </x:xf>
    <x:xf numFmtId="204" fontId="10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wrapText="1"/>
    </x:xf>
    <x:xf numFmtId="200" fontId="13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200" fontId="14" fillId="0" borderId="0" xfId="0" applyNumberFormat="1" applyFont="1" applyFill="1" applyBorder="1"/>
    <x:xf numFmtId="200" fontId="14" fillId="0" borderId="1" xfId="0" applyNumberFormat="1" applyFont="1" applyFill="1" applyBorder="1"/>
    <x:xf numFmtId="201" fontId="14" fillId="0" borderId="0" xfId="0" applyNumberFormat="1" applyFont="1" applyFill="1" applyBorder="1"/>
    <x:xf numFmtId="201" fontId="14" fillId="0" borderId="1" xfId="0" applyNumberFormat="1" applyFont="1" applyFill="1" applyBorder="1"/>
    <x:xf numFmtId="204" fontId="14" fillId="0" borderId="0" xfId="0" applyNumberFormat="1" applyFont="1" applyFill="1" applyBorder="1"/>
    <x:xf numFmtId="204" fontId="15" fillId="0" borderId="0" xfId="0" applyNumberFormat="1" applyFont="1" applyFill="1" applyBorder="1"/>
    <x:xf numFmtId="204" fontId="14" fillId="0" borderId="1" xfId="0" applyNumberFormat="1" applyFont="1" applyFill="1" applyBorder="1"/>
    <x:xf numFmtId="204" fontId="15" fillId="0" borderId="1" xfId="0" applyNumberFormat="1" applyFont="1" applyFill="1" applyBorder="1"/>
    <x:xf numFmtId="201" fontId="15" fillId="0" borderId="0" xfId="0" applyNumberFormat="1" applyFont="1" applyFill="1" applyBorder="1"/>
    <x:xf numFmtId="201" fontId="15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  <x:xf numFmtId="204" fontId="14" fillId="0" borderId="0" xfId="0" applyNumberFormat="1" applyFont="1" applyFill="1" applyBorder="1" applyAlignment="1">
      <x:alignment wrapText="1"/>
    </x:xf>
    <x:xf numFmtId="204" fontId="15" fillId="0" borderId="0" xfId="0" applyNumberFormat="1" applyFont="1" applyFill="1" applyBorder="1" applyAlignment="1">
      <x:alignment wrapText="1"/>
    </x:xf>
    <x:xf numFmtId="201" fontId="15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14" fillId="0" borderId="1" xfId="0" applyNumberFormat="1" applyFont="1" applyFill="1" applyBorder="1" applyAlignment="1">
      <x:alignment wrapText="1"/>
    </x:xf>
    <x:xf numFmtId="201" fontId="14" fillId="0" borderId="1" xfId="0" applyNumberFormat="1" applyFont="1" applyFill="1" applyBorder="1" applyAlignment="1">
      <x:alignment wrapText="1"/>
    </x:xf>
    <x:xf numFmtId="204" fontId="14" fillId="0" borderId="1" xfId="0" applyNumberFormat="1" applyFont="1" applyFill="1" applyBorder="1" applyAlignment="1">
      <x:alignment wrapText="1"/>
    </x:xf>
    <x:xf numFmtId="204" fontId="15" fillId="0" borderId="1" xfId="0" applyNumberFormat="1" applyFont="1" applyFill="1" applyBorder="1" applyAlignment="1">
      <x:alignment wrapText="1"/>
    </x:xf>
    <x:xf numFmtId="201" fontId="15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200" fontId="15" fillId="0" borderId="0" xfId="0" applyNumberFormat="1" applyFont="1" applyFill="1" applyBorder="1"/>
    <x:xf numFmtId="200" fontId="15" fillId="0" borderId="1" xfId="0" applyNumberFormat="1" applyFont="1" applyFill="1" applyBorder="1"/>
    <x:xf numFmtId="205" fontId="15" fillId="0" borderId="0" xfId="0" applyNumberFormat="1" applyFont="1" applyFill="1" applyBorder="1"/>
    <x:xf numFmtId="205" fontId="15" fillId="0" borderId="1" xfId="0" applyNumberFormat="1" applyFont="1" applyFill="1" applyBorder="1"/>
    <x:xf numFmtId="200" fontId="15" fillId="0" borderId="0" xfId="0" applyNumberFormat="1" applyFont="1" applyFill="1" applyBorder="1" applyAlignment="1">
      <x:alignment wrapText="1"/>
    </x:xf>
    <x:xf numFmtId="205" fontId="15" fillId="0" borderId="0" xfId="0" applyNumberFormat="1" applyFont="1" applyFill="1" applyBorder="1" applyAlignment="1">
      <x:alignment wrapText="1"/>
    </x:xf>
    <x:xf numFmtId="200" fontId="15" fillId="0" borderId="1" xfId="0" applyNumberFormat="1" applyFont="1" applyFill="1" applyBorder="1" applyAlignment="1">
      <x:alignment wrapText="1"/>
    </x:xf>
    <x:xf numFmtId="205" fontId="15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1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15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5" fontId="1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5" fontId="15" fillId="6" borderId="1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wrapText="1"/>
    </x:xf>
    <x:xf numFmtId="205" fontId="15" fillId="3" borderId="0" xfId="0" applyNumberFormat="1" applyFont="1" applyFill="1" applyBorder="1" applyAlignment="1">
      <x:alignment wrapText="1"/>
    </x:xf>
    <x:xf numFmtId="205" fontId="15" fillId="3" borderId="1" xfId="0" applyNumberFormat="1" applyFont="1" applyFill="1" applyBorder="1" applyAlignment="1">
      <x:alignment wrapText="1"/>
    </x:xf>
    <x:xf numFmtId="203" fontId="8" fillId="5" borderId="0" xfId="0" applyNumberFormat="1" applyFont="1" applyFill="1" applyBorder="1"/>
    <x:xf numFmtId="203" fontId="8" fillId="5" borderId="1" xfId="0" applyNumberFormat="1" applyFont="1" applyFill="1" applyBorder="1"/>
    <x:xf numFmtId="0" fontId="16" fillId="5" borderId="0" xfId="0" applyNumberFormat="1" applyFont="1" applyFill="1" applyBorder="1"/>
    <x:xf numFmtId="0" fontId="16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201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201" fontId="9" fillId="5" borderId="1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202" fontId="8" fillId="6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0" fontId="16" fillId="5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6" fillId="5" borderId="0" xfId="0" applyNumberFormat="1" applyFont="1" applyFill="1" applyBorder="1" applyAlignment="1">
      <x:alignment vertical="center" wrapText="0"/>
    </x:xf>
    <x:xf numFmtId="200" fontId="9" fillId="0" borderId="0" xfId="0" applyNumberFormat="1" applyFont="1" applyFill="1" applyBorder="1" applyAlignment="1">
      <x:alignment vertical="center" wrapText="0"/>
    </x:xf>
    <x:xf numFmtId="201" fontId="9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200" fontId="8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8" fillId="6" borderId="0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 wrapText="0"/>
    </x:xf>
    <x:xf numFmtId="201" fontId="9" fillId="5" borderId="0" xfId="0" applyNumberFormat="1" applyFont="1" applyFill="1" applyBorder="1" applyAlignment="1">
      <x:alignment vertical="center" wrapText="0"/>
    </x:xf>
    <x:xf numFmtId="200" fontId="9" fillId="5" borderId="0" xfId="0" applyNumberFormat="1" applyFont="1" applyFill="1" applyBorder="1" applyAlignment="1">
      <x:alignment vertical="center" wrapText="0"/>
    </x:xf>
    <x:xf numFmtId="202" fontId="8" fillId="0" borderId="0" xfId="0" applyNumberFormat="1" applyFont="1" applyFill="1" applyBorder="1" applyAlignment="1">
      <x:alignment vertical="center" wrapText="0"/>
    </x:xf>
    <x:xf numFmtId="202" fontId="8" fillId="6" borderId="0" xfId="0" applyNumberFormat="1" applyFont="1" applyFill="1" applyBorder="1" applyAlignment="1">
      <x:alignment vertical="center" wrapText="0"/>
    </x:xf>
    <x:xf numFmtId="201" fontId="8" fillId="0" borderId="0" xfId="0" applyNumberFormat="1" applyFont="1" applyFill="1" applyBorder="1" applyAlignment="1">
      <x:alignment vertical="center" wrapText="0"/>
    </x:xf>
    <x:xf numFmtId="201" fontId="8" fillId="6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0" fontId="8" fillId="6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16" fillId="5" borderId="0" xfId="0" applyNumberFormat="1" applyFont="1" applyFill="1" applyBorder="1" applyAlignment="1">
      <x:alignment vertical="center" wrapText="0"/>
    </x:xf>
    <x:xf numFmtId="0" fontId="14" fillId="6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2" fillId="3" borderId="1" xfId="0" applyNumberFormat="1" applyFont="1" applyFill="1" applyBorder="1" applyAlignment="1">
      <x:alignment horizontal="left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6" fillId="5" borderId="1" xfId="0" applyNumberFormat="1" applyFont="1" applyFill="1" applyBorder="1" applyAlignment="1">
      <x:alignment vertical="center" wrapText="0"/>
    </x:xf>
    <x:xf numFmtId="200" fontId="9" fillId="0" borderId="1" xfId="0" applyNumberFormat="1" applyFont="1" applyFill="1" applyBorder="1" applyAlignment="1">
      <x:alignment vertical="center" wrapText="0"/>
    </x:xf>
    <x:xf numFmtId="201" fontId="9" fillId="0" borderId="1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 wrapText="0"/>
    </x:xf>
    <x:xf numFmtId="200" fontId="8" fillId="0" borderId="1" xfId="0" applyNumberFormat="1" applyFont="1" applyFill="1" applyBorder="1" applyAlignment="1">
      <x:alignment vertical="center" wrapText="0"/>
    </x:xf>
    <x:xf numFmtId="0" fontId="9" fillId="0" borderId="1" xfId="0" applyNumberFormat="1" applyFont="1" applyFill="1" applyBorder="1" applyAlignment="1">
      <x:alignment vertical="center" wrapText="0"/>
    </x:xf>
    <x:xf numFmtId="0" fontId="5" fillId="3" borderId="1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vertical="center" wrapText="0"/>
    </x:xf>
    <x:xf numFmtId="200" fontId="8" fillId="6" borderId="1" xfId="0" applyNumberFormat="1" applyFont="1" applyFill="1" applyBorder="1" applyAlignment="1">
      <x:alignment vertical="center" wrapText="0"/>
    </x:xf>
    <x:xf numFmtId="0" fontId="5" fillId="5" borderId="1" xfId="0" applyNumberFormat="1" applyFont="1" applyFill="1" applyBorder="1" applyAlignment="1">
      <x:alignment vertical="center" wrapText="0"/>
    </x:xf>
    <x:xf numFmtId="0" fontId="7" fillId="5" borderId="1" xfId="0" applyNumberFormat="1" applyFont="1" applyFill="1" applyBorder="1" applyAlignment="1">
      <x:alignment vertical="center" wrapText="0"/>
    </x:xf>
    <x:xf numFmtId="201" fontId="9" fillId="5" borderId="1" xfId="0" applyNumberFormat="1" applyFont="1" applyFill="1" applyBorder="1" applyAlignment="1">
      <x:alignment vertical="center" wrapText="0"/>
    </x:xf>
    <x:xf numFmtId="200" fontId="9" fillId="5" borderId="1" xfId="0" applyNumberFormat="1" applyFont="1" applyFill="1" applyBorder="1" applyAlignment="1">
      <x:alignment vertical="center" wrapText="0"/>
    </x:xf>
    <x:xf numFmtId="202" fontId="8" fillId="0" borderId="1" xfId="0" applyNumberFormat="1" applyFont="1" applyFill="1" applyBorder="1" applyAlignment="1">
      <x:alignment vertical="center" wrapText="0"/>
    </x:xf>
    <x:xf numFmtId="202" fontId="8" fillId="6" borderId="1" xfId="0" applyNumberFormat="1" applyFont="1" applyFill="1" applyBorder="1" applyAlignment="1">
      <x:alignment vertical="center" wrapText="0"/>
    </x:xf>
    <x:xf numFmtId="201" fontId="8" fillId="0" borderId="1" xfId="0" applyNumberFormat="1" applyFont="1" applyFill="1" applyBorder="1" applyAlignment="1">
      <x:alignment vertical="center" wrapText="0"/>
    </x:xf>
    <x:xf numFmtId="201" fontId="8" fillId="6" borderId="1" xfId="0" applyNumberFormat="1" applyFont="1" applyFill="1" applyBorder="1" applyAlignment="1">
      <x:alignment vertical="center" wrapText="0"/>
    </x:xf>
    <x:xf numFmtId="0" fontId="10" fillId="0" borderId="1" xfId="0" applyNumberFormat="1" applyFont="1" applyFill="1" applyBorder="1" applyAlignment="1">
      <x:alignment vertical="center" wrapText="0"/>
    </x:xf>
    <x:xf numFmtId="0" fontId="8" fillId="6" borderId="1" xfId="0" applyNumberFormat="1" applyFont="1" applyFill="1" applyBorder="1" applyAlignment="1">
      <x:alignment vertical="center" wrapText="0"/>
    </x:xf>
    <x:xf numFmtId="0" fontId="8" fillId="0" borderId="1" xfId="0" applyNumberFormat="1" applyFont="1" applyFill="1" applyBorder="1" applyAlignment="1">
      <x:alignment vertical="center" wrapText="0"/>
    </x:xf>
    <x:xf numFmtId="0" fontId="16" fillId="5" borderId="1" xfId="0" applyNumberFormat="1" applyFont="1" applyFill="1" applyBorder="1" applyAlignment="1">
      <x:alignment vertical="center" wrapText="0"/>
    </x:xf>
    <x:xf numFmtId="0" fontId="14" fillId="6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8" fillId="6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1" fontId="8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3" fontId="9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204" fontId="10" fillId="0" borderId="0" xfId="0" applyNumberFormat="1" applyFont="1" applyFill="1" applyBorder="1" applyAlignment="1">
      <x:alignment vertical="center" wrapText="1"/>
    </x:xf>
    <x:xf numFmtId="204" fontId="14" fillId="0" borderId="0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204" fontId="15" fillId="0" borderId="0" xfId="0" applyNumberFormat="1" applyFont="1" applyFill="1" applyBorder="1" applyAlignment="1">
      <x:alignment vertical="center" wrapText="1"/>
    </x:xf>
    <x:xf numFmtId="201" fontId="15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 wrapText="1"/>
    </x:xf>
    <x:xf numFmtId="200" fontId="15" fillId="3" borderId="0" xfId="0" applyNumberFormat="1" applyFont="1" applyFill="1" applyBorder="1" applyAlignment="1">
      <x:alignment vertical="center" wrapText="1"/>
    </x:xf>
    <x:xf numFmtId="205" fontId="15" fillId="3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203" fontId="9" fillId="5" borderId="1" xfId="0" applyNumberFormat="1" applyFont="1" applyFill="1" applyBorder="1" applyAlignment="1">
      <x:alignment vertical="center"/>
    </x:xf>
    <x:xf numFmtId="203" fontId="8" fillId="5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14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1" fontId="14" fillId="0" borderId="1" xfId="0" applyNumberFormat="1" applyFont="1" applyFill="1" applyBorder="1" applyAlignment="1">
      <x:alignment vertical="center" wrapText="1"/>
    </x:xf>
    <x:xf numFmtId="204" fontId="10" fillId="0" borderId="1" xfId="0" applyNumberFormat="1" applyFont="1" applyFill="1" applyBorder="1" applyAlignment="1">
      <x:alignment vertical="center" wrapText="1"/>
    </x:xf>
    <x:xf numFmtId="204" fontId="14" fillId="0" borderId="1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204" fontId="15" fillId="0" borderId="1" xfId="0" applyNumberFormat="1" applyFont="1" applyFill="1" applyBorder="1" applyAlignment="1">
      <x:alignment vertical="center" wrapText="1"/>
    </x:xf>
    <x:xf numFmtId="201" fontId="15" fillId="0" borderId="1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200" fontId="15" fillId="0" borderId="1" xfId="0" applyNumberFormat="1" applyFont="1" applyFill="1" applyBorder="1" applyAlignment="1">
      <x:alignment vertical="center" wrapText="1"/>
    </x:xf>
    <x:xf numFmtId="200" fontId="15" fillId="3" borderId="1" xfId="0" applyNumberFormat="1" applyFont="1" applyFill="1" applyBorder="1" applyAlignment="1">
      <x:alignment vertical="center" wrapText="1"/>
    </x:xf>
    <x:xf numFmtId="205" fontId="15" fillId="3" borderId="1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0"/>
    </x:xf>
    <x:xf numFmtId="203" fontId="8" fillId="5" borderId="0" xfId="0" applyNumberFormat="1" applyFont="1" applyFill="1" applyBorder="1" applyAlignment="1">
      <x:alignment vertical="center" wrapText="0"/>
    </x:xf>
    <x:xf numFmtId="203" fontId="8" fillId="0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 wrapText="0"/>
    </x:xf>
    <x:xf numFmtId="0" fontId="12" fillId="0" borderId="0" xfId="0" applyNumberFormat="1" applyFont="1" applyFill="1" applyBorder="1" applyAlignment="1">
      <x:alignment vertical="center" wrapText="0"/>
    </x:xf>
    <x:xf numFmtId="200" fontId="10" fillId="0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 applyAlignment="1">
      <x:alignment vertical="center" wrapText="0"/>
    </x:xf>
    <x:xf numFmtId="200" fontId="14" fillId="0" borderId="0" xfId="0" applyNumberFormat="1" applyFont="1" applyFill="1" applyBorder="1" applyAlignment="1">
      <x:alignment vertical="center" wrapText="0"/>
    </x:xf>
    <x:xf numFmtId="201" fontId="10" fillId="0" borderId="0" xfId="0" applyNumberFormat="1" applyFont="1" applyFill="1" applyBorder="1" applyAlignment="1">
      <x:alignment vertical="center" wrapText="0"/>
    </x:xf>
    <x:xf numFmtId="201" fontId="14" fillId="0" borderId="0" xfId="0" applyNumberFormat="1" applyFont="1" applyFill="1" applyBorder="1" applyAlignment="1">
      <x:alignment vertical="center" wrapText="0"/>
    </x:xf>
    <x:xf numFmtId="204" fontId="10" fillId="0" borderId="0" xfId="0" applyNumberFormat="1" applyFont="1" applyFill="1" applyBorder="1" applyAlignment="1">
      <x:alignment vertical="center" wrapText="0"/>
    </x:xf>
    <x:xf numFmtId="204" fontId="14" fillId="0" borderId="0" xfId="0" applyNumberFormat="1" applyFont="1" applyFill="1" applyBorder="1" applyAlignment="1">
      <x:alignment vertical="center" wrapText="0"/>
    </x:xf>
    <x:xf numFmtId="200" fontId="13" fillId="0" borderId="0" xfId="0" applyNumberFormat="1" applyFont="1" applyFill="1" applyBorder="1" applyAlignment="1">
      <x:alignment vertical="center" wrapText="0"/>
    </x:xf>
    <x:xf numFmtId="204" fontId="15" fillId="0" borderId="0" xfId="0" applyNumberFormat="1" applyFont="1" applyFill="1" applyBorder="1" applyAlignment="1">
      <x:alignment vertical="center" wrapText="0"/>
    </x:xf>
    <x:xf numFmtId="201" fontId="15" fillId="0" borderId="0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 applyAlignment="1">
      <x:alignment vertical="center" wrapText="0"/>
    </x:xf>
    <x:xf numFmtId="0" fontId="14" fillId="3" borderId="0" xfId="0" applyNumberFormat="1" applyFont="1" applyFill="1" applyBorder="1" applyAlignment="1">
      <x:alignment vertical="center" wrapText="0"/>
    </x:xf>
    <x:xf numFmtId="200" fontId="15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200" fontId="15" fillId="3" borderId="0" xfId="0" applyNumberFormat="1" applyFont="1" applyFill="1" applyBorder="1" applyAlignment="1">
      <x:alignment vertical="center" wrapText="0"/>
    </x:xf>
    <x:xf numFmtId="205" fontId="15" fillId="3" borderId="0" xfId="0" applyNumberFormat="1" applyFont="1" applyFill="1" applyBorder="1" applyAlignment="1">
      <x:alignment vertical="center" wrapText="0"/>
    </x:xf>
    <x:xf numFmtId="0" fontId="14" fillId="7" borderId="0" xfId="0" applyNumberFormat="1" applyFont="1" applyFill="1" applyBorder="1" applyAlignment="1">
      <x:alignment vertical="center" wrapText="0"/>
    </x:xf>
    <x:xf numFmtId="203" fontId="9" fillId="5" borderId="1" xfId="0" applyNumberFormat="1" applyFont="1" applyFill="1" applyBorder="1" applyAlignment="1">
      <x:alignment vertical="center" wrapText="0"/>
    </x:xf>
    <x:xf numFmtId="203" fontId="8" fillId="5" borderId="1" xfId="0" applyNumberFormat="1" applyFont="1" applyFill="1" applyBorder="1" applyAlignment="1">
      <x:alignment vertical="center" wrapText="0"/>
    </x:xf>
    <x:xf numFmtId="203" fontId="8" fillId="0" borderId="1" xfId="0" applyNumberFormat="1" applyFont="1" applyFill="1" applyBorder="1" applyAlignment="1">
      <x:alignment vertical="center" wrapText="0"/>
    </x:xf>
    <x:xf numFmtId="0" fontId="11" fillId="0" borderId="1" xfId="0" applyNumberFormat="1" applyFont="1" applyFill="1" applyBorder="1" applyAlignment="1">
      <x:alignment vertical="center" wrapText="0"/>
    </x:xf>
    <x:xf numFmtId="0" fontId="12" fillId="0" borderId="1" xfId="0" applyNumberFormat="1" applyFont="1" applyFill="1" applyBorder="1" applyAlignment="1">
      <x:alignment vertical="center" wrapText="0"/>
    </x:xf>
    <x:xf numFmtId="200" fontId="10" fillId="0" borderId="1" xfId="0" applyNumberFormat="1" applyFont="1" applyFill="1" applyBorder="1" applyAlignment="1">
      <x:alignment vertical="center" wrapText="0"/>
    </x:xf>
    <x:xf numFmtId="0" fontId="0" fillId="5" borderId="1" xfId="0" applyNumberFormat="1" applyFont="1" applyFill="1" applyBorder="1" applyAlignment="1">
      <x:alignment vertical="center" wrapText="0"/>
    </x:xf>
    <x:xf numFmtId="200" fontId="14" fillId="0" borderId="1" xfId="0" applyNumberFormat="1" applyFont="1" applyFill="1" applyBorder="1" applyAlignment="1">
      <x:alignment vertical="center" wrapText="0"/>
    </x:xf>
    <x:xf numFmtId="201" fontId="10" fillId="0" borderId="1" xfId="0" applyNumberFormat="1" applyFont="1" applyFill="1" applyBorder="1" applyAlignment="1">
      <x:alignment vertical="center" wrapText="0"/>
    </x:xf>
    <x:xf numFmtId="201" fontId="14" fillId="0" borderId="1" xfId="0" applyNumberFormat="1" applyFont="1" applyFill="1" applyBorder="1" applyAlignment="1">
      <x:alignment vertical="center" wrapText="0"/>
    </x:xf>
    <x:xf numFmtId="204" fontId="10" fillId="0" borderId="1" xfId="0" applyNumberFormat="1" applyFont="1" applyFill="1" applyBorder="1" applyAlignment="1">
      <x:alignment vertical="center" wrapText="0"/>
    </x:xf>
    <x:xf numFmtId="204" fontId="14" fillId="0" borderId="1" xfId="0" applyNumberFormat="1" applyFont="1" applyFill="1" applyBorder="1" applyAlignment="1">
      <x:alignment vertical="center" wrapText="0"/>
    </x:xf>
    <x:xf numFmtId="200" fontId="13" fillId="0" borderId="1" xfId="0" applyNumberFormat="1" applyFont="1" applyFill="1" applyBorder="1" applyAlignment="1">
      <x:alignment vertical="center" wrapText="0"/>
    </x:xf>
    <x:xf numFmtId="204" fontId="15" fillId="0" borderId="1" xfId="0" applyNumberFormat="1" applyFont="1" applyFill="1" applyBorder="1" applyAlignment="1">
      <x:alignment vertical="center" wrapText="0"/>
    </x:xf>
    <x:xf numFmtId="201" fontId="15" fillId="0" borderId="1" xfId="0" applyNumberFormat="1" applyFont="1" applyFill="1" applyBorder="1" applyAlignment="1">
      <x:alignment vertical="center" wrapText="0"/>
    </x:xf>
    <x:xf numFmtId="0" fontId="14" fillId="0" borderId="1" xfId="0" applyNumberFormat="1" applyFont="1" applyFill="1" applyBorder="1" applyAlignment="1">
      <x:alignment vertical="center" wrapText="0"/>
    </x:xf>
    <x:xf numFmtId="0" fontId="14" fillId="3" borderId="1" xfId="0" applyNumberFormat="1" applyFont="1" applyFill="1" applyBorder="1" applyAlignment="1">
      <x:alignment vertical="center" wrapText="0"/>
    </x:xf>
    <x:xf numFmtId="200" fontId="15" fillId="0" borderId="1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200" fontId="15" fillId="3" borderId="1" xfId="0" applyNumberFormat="1" applyFont="1" applyFill="1" applyBorder="1" applyAlignment="1">
      <x:alignment vertical="center" wrapText="0"/>
    </x:xf>
    <x:xf numFmtId="205" fontId="15" fillId="3" borderId="1" xfId="0" applyNumberFormat="1" applyFont="1" applyFill="1" applyBorder="1" applyAlignment="1">
      <x:alignment vertical="center" wrapText="0"/>
    </x:xf>
    <x:xf numFmtId="0" fontId="14" fillId="7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  <x:xf numFmtId="0" fontId="17" fillId="4" borderId="0" xfId="0" applyNumberFormat="1" applyFont="1" applyFill="1" applyBorder="1" applyAlignment="1">
      <x:alignment vertical="center" wrapText="0"/>
    </x:xf>
    <x:xf numFmtId="0" fontId="17" fillId="4" borderId="1" xfId="0" applyNumberFormat="1" applyFont="1" applyFill="1" applyBorder="1" applyAlignment="1">
      <x:alignment vertical="center" wrapText="0"/>
    </x:xf>
    <x:xf numFmtId="0" fontId="17" fillId="4" borderId="0" xfId="0" applyNumberFormat="1" applyFont="1" applyFill="1" applyBorder="1" applyAlignment="1">
      <x:alignment horizontal="left" vertical="center" wrapText="0"/>
    </x:xf>
    <x:xf numFmtId="0" fontId="17" fillId="4" borderId="1" xfId="0" applyNumberFormat="1" applyFont="1" applyFill="1" applyBorder="1" applyAlignment="1">
      <x:alignment horizontal="left" vertical="center" wrapText="0"/>
    </x:xf>
    <x:xf numFmtId="0" fontId="4" fillId="4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0"/>
    </x:xf>
    <x:xf numFmtId="0" fontId="15" fillId="0" borderId="1" xfId="0" applyNumberFormat="1" applyFont="1" applyFill="1" applyBorder="1" applyAlignment="1">
      <x:alignment vertical="center" wrapText="0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7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5a0670144480d" /><Relationship Type="http://schemas.openxmlformats.org/officeDocument/2006/relationships/theme" Target="/xl/theme/theme1.xml" Id="R0ebce179d327427f" /><Relationship Type="http://schemas.openxmlformats.org/officeDocument/2006/relationships/sharedStrings" Target="/xl/sharedStrings.xml" Id="R685064a0f81446e8" /><Relationship Type="http://schemas.openxmlformats.org/officeDocument/2006/relationships/worksheet" Target="/xl/worksheets/sheet1.xml" Id="R42598cd310fd424b" /><Relationship Type="http://schemas.openxmlformats.org/officeDocument/2006/relationships/worksheet" Target="/xl/worksheets/sheet2.xml" Id="R8d9e9c3b4d1e41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eb9d2d75de4c11" /><Relationship Type="http://schemas.openxmlformats.org/officeDocument/2006/relationships/chart" Target="/xl/drawings/charts/chart2.xml" Id="Re939254638424e22" /><Relationship Type="http://schemas.openxmlformats.org/officeDocument/2006/relationships/chart" Target="/xl/drawings/charts/chart3.xml" Id="R90b06ceb2ab040e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Returns'!$D$6:$M$6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Capex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Returns'!$D$11:$M$11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INR mn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ROCE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Returns'!$D$33:$M$33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Fixed Asset Turnover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Returns'!$D$30:$M$30</c:f>
              <c:numCache>
                <c:formatCode>0.0x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Net PP&amp;E + CWIP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Returns'!$D$19:$M$19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</c:v>
          </c:tx>
          <c:cat>
            <c:strRef>
              <c:f>'Capex &amp; Returns'!$D$5:$M$5</c:f>
              <c:strCache>
                <c:ptCount val="0"/>
              </c:strCache>
            </c:strRef>
          </c:cat>
          <c:val>
            <c:numRef>
              <c:f>'Capex &amp; Returns'!$D$6:$M$6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INR mn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12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b9d2d75de4c11"/>
        </a:graphicData>
      </a:graphic>
    </xdr:graphicFrame>
    <xdr:clientData/>
  </xdr:twoCellAnchor>
  <xdr:twoCellAnchor>
    <xdr:from>
      <xdr:col>21</xdr:col>
      <xdr:colOff>0</xdr:colOff>
      <xdr:row>12</xdr:row>
      <xdr:rowOff>0</xdr:rowOff>
    </xdr:from>
    <xdr:to>
      <xdr:col>29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39254638424e22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21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b06ceb2ab040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2cbd72784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31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6" customHeight="1">
      <x:c r="A1" s="280" t="str">
        <x:v>Sai Life Sciences | Quarterly Earnings &amp; Capex Monitor</x:v>
      </x:c>
      <x:c r="B1" s="280"/>
      <x:c r="C1" s="280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</x:row>
    <x:row r="2" ht="20" customHeight="1">
      <x:c r="A2" s="281" t="str">
        <x:v>Latest reported quarter: Q4 FY26 | Consolidated | INR million | Blue = hardcoded input; black = formula; yellow = future-quarter update</x:v>
      </x:c>
      <x:c r="B2" s="281"/>
      <x:c r="C2" s="281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>
      <x:c r="A3" s="282"/>
      <x:c r="B3" s="282"/>
      <x:c r="C3" s="282"/>
      <x:c r="D3" s="228"/>
      <x:c r="E3" s="228"/>
      <x:c r="F3" s="228"/>
      <x:c r="G3" s="228"/>
      <x:c r="H3" s="228"/>
      <x:c r="I3" s="228"/>
      <x:c r="J3" s="228"/>
      <x:c r="K3" s="228"/>
      <x:c r="L3" s="228"/>
      <x:c r="M3" s="228"/>
      <x:c r="N3" s="228"/>
      <x:c r="O3" s="228"/>
    </x:row>
    <x:row r="4" ht="22" customHeight="1">
      <x:c r="A4" s="283" t="str">
        <x:v>A. Latest-Quarter Scorecard | Q4 FY26</x:v>
      </x:c>
      <x:c r="B4" s="283" t="str">
        <x:v>A. Latest-Quarter Scorecard | Q4 FY26</x:v>
      </x:c>
      <x:c r="C4" s="283" t="str">
        <x:v>A. Latest-Quarter Scorecard | Q4 FY26</x:v>
      </x:c>
      <x:c r="D4" s="229" t="str">
        <x:v>A. Latest-Quarter Scorecard | Q4 FY26</x:v>
      </x:c>
      <x:c r="E4" s="229" t="str">
        <x:v>A. Latest-Quarter Scorecard | Q4 FY26</x:v>
      </x:c>
      <x:c r="F4" s="229" t="str">
        <x:v>A. Latest-Quarter Scorecard | Q4 FY26</x:v>
      </x:c>
      <x:c r="G4" s="229" t="str">
        <x:v>A. Latest-Quarter Scorecard | Q4 FY26</x:v>
      </x:c>
      <x:c r="H4" s="229" t="str">
        <x:v>A. Latest-Quarter Scorecard | Q4 FY26</x:v>
      </x:c>
      <x:c r="I4" s="229" t="str">
        <x:v>A. Latest-Quarter Scorecard | Q4 FY26</x:v>
      </x:c>
      <x:c r="J4" s="229" t="str">
        <x:v>A. Latest-Quarter Scorecard | Q4 FY26</x:v>
      </x:c>
      <x:c r="K4" s="229" t="str">
        <x:v>A. Latest-Quarter Scorecard | Q4 FY26</x:v>
      </x:c>
      <x:c r="L4" s="229" t="str">
        <x:v>A. Latest-Quarter Scorecard | Q4 FY26</x:v>
      </x:c>
      <x:c r="M4" s="229" t="str">
        <x:v>A. Latest-Quarter Scorecard | Q4 FY26</x:v>
      </x:c>
      <x:c r="N4" s="229" t="str">
        <x:v>A. Latest-Quarter Scorecard | Q4 FY26</x:v>
      </x:c>
      <x:c r="O4" s="229" t="str">
        <x:v>A. Latest-Quarter Scorecard | Q4 FY26</x:v>
      </x:c>
    </x:row>
    <x:row r="5" ht="30" customHeight="1">
      <x:c r="A5" s="24" t="str">
        <x:v>Metric</x:v>
      </x:c>
      <x:c r="B5" s="24" t="str">
        <x:v>Q4 FY26</x:v>
      </x:c>
      <x:c r="C5" s="24" t="str">
        <x:v>YoY</x:v>
      </x:c>
      <x:c r="D5" s="230" t="str">
        <x:v>QoQ / YoY Δ</x:v>
      </x:c>
      <x:c r="E5" s="230" t="str">
        <x:v>Source / Status</x:v>
      </x:c>
      <x:c r="F5" s="228"/>
      <x:c r="G5" s="230" t="str">
        <x:v>Metric</x:v>
      </x:c>
      <x:c r="H5" s="230" t="str">
        <x:v>YTD Actual</x:v>
      </x:c>
      <x:c r="I5" s="230" t="str">
        <x:v>Current Model Est.</x:v>
      </x:c>
      <x:c r="J5" s="230" t="str">
        <x:v>% Achieved</x:v>
      </x:c>
      <x:c r="K5" s="230" t="str">
        <x:v>Remaining Req.</x:v>
      </x:c>
      <x:c r="L5" s="230" t="str">
        <x:v>Status</x:v>
      </x:c>
      <x:c r="M5" s="24" t="str">
        <x:v>Latest-quarter analyst read</x:v>
      </x:c>
      <x:c r="N5" s="24"/>
      <x:c r="O5" s="24"/>
    </x:row>
    <x:row r="6" ht="25" customHeight="1">
      <x:c r="A6" s="284" t="str">
        <x:v>Revenue</x:v>
      </x:c>
      <x:c r="B6" s="285" t="n">
        <x:f>K19</x:f>
        <x:v>6020</x:v>
      </x:c>
      <x:c r="C6" s="286" t="n">
        <x:f>K20</x:f>
        <x:v>0.037931034482758585</x:v>
      </x:c>
      <x:c r="D6" s="233" t="n">
        <x:f>K21</x:f>
        <x:v>0.08273381294964022</x:v>
      </x:c>
      <x:c r="E6" s="234" t="str">
        <x:v>Reported</x:v>
      </x:c>
      <x:c r="F6" s="228"/>
      <x:c r="G6" s="231" t="str">
        <x:v>Revenue</x:v>
      </x:c>
      <x:c r="H6" s="235" t="n">
        <x:v>21920</x:v>
      </x:c>
      <x:c r="I6" s="232" t="n">
        <x:v>21920</x:v>
      </x:c>
      <x:c r="J6" s="233" t="n">
        <x:f>IFERROR(H6/I6,"NA")</x:f>
        <x:v>1</x:v>
      </x:c>
      <x:c r="K6" s="232" t="n">
        <x:f>MAX(0,I6-H6)</x:f>
        <x:v>0</x:v>
      </x:c>
      <x:c r="L6" s="236" t="str">
        <x:f>IF(H6&gt;=I6,"Met / exceeded","Remaining")</x:f>
        <x:v>Met / exceeded</x:v>
      </x:c>
      <x:c r="M6" s="32" t="str">
        <x:v>Strong FY26 exit, but the stock debate now shifts from earnings recovery to capital absorption. FY27 capex is guided at ₹11,000–13,000m, ~75% toward capacity expansion. The key proof points are the 450 KL commissioning/qualification ramp, Process R&amp;D + peptide/OEB6 milestones, and whether asset turns / ROCE remain resilient as PP&amp;E and CWIP rise.</x:v>
      </x:c>
      <x:c r="N6" s="32"/>
      <x:c r="O6" s="32"/>
    </x:row>
    <x:row r="7" ht="25" customHeight="1">
      <x:c r="A7" s="284" t="str">
        <x:v>CRO / Discovery revenue</x:v>
      </x:c>
      <x:c r="B7" s="285" t="n">
        <x:f>K49</x:f>
        <x:v>2130</x:v>
      </x:c>
      <x:c r="C7" s="286" t="n">
        <x:f>K50</x:f>
        <x:v>0.22413793103448265</x:v>
      </x:c>
      <x:c r="D7" s="233" t="n">
        <x:f>K51</x:f>
        <x:v>0.0923076923076922</x:v>
      </x:c>
      <x:c r="E7" s="234" t="str">
        <x:v>Derived: FY less 9M</x:v>
      </x:c>
      <x:c r="F7" s="228"/>
      <x:c r="G7" s="231" t="str">
        <x:v>CRO / Discovery</x:v>
      </x:c>
      <x:c r="H7" s="235" t="n">
        <x:v>7750</x:v>
      </x:c>
      <x:c r="I7" s="232" t="n">
        <x:v>7750</x:v>
      </x:c>
      <x:c r="J7" s="233" t="n">
        <x:f>IFERROR(H7/I7,"NA")</x:f>
        <x:v>1</x:v>
      </x:c>
      <x:c r="K7" s="232" t="n">
        <x:f>MAX(0,I7-H7)</x:f>
        <x:v>0</x:v>
      </x:c>
      <x:c r="L7" s="236" t="str">
        <x:f>IF(H7&gt;=I7,"Met / exceeded","Remaining")</x:f>
        <x:v>Met / exceeded</x:v>
      </x:c>
      <x:c r="M7" s="32"/>
      <x:c r="N7" s="32"/>
      <x:c r="O7" s="32"/>
    </x:row>
    <x:row r="8" ht="25" customHeight="1">
      <x:c r="A8" s="284" t="str">
        <x:v>CDMO / CMC revenue</x:v>
      </x:c>
      <x:c r="B8" s="285" t="n">
        <x:f>K53</x:f>
        <x:v>3890</x:v>
      </x:c>
      <x:c r="C8" s="286" t="n">
        <x:f>K54</x:f>
        <x:v>-0.03950617283950619</x:v>
      </x:c>
      <x:c r="D8" s="233" t="n">
        <x:f>K55</x:f>
        <x:v>0.07756232686980602</x:v>
      </x:c>
      <x:c r="E8" s="234" t="str">
        <x:v>Derived: FY less 9M</x:v>
      </x:c>
      <x:c r="F8" s="228"/>
      <x:c r="G8" s="231" t="str">
        <x:v>CDMO / CMC</x:v>
      </x:c>
      <x:c r="H8" s="235" t="n">
        <x:v>14170</x:v>
      </x:c>
      <x:c r="I8" s="232" t="n">
        <x:v>14170</x:v>
      </x:c>
      <x:c r="J8" s="233" t="n">
        <x:f>IFERROR(H8/I8,"NA")</x:f>
        <x:v>1</x:v>
      </x:c>
      <x:c r="K8" s="232" t="n">
        <x:f>MAX(0,I8-H8)</x:f>
        <x:v>0</x:v>
      </x:c>
      <x:c r="L8" s="236" t="str">
        <x:f>IF(H8&gt;=I8,"Met / exceeded","Remaining")</x:f>
        <x:v>Met / exceeded</x:v>
      </x:c>
      <x:c r="M8" s="32"/>
      <x:c r="N8" s="32"/>
      <x:c r="O8" s="32"/>
    </x:row>
    <x:row r="9" ht="25" customHeight="1">
      <x:c r="A9" s="284" t="str">
        <x:v>EBITDA</x:v>
      </x:c>
      <x:c r="B9" s="285" t="n">
        <x:f>K30</x:f>
        <x:v>1890</x:v>
      </x:c>
      <x:c r="C9" s="286" t="n">
        <x:f>K31</x:f>
        <x:v>0.17391304347826098</x:v>
      </x:c>
      <x:c r="D9" s="233" t="n">
        <x:f>K32</x:f>
        <x:v>-0.010471204188481686</x:v>
      </x:c>
      <x:c r="E9" s="234" t="str">
        <x:v>Reported</x:v>
      </x:c>
      <x:c r="F9" s="228"/>
      <x:c r="G9" s="231" t="str">
        <x:v>EBITDA</x:v>
      </x:c>
      <x:c r="H9" s="235" t="n">
        <x:v>6610</x:v>
      </x:c>
      <x:c r="I9" s="232" t="n">
        <x:v>6610</x:v>
      </x:c>
      <x:c r="J9" s="233" t="n">
        <x:f>IFERROR(H9/I9,"NA")</x:f>
        <x:v>1</x:v>
      </x:c>
      <x:c r="K9" s="232" t="n">
        <x:f>MAX(0,I9-H9)</x:f>
        <x:v>0</x:v>
      </x:c>
      <x:c r="L9" s="236" t="str">
        <x:f>IF(H9&gt;=I9,"Met / exceeded","Remaining")</x:f>
        <x:v>Met / exceeded</x:v>
      </x:c>
      <x:c r="M9" s="32"/>
      <x:c r="N9" s="32"/>
      <x:c r="O9" s="32"/>
    </x:row>
    <x:row r="10" ht="25" customHeight="1">
      <x:c r="A10" s="284" t="str">
        <x:v>EBITDA margin</x:v>
      </x:c>
      <x:c r="B10" s="286" t="n">
        <x:f>K33</x:f>
        <x:v>0.313953488372093</x:v>
      </x:c>
      <x:c r="C10" s="286" t="n">
        <x:f>IF(AND(ISNUMBER(K33),ISNUMBER(G33)),K33-G33,"NA")</x:f>
        <x:v>0.0363672814755413</x:v>
      </x:c>
      <x:c r="D10" s="233" t="n">
        <x:f>IF(AND(ISNUMBER(K33),ISNUMBER(J33)),K33-J33,"NA")</x:f>
        <x:v>-0.029571691484022056</x:v>
      </x:c>
      <x:c r="E10" s="234" t="str">
        <x:v>Formula</x:v>
      </x:c>
      <x:c r="F10" s="228"/>
      <x:c r="G10" s="231" t="str">
        <x:v>PAT</x:v>
      </x:c>
      <x:c r="H10" s="235" t="n">
        <x:v>3490</x:v>
      </x:c>
      <x:c r="I10" s="232" t="n">
        <x:v>3490</x:v>
      </x:c>
      <x:c r="J10" s="233" t="n">
        <x:f>IFERROR(H10/I10,"NA")</x:f>
        <x:v>1</x:v>
      </x:c>
      <x:c r="K10" s="232" t="n">
        <x:f>MAX(0,I10-H10)</x:f>
        <x:v>0</x:v>
      </x:c>
      <x:c r="L10" s="236" t="str">
        <x:f>IF(H10&gt;=I10,"Met / exceeded","Remaining")</x:f>
        <x:v>Met / exceeded</x:v>
      </x:c>
      <x:c r="M10" s="32"/>
      <x:c r="N10" s="32"/>
      <x:c r="O10" s="32"/>
    </x:row>
    <x:row r="11" ht="25" customHeight="1">
      <x:c r="A11" s="284" t="str">
        <x:v>PAT</x:v>
      </x:c>
      <x:c r="B11" s="285" t="n">
        <x:f>K42</x:f>
        <x:v>1040</x:v>
      </x:c>
      <x:c r="C11" s="286" t="n">
        <x:f>K43</x:f>
        <x:v>0.18181818181818188</x:v>
      </x:c>
      <x:c r="D11" s="233" t="n">
        <x:f>K44</x:f>
        <x:v>0.040000000000000036</x:v>
      </x:c>
      <x:c r="E11" s="234" t="str">
        <x:v>Reported</x:v>
      </x:c>
      <x:c r="F11" s="228"/>
      <x:c r="G11" s="231" t="str">
        <x:v>Capex</x:v>
      </x:c>
      <x:c r="H11" s="235" t="n">
        <x:v>6330</x:v>
      </x:c>
      <x:c r="I11" s="232" t="n">
        <x:v>6330</x:v>
      </x:c>
      <x:c r="J11" s="233" t="n">
        <x:f>IFERROR(H11/I11,"NA")</x:f>
        <x:v>1</x:v>
      </x:c>
      <x:c r="K11" s="232" t="n">
        <x:f>MAX(0,I11-H11)</x:f>
        <x:v>0</x:v>
      </x:c>
      <x:c r="L11" s="236" t="str">
        <x:f>IF(H11&gt;=I11,"Met / exceeded","Remaining")</x:f>
        <x:v>Met / exceeded</x:v>
      </x:c>
      <x:c r="M11" s="32"/>
      <x:c r="N11" s="32"/>
      <x:c r="O11" s="32"/>
    </x:row>
    <x:row r="12" ht="25" customHeight="1">
      <x:c r="A12" s="284" t="str">
        <x:v>PAT margin</x:v>
      </x:c>
      <x:c r="B12" s="286" t="n">
        <x:f>K45</x:f>
        <x:v>0.17275747508305647</x:v>
      </x:c>
      <x:c r="C12" s="286" t="n">
        <x:f>IF(AND(ISNUMBER(K45),ISNUMBER(G45)),K45-G45,"NA")</x:f>
        <x:v>0.02103333715202199</x:v>
      </x:c>
      <x:c r="D12" s="233" t="n">
        <x:f>IF(AND(ISNUMBER(K45),ISNUMBER(J45)),K45-J45,"NA")</x:f>
        <x:v>-0.007098640024857189</x:v>
      </x:c>
      <x:c r="E12" s="234" t="str">
        <x:v>Formula</x:v>
      </x:c>
      <x:c r="F12" s="228"/>
      <x:c r="G12" s="228"/>
      <x:c r="H12" s="228"/>
      <x:c r="I12" s="228"/>
      <x:c r="J12" s="228"/>
      <x:c r="K12" s="228"/>
      <x:c r="L12" s="228"/>
      <x:c r="M12" s="308"/>
      <x:c r="N12" s="308"/>
      <x:c r="O12" s="308"/>
    </x:row>
    <x:row r="13" ht="25" customHeight="1">
      <x:c r="A13" s="284" t="str">
        <x:v>Quarter capex</x:v>
      </x:c>
      <x:c r="B13" s="285" t="n">
        <x:f>K86</x:f>
        <x:v>2280</x:v>
      </x:c>
      <x:c r="C13" s="286" t="n">
        <x:f>IF(AND(ISNUMBER(K86),ISNUMBER(G86),G86&lt;&gt;0),K86/G86-1,"NA")</x:f>
        <x:v>1.1111111111111112</x:v>
      </x:c>
      <x:c r="D13" s="233" t="n">
        <x:f>IF(AND(ISNUMBER(K86),ISNUMBER(J86),J86&lt;&gt;0),K86/J86-1,"NA")</x:f>
        <x:v>0.4522292993630572</x:v>
      </x:c>
      <x:c r="E13" s="234" t="str">
        <x:v>Derived from FY less 9M</x:v>
      </x:c>
      <x:c r="F13" s="228"/>
      <x:c r="G13" s="228"/>
      <x:c r="H13" s="228"/>
      <x:c r="I13" s="228"/>
      <x:c r="J13" s="228"/>
      <x:c r="K13" s="228"/>
      <x:c r="L13" s="228"/>
      <x:c r="M13" s="308"/>
      <x:c r="N13" s="308"/>
      <x:c r="O13" s="308"/>
    </x:row>
    <x:row r="14" ht="25" customHeight="1">
      <x:c r="A14" s="284" t="str">
        <x:v>Net debt / (cash)</x:v>
      </x:c>
      <x:c r="B14" s="285" t="n">
        <x:f>K96</x:f>
        <x:v>-157.46000000000004</x:v>
      </x:c>
      <x:c r="C14" s="287" t="str">
        <x:v>NA</x:v>
      </x:c>
      <x:c r="D14" s="235" t="str">
        <x:v>NA</x:v>
      </x:c>
      <x:c r="E14" s="234" t="str">
        <x:v>Reported balance sheet</x:v>
      </x:c>
      <x:c r="F14" s="228"/>
      <x:c r="G14" s="228"/>
      <x:c r="H14" s="228"/>
      <x:c r="I14" s="228"/>
      <x:c r="J14" s="228"/>
      <x:c r="K14" s="228"/>
      <x:c r="L14" s="228"/>
      <x:c r="M14" s="308"/>
      <x:c r="N14" s="308"/>
      <x:c r="O14" s="308"/>
    </x:row>
    <x:row r="15">
      <x:c r="A15" s="282"/>
      <x:c r="B15" s="282"/>
      <x:c r="C15" s="282"/>
      <x:c r="D15" s="228"/>
      <x:c r="E15" s="228"/>
      <x:c r="F15" s="228"/>
      <x:c r="G15" s="228"/>
      <x:c r="H15" s="228"/>
      <x:c r="I15" s="228"/>
      <x:c r="J15" s="228"/>
      <x:c r="K15" s="228"/>
      <x:c r="L15" s="228"/>
      <x:c r="M15" s="228"/>
      <x:c r="N15" s="228"/>
      <x:c r="O15" s="228"/>
    </x:row>
    <x:row r="16">
      <x:c r="A16" s="282"/>
      <x:c r="B16" s="282"/>
      <x:c r="C16" s="282"/>
      <x:c r="D16" s="228"/>
      <x:c r="E16" s="228"/>
      <x:c r="F16" s="228"/>
      <x:c r="G16" s="228"/>
      <x:c r="H16" s="228"/>
      <x:c r="I16" s="228"/>
      <x:c r="J16" s="228"/>
      <x:c r="K16" s="228"/>
      <x:c r="L16" s="228"/>
      <x:c r="M16" s="228"/>
      <x:c r="N16" s="228"/>
      <x:c r="O16" s="228"/>
    </x:row>
    <x:row r="17" ht="20" customHeight="1">
      <x:c r="A17" s="283" t="str">
        <x:v>B. Quarterly P&amp;L</x:v>
      </x:c>
      <x:c r="B17" s="283" t="str">
        <x:v>B. Quarterly P&amp;L</x:v>
      </x:c>
      <x:c r="C17" s="283" t="str">
        <x:v>B. Quarterly P&amp;L</x:v>
      </x:c>
      <x:c r="D17" s="229" t="str">
        <x:v>B. Quarterly P&amp;L</x:v>
      </x:c>
      <x:c r="E17" s="229" t="str">
        <x:v>B. Quarterly P&amp;L</x:v>
      </x:c>
      <x:c r="F17" s="229" t="str">
        <x:v>B. Quarterly P&amp;L</x:v>
      </x:c>
      <x:c r="G17" s="229" t="str">
        <x:v>B. Quarterly P&amp;L</x:v>
      </x:c>
      <x:c r="H17" s="229" t="str">
        <x:v>B. Quarterly P&amp;L</x:v>
      </x:c>
      <x:c r="I17" s="229" t="str">
        <x:v>B. Quarterly P&amp;L</x:v>
      </x:c>
      <x:c r="J17" s="229" t="str">
        <x:v>B. Quarterly P&amp;L</x:v>
      </x:c>
      <x:c r="K17" s="229" t="str">
        <x:v>B. Quarterly P&amp;L</x:v>
      </x:c>
      <x:c r="L17" s="229" t="str">
        <x:v>B. Quarterly P&amp;L</x:v>
      </x:c>
      <x:c r="M17" s="229" t="str">
        <x:v>B. Quarterly P&amp;L</x:v>
      </x:c>
      <x:c r="N17" s="229" t="str">
        <x:v>B. Quarterly P&amp;L</x:v>
      </x:c>
      <x:c r="O17" s="229" t="str">
        <x:v>B. Quarterly P&amp;L</x:v>
      </x:c>
    </x:row>
    <x:row r="18" ht="28" customHeight="1">
      <x:c r="A18" s="24" t="str">
        <x:v>Metric</x:v>
      </x:c>
      <x:c r="B18" s="24" t="str">
        <x:v>Units</x:v>
      </x:c>
      <x:c r="C18" s="24" t="str">
        <x:v>Source / Status</x:v>
      </x:c>
      <x:c r="D18" s="230" t="str">
        <x:v>Q1 FY25</x:v>
      </x:c>
      <x:c r="E18" s="230" t="str">
        <x:v>Q2 FY25</x:v>
      </x:c>
      <x:c r="F18" s="230" t="str">
        <x:v>Q3 FY25</x:v>
      </x:c>
      <x:c r="G18" s="230" t="str">
        <x:v>Q4 FY25</x:v>
      </x:c>
      <x:c r="H18" s="230" t="str">
        <x:v>Q1 FY26</x:v>
      </x:c>
      <x:c r="I18" s="230" t="str">
        <x:v>Q2 FY26</x:v>
      </x:c>
      <x:c r="J18" s="230" t="str">
        <x:v>Q3 FY26</x:v>
      </x:c>
      <x:c r="K18" s="230" t="str">
        <x:v>Q4 FY26</x:v>
      </x:c>
      <x:c r="L18" s="230" t="str">
        <x:v>Q1 FY27</x:v>
      </x:c>
      <x:c r="M18" s="230" t="str">
        <x:v>Q2 FY27</x:v>
      </x:c>
      <x:c r="N18" s="230" t="str">
        <x:v>Q3 FY27</x:v>
      </x:c>
      <x:c r="O18" s="230" t="str">
        <x:v>Q4 FY27</x:v>
      </x:c>
    </x:row>
    <x:row r="19">
      <x:c r="A19" s="288" t="str">
        <x:v>Revenue from operations</x:v>
      </x:c>
      <x:c r="B19" s="288" t="str">
        <x:v>INR mn</x:v>
      </x:c>
      <x:c r="C19" s="182" t="str">
        <x:v>Reported | consolidated</x:v>
      </x:c>
      <x:c r="D19" s="235" t="n">
        <x:v>2800</x:v>
      </x:c>
      <x:c r="E19" s="235" t="n">
        <x:v>3960</x:v>
      </x:c>
      <x:c r="F19" s="235" t="n">
        <x:v>4400</x:v>
      </x:c>
      <x:c r="G19" s="235" t="n">
        <x:v>5800</x:v>
      </x:c>
      <x:c r="H19" s="235" t="n">
        <x:v>4960</x:v>
      </x:c>
      <x:c r="I19" s="235" t="n">
        <x:v>5370</x:v>
      </x:c>
      <x:c r="J19" s="235" t="n">
        <x:v>5560</x:v>
      </x:c>
      <x:c r="K19" s="235" t="n">
        <x:v>6020</x:v>
      </x:c>
      <x:c r="L19" s="239"/>
      <x:c r="M19" s="239"/>
      <x:c r="N19" s="239"/>
      <x:c r="O19" s="239"/>
    </x:row>
    <x:row r="20">
      <x:c r="A20" s="289" t="str">
        <x:v>  YoY growth</x:v>
      </x:c>
      <x:c r="B20" s="289" t="str">
        <x:v>%</x:v>
      </x:c>
      <x:c r="C20" s="189" t="str">
        <x:v>Formula</x:v>
      </x:c>
      <x:c r="D20" s="242" t="str">
        <x:f>"NA"</x:f>
        <x:v>NA</x:v>
      </x:c>
      <x:c r="E20" s="242" t="str">
        <x:f>"NA"</x:f>
        <x:v>NA</x:v>
      </x:c>
      <x:c r="F20" s="242" t="str">
        <x:f>"NA"</x:f>
        <x:v>NA</x:v>
      </x:c>
      <x:c r="G20" s="242" t="str">
        <x:f>"NA"</x:f>
        <x:v>NA</x:v>
      </x:c>
      <x:c r="H20" s="242" t="n">
        <x:f>IF(AND(ISNUMBER(H19),ISNUMBER(D19),D19&lt;&gt;0),H19/D19-1,"NA")</x:f>
        <x:v>0.7714285714285714</x:v>
      </x:c>
      <x:c r="I20" s="242" t="n">
        <x:f>IF(AND(ISNUMBER(I19),ISNUMBER(E19),E19&lt;&gt;0),I19/E19-1,"NA")</x:f>
        <x:v>0.35606060606060597</x:v>
      </x:c>
      <x:c r="J20" s="242" t="n">
        <x:f>IF(AND(ISNUMBER(J19),ISNUMBER(F19),F19&lt;&gt;0),J19/F19-1,"NA")</x:f>
        <x:v>0.26363636363636367</x:v>
      </x:c>
      <x:c r="K20" s="242" t="n">
        <x:f>IF(AND(ISNUMBER(K19),ISNUMBER(G19),G19&lt;&gt;0),K19/G19-1,"NA")</x:f>
        <x:v>0.037931034482758585</x:v>
      </x:c>
      <x:c r="L20" s="242" t="str">
        <x:f>IF(AND(ISNUMBER(L19),ISNUMBER(H19),H19&lt;&gt;0),L19/H19-1,"NA")</x:f>
        <x:v>NA</x:v>
      </x:c>
      <x:c r="M20" s="242" t="str">
        <x:f>IF(AND(ISNUMBER(M19),ISNUMBER(I19),I19&lt;&gt;0),M19/I19-1,"NA")</x:f>
        <x:v>NA</x:v>
      </x:c>
      <x:c r="N20" s="242" t="str">
        <x:f>IF(AND(ISNUMBER(N19),ISNUMBER(J19),J19&lt;&gt;0),N19/J19-1,"NA")</x:f>
        <x:v>NA</x:v>
      </x:c>
      <x:c r="O20" s="242" t="str">
        <x:f>IF(AND(ISNUMBER(O19),ISNUMBER(K19),K19&lt;&gt;0),O19/K19-1,"NA")</x:f>
        <x:v>NA</x:v>
      </x:c>
    </x:row>
    <x:row r="21">
      <x:c r="A21" s="289" t="str">
        <x:v>  QoQ growth</x:v>
      </x:c>
      <x:c r="B21" s="289" t="str">
        <x:v>%</x:v>
      </x:c>
      <x:c r="C21" s="189" t="str">
        <x:v>Formula</x:v>
      </x:c>
      <x:c r="D21" s="242" t="str">
        <x:f>"NA"</x:f>
        <x:v>NA</x:v>
      </x:c>
      <x:c r="E21" s="242" t="n">
        <x:f>IF(AND(ISNUMBER(E19),ISNUMBER(D19),D19&lt;&gt;0),E19/D19-1,"NA")</x:f>
        <x:v>0.41428571428571437</x:v>
      </x:c>
      <x:c r="F21" s="242" t="n">
        <x:f>IF(AND(ISNUMBER(F19),ISNUMBER(E19),E19&lt;&gt;0),F19/E19-1,"NA")</x:f>
        <x:v>0.11111111111111116</x:v>
      </x:c>
      <x:c r="G21" s="242" t="n">
        <x:f>IF(AND(ISNUMBER(G19),ISNUMBER(F19),F19&lt;&gt;0),G19/F19-1,"NA")</x:f>
        <x:v>0.3181818181818181</x:v>
      </x:c>
      <x:c r="H21" s="242" t="n">
        <x:f>IF(AND(ISNUMBER(H19),ISNUMBER(G19),G19&lt;&gt;0),H19/G19-1,"NA")</x:f>
        <x:v>-0.1448275862068965</x:v>
      </x:c>
      <x:c r="I21" s="242" t="n">
        <x:f>IF(AND(ISNUMBER(I19),ISNUMBER(H19),H19&lt;&gt;0),I19/H19-1,"NA")</x:f>
        <x:v>0.08266129032258074</x:v>
      </x:c>
      <x:c r="J21" s="242" t="n">
        <x:f>IF(AND(ISNUMBER(J19),ISNUMBER(I19),I19&lt;&gt;0),J19/I19-1,"NA")</x:f>
        <x:v>0.035381750465549366</x:v>
      </x:c>
      <x:c r="K21" s="242" t="n">
        <x:f>IF(AND(ISNUMBER(K19),ISNUMBER(J19),J19&lt;&gt;0),K19/J19-1,"NA")</x:f>
        <x:v>0.08273381294964022</x:v>
      </x:c>
      <x:c r="L21" s="242" t="str">
        <x:f>IF(AND(ISNUMBER(L19),ISNUMBER(K19),K19&lt;&gt;0),L19/K19-1,"NA")</x:f>
        <x:v>NA</x:v>
      </x:c>
      <x:c r="M21" s="242" t="str">
        <x:f>IF(AND(ISNUMBER(M19),ISNUMBER(L19),L19&lt;&gt;0),M19/L19-1,"NA")</x:f>
        <x:v>NA</x:v>
      </x:c>
      <x:c r="N21" s="242" t="str">
        <x:f>IF(AND(ISNUMBER(N19),ISNUMBER(M19),M19&lt;&gt;0),N19/M19-1,"NA")</x:f>
        <x:v>NA</x:v>
      </x:c>
      <x:c r="O21" s="242" t="str">
        <x:f>IF(AND(ISNUMBER(O19),ISNUMBER(N19),N19&lt;&gt;0),O19/N19-1,"NA")</x:f>
        <x:v>NA</x:v>
      </x:c>
    </x:row>
    <x:row r="22">
      <x:c r="A22" s="288" t="str">
        <x:v>Cost of materials &amp; inventory changes</x:v>
      </x:c>
      <x:c r="B22" s="288" t="str">
        <x:v>INR mn</x:v>
      </x:c>
      <x:c r="C22" s="182" t="str">
        <x:v>Reported | company P&amp;L line</x:v>
      </x:c>
      <x:c r="D22" s="235" t="n">
        <x:v>730</x:v>
      </x:c>
      <x:c r="E22" s="235" t="n">
        <x:v>1040</x:v>
      </x:c>
      <x:c r="F22" s="235" t="n">
        <x:v>1210</x:v>
      </x:c>
      <x:c r="G22" s="235" t="n">
        <x:v>1680</x:v>
      </x:c>
      <x:c r="H22" s="235" t="n">
        <x:v>1410</x:v>
      </x:c>
      <x:c r="I22" s="235" t="n">
        <x:v>1400</x:v>
      </x:c>
      <x:c r="J22" s="235" t="n">
        <x:v>1280</x:v>
      </x:c>
      <x:c r="K22" s="235" t="n">
        <x:v>1620</x:v>
      </x:c>
      <x:c r="L22" s="239"/>
      <x:c r="M22" s="239"/>
      <x:c r="N22" s="239"/>
      <x:c r="O22" s="239"/>
    </x:row>
    <x:row r="23">
      <x:c r="A23" s="289" t="str">
        <x:v>Material margin / gross profit</x:v>
      </x:c>
      <x:c r="B23" s="289" t="str">
        <x:v>INR mn</x:v>
      </x:c>
      <x:c r="C23" s="189" t="str">
        <x:v>Formula: Revenue less material cost</x:v>
      </x:c>
      <x:c r="D23" s="243" t="n">
        <x:f>IF(AND(ISNUMBER(D19),ISNUMBER(D22)),D19-D22,"NA")</x:f>
        <x:v>2070</x:v>
      </x:c>
      <x:c r="E23" s="243" t="n">
        <x:f>IF(AND(ISNUMBER(E19),ISNUMBER(E22)),E19-E22,"NA")</x:f>
        <x:v>2920</x:v>
      </x:c>
      <x:c r="F23" s="243" t="n">
        <x:f>IF(AND(ISNUMBER(F19),ISNUMBER(F22)),F19-F22,"NA")</x:f>
        <x:v>3190</x:v>
      </x:c>
      <x:c r="G23" s="243" t="n">
        <x:f>IF(AND(ISNUMBER(G19),ISNUMBER(G22)),G19-G22,"NA")</x:f>
        <x:v>4120</x:v>
      </x:c>
      <x:c r="H23" s="243" t="n">
        <x:f>IF(AND(ISNUMBER(H19),ISNUMBER(H22)),H19-H22,"NA")</x:f>
        <x:v>3550</x:v>
      </x:c>
      <x:c r="I23" s="243" t="n">
        <x:f>IF(AND(ISNUMBER(I19),ISNUMBER(I22)),I19-I22,"NA")</x:f>
        <x:v>3970</x:v>
      </x:c>
      <x:c r="J23" s="243" t="n">
        <x:f>IF(AND(ISNUMBER(J19),ISNUMBER(J22)),J19-J22,"NA")</x:f>
        <x:v>4280</x:v>
      </x:c>
      <x:c r="K23" s="243" t="n">
        <x:f>IF(AND(ISNUMBER(K19),ISNUMBER(K22)),K19-K22,"NA")</x:f>
        <x:v>4400</x:v>
      </x:c>
      <x:c r="L23" s="243" t="str">
        <x:f>IF(AND(ISNUMBER(L19),ISNUMBER(L22)),L19-L22,"NA")</x:f>
        <x:v>NA</x:v>
      </x:c>
      <x:c r="M23" s="243" t="str">
        <x:f>IF(AND(ISNUMBER(M19),ISNUMBER(M22)),M19-M22,"NA")</x:f>
        <x:v>NA</x:v>
      </x:c>
      <x:c r="N23" s="243" t="str">
        <x:f>IF(AND(ISNUMBER(N19),ISNUMBER(N22)),N19-N22,"NA")</x:f>
        <x:v>NA</x:v>
      </x:c>
      <x:c r="O23" s="243" t="str">
        <x:f>IF(AND(ISNUMBER(O19),ISNUMBER(O22)),O19-O22,"NA")</x:f>
        <x:v>NA</x:v>
      </x:c>
    </x:row>
    <x:row r="24">
      <x:c r="A24" s="289" t="str">
        <x:v>  Material margin</x:v>
      </x:c>
      <x:c r="B24" s="289" t="str">
        <x:v>%</x:v>
      </x:c>
      <x:c r="C24" s="189" t="str">
        <x:v>Formula</x:v>
      </x:c>
      <x:c r="D24" s="242" t="n">
        <x:f>IF(AND(ISNUMBER(D23),ISNUMBER(D19),D19&lt;&gt;0),D23/D19,"NA")</x:f>
        <x:v>0.7392857142857143</x:v>
      </x:c>
      <x:c r="E24" s="242" t="n">
        <x:f>IF(AND(ISNUMBER(E23),ISNUMBER(E19),E19&lt;&gt;0),E23/E19,"NA")</x:f>
        <x:v>0.7373737373737373</x:v>
      </x:c>
      <x:c r="F24" s="242" t="n">
        <x:f>IF(AND(ISNUMBER(F23),ISNUMBER(F19),F19&lt;&gt;0),F23/F19,"NA")</x:f>
        <x:v>0.725</x:v>
      </x:c>
      <x:c r="G24" s="242" t="n">
        <x:f>IF(AND(ISNUMBER(G23),ISNUMBER(G19),G19&lt;&gt;0),G23/G19,"NA")</x:f>
        <x:v>0.7103448275862069</x:v>
      </x:c>
      <x:c r="H24" s="242" t="n">
        <x:f>IF(AND(ISNUMBER(H23),ISNUMBER(H19),H19&lt;&gt;0),H23/H19,"NA")</x:f>
        <x:v>0.7157258064516129</x:v>
      </x:c>
      <x:c r="I24" s="242" t="n">
        <x:f>IF(AND(ISNUMBER(I23),ISNUMBER(I19),I19&lt;&gt;0),I23/I19,"NA")</x:f>
        <x:v>0.7392923649906891</x:v>
      </x:c>
      <x:c r="J24" s="242" t="n">
        <x:f>IF(AND(ISNUMBER(J23),ISNUMBER(J19),J19&lt;&gt;0),J23/J19,"NA")</x:f>
        <x:v>0.7697841726618705</x:v>
      </x:c>
      <x:c r="K24" s="242" t="n">
        <x:f>IF(AND(ISNUMBER(K23),ISNUMBER(K19),K19&lt;&gt;0),K23/K19,"NA")</x:f>
        <x:v>0.7308970099667774</x:v>
      </x:c>
      <x:c r="L24" s="242" t="str">
        <x:f>IF(AND(ISNUMBER(L23),ISNUMBER(L19),L19&lt;&gt;0),L23/L19,"NA")</x:f>
        <x:v>NA</x:v>
      </x:c>
      <x:c r="M24" s="242" t="str">
        <x:f>IF(AND(ISNUMBER(M23),ISNUMBER(M19),M19&lt;&gt;0),M23/M19,"NA")</x:f>
        <x:v>NA</x:v>
      </x:c>
      <x:c r="N24" s="242" t="str">
        <x:f>IF(AND(ISNUMBER(N23),ISNUMBER(N19),N19&lt;&gt;0),N23/N19,"NA")</x:f>
        <x:v>NA</x:v>
      </x:c>
      <x:c r="O24" s="242" t="str">
        <x:f>IF(AND(ISNUMBER(O23),ISNUMBER(O19),O19&lt;&gt;0),O23/O19,"NA")</x:f>
        <x:v>NA</x:v>
      </x:c>
    </x:row>
    <x:row r="25">
      <x:c r="A25" s="288" t="str">
        <x:v>Employee benefit expense</x:v>
      </x:c>
      <x:c r="B25" s="288" t="str">
        <x:v>INR mn</x:v>
      </x:c>
      <x:c r="C25" s="182" t="str">
        <x:v>Reported</x:v>
      </x:c>
      <x:c r="D25" s="235" t="n">
        <x:v>1300</x:v>
      </x:c>
      <x:c r="E25" s="235" t="n">
        <x:v>1350</x:v>
      </x:c>
      <x:c r="F25" s="235" t="n">
        <x:v>1330</x:v>
      </x:c>
      <x:c r="G25" s="235" t="n">
        <x:v>1510</x:v>
      </x:c>
      <x:c r="H25" s="235" t="n">
        <x:v>1610</x:v>
      </x:c>
      <x:c r="I25" s="235" t="n">
        <x:v>1630</x:v>
      </x:c>
      <x:c r="J25" s="235" t="n">
        <x:v>1730</x:v>
      </x:c>
      <x:c r="K25" s="235" t="n">
        <x:v>1870</x:v>
      </x:c>
      <x:c r="L25" s="239"/>
      <x:c r="M25" s="239"/>
      <x:c r="N25" s="239"/>
      <x:c r="O25" s="239"/>
    </x:row>
    <x:row r="26">
      <x:c r="A26" s="289" t="str">
        <x:v>  Employee cost / sales</x:v>
      </x:c>
      <x:c r="B26" s="289" t="str">
        <x:v>%</x:v>
      </x:c>
      <x:c r="C26" s="189" t="str">
        <x:v>Formula</x:v>
      </x:c>
      <x:c r="D26" s="242" t="n">
        <x:f>IF(AND(ISNUMBER(D25),ISNUMBER(D19),D19&lt;&gt;0),D25/D19,"NA")</x:f>
        <x:v>0.4642857142857143</x:v>
      </x:c>
      <x:c r="E26" s="242" t="n">
        <x:f>IF(AND(ISNUMBER(E25),ISNUMBER(E19),E19&lt;&gt;0),E25/E19,"NA")</x:f>
        <x:v>0.3409090909090909</x:v>
      </x:c>
      <x:c r="F26" s="242" t="n">
        <x:f>IF(AND(ISNUMBER(F25),ISNUMBER(F19),F19&lt;&gt;0),F25/F19,"NA")</x:f>
        <x:v>0.30227272727272725</x:v>
      </x:c>
      <x:c r="G26" s="242" t="n">
        <x:f>IF(AND(ISNUMBER(G25),ISNUMBER(G19),G19&lt;&gt;0),G25/G19,"NA")</x:f>
        <x:v>0.2603448275862069</x:v>
      </x:c>
      <x:c r="H26" s="242" t="n">
        <x:f>IF(AND(ISNUMBER(H25),ISNUMBER(H19),H19&lt;&gt;0),H25/H19,"NA")</x:f>
        <x:v>0.3245967741935484</x:v>
      </x:c>
      <x:c r="I26" s="242" t="n">
        <x:f>IF(AND(ISNUMBER(I25),ISNUMBER(I19),I19&lt;&gt;0),I25/I19,"NA")</x:f>
        <x:v>0.30353817504655495</x:v>
      </x:c>
      <x:c r="J26" s="242" t="n">
        <x:f>IF(AND(ISNUMBER(J25),ISNUMBER(J19),J19&lt;&gt;0),J25/J19,"NA")</x:f>
        <x:v>0.31115107913669066</x:v>
      </x:c>
      <x:c r="K26" s="242" t="n">
        <x:f>IF(AND(ISNUMBER(K25),ISNUMBER(K19),K19&lt;&gt;0),K25/K19,"NA")</x:f>
        <x:v>0.3106312292358804</x:v>
      </x:c>
      <x:c r="L26" s="242" t="str">
        <x:f>IF(AND(ISNUMBER(L25),ISNUMBER(L19),L19&lt;&gt;0),L25/L19,"NA")</x:f>
        <x:v>NA</x:v>
      </x:c>
      <x:c r="M26" s="242" t="str">
        <x:f>IF(AND(ISNUMBER(M25),ISNUMBER(M19),M19&lt;&gt;0),M25/M19,"NA")</x:f>
        <x:v>NA</x:v>
      </x:c>
      <x:c r="N26" s="242" t="str">
        <x:f>IF(AND(ISNUMBER(N25),ISNUMBER(N19),N19&lt;&gt;0),N25/N19,"NA")</x:f>
        <x:v>NA</x:v>
      </x:c>
      <x:c r="O26" s="242" t="str">
        <x:f>IF(AND(ISNUMBER(O25),ISNUMBER(O19),O19&lt;&gt;0),O25/O19,"NA")</x:f>
        <x:v>NA</x:v>
      </x:c>
    </x:row>
    <x:row r="27">
      <x:c r="A27" s="288" t="str">
        <x:v>Other operating expenses</x:v>
      </x:c>
      <x:c r="B27" s="288" t="str">
        <x:v>INR mn</x:v>
      </x:c>
      <x:c r="C27" s="182" t="str">
        <x:v>Reported</x:v>
      </x:c>
      <x:c r="D27" s="235" t="n">
        <x:v>500</x:v>
      </x:c>
      <x:c r="E27" s="235" t="n">
        <x:v>550</x:v>
      </x:c>
      <x:c r="F27" s="235" t="n">
        <x:v>660</x:v>
      </x:c>
      <x:c r="G27" s="235" t="n">
        <x:v>1030</x:v>
      </x:c>
      <x:c r="H27" s="235" t="n">
        <x:v>740</x:v>
      </x:c>
      <x:c r="I27" s="235" t="n">
        <x:v>890</x:v>
      </x:c>
      <x:c r="J27" s="235" t="n">
        <x:v>680</x:v>
      </x:c>
      <x:c r="K27" s="235" t="n">
        <x:v>770</x:v>
      </x:c>
      <x:c r="L27" s="239"/>
      <x:c r="M27" s="239"/>
      <x:c r="N27" s="239"/>
      <x:c r="O27" s="239"/>
    </x:row>
    <x:row r="28">
      <x:c r="A28" s="289" t="str">
        <x:v>  Other opex / sales</x:v>
      </x:c>
      <x:c r="B28" s="289" t="str">
        <x:v>%</x:v>
      </x:c>
      <x:c r="C28" s="189" t="str">
        <x:v>Formula</x:v>
      </x:c>
      <x:c r="D28" s="242" t="n">
        <x:f>IF(AND(ISNUMBER(D27),ISNUMBER(D19),D19&lt;&gt;0),D27/D19,"NA")</x:f>
        <x:v>0.17857142857142858</x:v>
      </x:c>
      <x:c r="E28" s="242" t="n">
        <x:f>IF(AND(ISNUMBER(E27),ISNUMBER(E19),E19&lt;&gt;0),E27/E19,"NA")</x:f>
        <x:v>0.1388888888888889</x:v>
      </x:c>
      <x:c r="F28" s="242" t="n">
        <x:f>IF(AND(ISNUMBER(F27),ISNUMBER(F19),F19&lt;&gt;0),F27/F19,"NA")</x:f>
        <x:v>0.15</x:v>
      </x:c>
      <x:c r="G28" s="242" t="n">
        <x:f>IF(AND(ISNUMBER(G27),ISNUMBER(G19),G19&lt;&gt;0),G27/G19,"NA")</x:f>
        <x:v>0.17758620689655172</x:v>
      </x:c>
      <x:c r="H28" s="242" t="n">
        <x:f>IF(AND(ISNUMBER(H27),ISNUMBER(H19),H19&lt;&gt;0),H27/H19,"NA")</x:f>
        <x:v>0.14919354838709678</x:v>
      </x:c>
      <x:c r="I28" s="242" t="n">
        <x:f>IF(AND(ISNUMBER(I27),ISNUMBER(I19),I19&lt;&gt;0),I27/I19,"NA")</x:f>
        <x:v>0.16573556797020483</x:v>
      </x:c>
      <x:c r="J28" s="242" t="n">
        <x:f>IF(AND(ISNUMBER(J27),ISNUMBER(J19),J19&lt;&gt;0),J27/J19,"NA")</x:f>
        <x:v>0.1223021582733813</x:v>
      </x:c>
      <x:c r="K28" s="242" t="n">
        <x:f>IF(AND(ISNUMBER(K27),ISNUMBER(K19),K19&lt;&gt;0),K27/K19,"NA")</x:f>
        <x:v>0.12790697674418605</x:v>
      </x:c>
      <x:c r="L28" s="242" t="str">
        <x:f>IF(AND(ISNUMBER(L27),ISNUMBER(L19),L19&lt;&gt;0),L27/L19,"NA")</x:f>
        <x:v>NA</x:v>
      </x:c>
      <x:c r="M28" s="242" t="str">
        <x:f>IF(AND(ISNUMBER(M27),ISNUMBER(M19),M19&lt;&gt;0),M27/M19,"NA")</x:f>
        <x:v>NA</x:v>
      </x:c>
      <x:c r="N28" s="242" t="str">
        <x:f>IF(AND(ISNUMBER(N27),ISNUMBER(N19),N19&lt;&gt;0),N27/N19,"NA")</x:f>
        <x:v>NA</x:v>
      </x:c>
      <x:c r="O28" s="242" t="str">
        <x:f>IF(AND(ISNUMBER(O27),ISNUMBER(O19),O19&lt;&gt;0),O27/O19,"NA")</x:f>
        <x:v>NA</x:v>
      </x:c>
    </x:row>
    <x:row r="29">
      <x:c r="A29" s="288" t="str">
        <x:v>Forex (gain) / loss</x:v>
      </x:c>
      <x:c r="B29" s="288" t="str">
        <x:v>INR mn</x:v>
      </x:c>
      <x:c r="C29" s="182" t="str">
        <x:v>Reported | negative = gain</x:v>
      </x:c>
      <x:c r="D29" s="235" t="n">
        <x:v>-50</x:v>
      </x:c>
      <x:c r="E29" s="235" t="n">
        <x:v>-60</x:v>
      </x:c>
      <x:c r="F29" s="235" t="n">
        <x:v>-50</x:v>
      </x:c>
      <x:c r="G29" s="235" t="n">
        <x:v>-30</x:v>
      </x:c>
      <x:c r="H29" s="235" t="n">
        <x:v>-40</x:v>
      </x:c>
      <x:c r="I29" s="235" t="n">
        <x:v>-100</x:v>
      </x:c>
      <x:c r="J29" s="235" t="n">
        <x:v>-30</x:v>
      </x:c>
      <x:c r="K29" s="235" t="n">
        <x:v>-120</x:v>
      </x:c>
      <x:c r="L29" s="239"/>
      <x:c r="M29" s="239"/>
      <x:c r="N29" s="239"/>
      <x:c r="O29" s="239"/>
    </x:row>
    <x:row r="30">
      <x:c r="A30" s="288" t="str">
        <x:v>EBITDA</x:v>
      </x:c>
      <x:c r="B30" s="288" t="str">
        <x:v>INR mn</x:v>
      </x:c>
      <x:c r="C30" s="182" t="str">
        <x:v>Reported | company definition</x:v>
      </x:c>
      <x:c r="D30" s="235" t="n">
        <x:v>310</x:v>
      </x:c>
      <x:c r="E30" s="235" t="n">
        <x:v>1090</x:v>
      </x:c>
      <x:c r="F30" s="235" t="n">
        <x:v>1240</x:v>
      </x:c>
      <x:c r="G30" s="235" t="n">
        <x:v>1610</x:v>
      </x:c>
      <x:c r="H30" s="235" t="n">
        <x:v>1250</x:v>
      </x:c>
      <x:c r="I30" s="235" t="n">
        <x:v>1560</x:v>
      </x:c>
      <x:c r="J30" s="235" t="n">
        <x:v>1910</x:v>
      </x:c>
      <x:c r="K30" s="235" t="n">
        <x:v>1890</x:v>
      </x:c>
      <x:c r="L30" s="239"/>
      <x:c r="M30" s="239"/>
      <x:c r="N30" s="239"/>
      <x:c r="O30" s="239"/>
    </x:row>
    <x:row r="31">
      <x:c r="A31" s="289" t="str">
        <x:v>  EBITDA YoY growth</x:v>
      </x:c>
      <x:c r="B31" s="289" t="str">
        <x:v>%</x:v>
      </x:c>
      <x:c r="C31" s="189" t="str">
        <x:v>Formula</x:v>
      </x:c>
      <x:c r="D31" s="242" t="str">
        <x:f>"NA"</x:f>
        <x:v>NA</x:v>
      </x:c>
      <x:c r="E31" s="242" t="str">
        <x:f>"NA"</x:f>
        <x:v>NA</x:v>
      </x:c>
      <x:c r="F31" s="242" t="str">
        <x:f>"NA"</x:f>
        <x:v>NA</x:v>
      </x:c>
      <x:c r="G31" s="242" t="str">
        <x:f>"NA"</x:f>
        <x:v>NA</x:v>
      </x:c>
      <x:c r="H31" s="242" t="n">
        <x:f>IF(AND(ISNUMBER(H30),ISNUMBER(D30),D30&lt;&gt;0),H30/D30-1,"NA")</x:f>
        <x:v>3.032258064516129</x:v>
      </x:c>
      <x:c r="I31" s="242" t="n">
        <x:f>IF(AND(ISNUMBER(I30),ISNUMBER(E30),E30&lt;&gt;0),I30/E30-1,"NA")</x:f>
        <x:v>0.4311926605504588</x:v>
      </x:c>
      <x:c r="J31" s="242" t="n">
        <x:f>IF(AND(ISNUMBER(J30),ISNUMBER(F30),F30&lt;&gt;0),J30/F30-1,"NA")</x:f>
        <x:v>0.5403225806451613</x:v>
      </x:c>
      <x:c r="K31" s="242" t="n">
        <x:f>IF(AND(ISNUMBER(K30),ISNUMBER(G30),G30&lt;&gt;0),K30/G30-1,"NA")</x:f>
        <x:v>0.17391304347826098</x:v>
      </x:c>
      <x:c r="L31" s="242" t="str">
        <x:f>IF(AND(ISNUMBER(L30),ISNUMBER(H30),H30&lt;&gt;0),L30/H30-1,"NA")</x:f>
        <x:v>NA</x:v>
      </x:c>
      <x:c r="M31" s="242" t="str">
        <x:f>IF(AND(ISNUMBER(M30),ISNUMBER(I30),I30&lt;&gt;0),M30/I30-1,"NA")</x:f>
        <x:v>NA</x:v>
      </x:c>
      <x:c r="N31" s="242" t="str">
        <x:f>IF(AND(ISNUMBER(N30),ISNUMBER(J30),J30&lt;&gt;0),N30/J30-1,"NA")</x:f>
        <x:v>NA</x:v>
      </x:c>
      <x:c r="O31" s="242" t="str">
        <x:f>IF(AND(ISNUMBER(O30),ISNUMBER(K30),K30&lt;&gt;0),O30/K30-1,"NA")</x:f>
        <x:v>NA</x:v>
      </x:c>
    </x:row>
    <x:row r="32">
      <x:c r="A32" s="289" t="str">
        <x:v>  EBITDA QoQ growth</x:v>
      </x:c>
      <x:c r="B32" s="289" t="str">
        <x:v>%</x:v>
      </x:c>
      <x:c r="C32" s="189" t="str">
        <x:v>Formula</x:v>
      </x:c>
      <x:c r="D32" s="242" t="str">
        <x:f>"NA"</x:f>
        <x:v>NA</x:v>
      </x:c>
      <x:c r="E32" s="242" t="n">
        <x:f>IF(AND(ISNUMBER(E30),ISNUMBER(D30),D30&lt;&gt;0),E30/D30-1,"NA")</x:f>
        <x:v>2.5161290322580645</x:v>
      </x:c>
      <x:c r="F32" s="242" t="n">
        <x:f>IF(AND(ISNUMBER(F30),ISNUMBER(E30),E30&lt;&gt;0),F30/E30-1,"NA")</x:f>
        <x:v>0.13761467889908263</x:v>
      </x:c>
      <x:c r="G32" s="242" t="n">
        <x:f>IF(AND(ISNUMBER(G30),ISNUMBER(F30),F30&lt;&gt;0),G30/F30-1,"NA")</x:f>
        <x:v>0.2983870967741935</x:v>
      </x:c>
      <x:c r="H32" s="242" t="n">
        <x:f>IF(AND(ISNUMBER(H30),ISNUMBER(G30),G30&lt;&gt;0),H30/G30-1,"NA")</x:f>
        <x:v>-0.22360248447204967</x:v>
      </x:c>
      <x:c r="I32" s="242" t="n">
        <x:f>IF(AND(ISNUMBER(I30),ISNUMBER(H30),H30&lt;&gt;0),I30/H30-1,"NA")</x:f>
        <x:v>0.248</x:v>
      </x:c>
      <x:c r="J32" s="242" t="n">
        <x:f>IF(AND(ISNUMBER(J30),ISNUMBER(I30),I30&lt;&gt;0),J30/I30-1,"NA")</x:f>
        <x:v>0.22435897435897445</x:v>
      </x:c>
      <x:c r="K32" s="242" t="n">
        <x:f>IF(AND(ISNUMBER(K30),ISNUMBER(J30),J30&lt;&gt;0),K30/J30-1,"NA")</x:f>
        <x:v>-0.010471204188481686</x:v>
      </x:c>
      <x:c r="L32" s="242" t="str">
        <x:f>IF(AND(ISNUMBER(L30),ISNUMBER(K30),K30&lt;&gt;0),L30/K30-1,"NA")</x:f>
        <x:v>NA</x:v>
      </x:c>
      <x:c r="M32" s="242" t="str">
        <x:f>IF(AND(ISNUMBER(M30),ISNUMBER(L30),L30&lt;&gt;0),M30/L30-1,"NA")</x:f>
        <x:v>NA</x:v>
      </x:c>
      <x:c r="N32" s="242" t="str">
        <x:f>IF(AND(ISNUMBER(N30),ISNUMBER(M30),M30&lt;&gt;0),N30/M30-1,"NA")</x:f>
        <x:v>NA</x:v>
      </x:c>
      <x:c r="O32" s="242" t="str">
        <x:f>IF(AND(ISNUMBER(O30),ISNUMBER(N30),N30&lt;&gt;0),O30/N30-1,"NA")</x:f>
        <x:v>NA</x:v>
      </x:c>
    </x:row>
    <x:row r="33">
      <x:c r="A33" s="289" t="str">
        <x:v>  EBITDA margin</x:v>
      </x:c>
      <x:c r="B33" s="289" t="str">
        <x:v>%</x:v>
      </x:c>
      <x:c r="C33" s="189" t="str">
        <x:v>Formula</x:v>
      </x:c>
      <x:c r="D33" s="242" t="n">
        <x:f>IF(AND(ISNUMBER(D30),ISNUMBER(D19),D19&lt;&gt;0),D30/D19,"NA")</x:f>
        <x:v>0.11071428571428571</x:v>
      </x:c>
      <x:c r="E33" s="242" t="n">
        <x:f>IF(AND(ISNUMBER(E30),ISNUMBER(E19),E19&lt;&gt;0),E30/E19,"NA")</x:f>
        <x:v>0.27525252525252525</x:v>
      </x:c>
      <x:c r="F33" s="242" t="n">
        <x:f>IF(AND(ISNUMBER(F30),ISNUMBER(F19),F19&lt;&gt;0),F30/F19,"NA")</x:f>
        <x:v>0.2818181818181818</x:v>
      </x:c>
      <x:c r="G33" s="242" t="n">
        <x:f>IF(AND(ISNUMBER(G30),ISNUMBER(G19),G19&lt;&gt;0),G30/G19,"NA")</x:f>
        <x:v>0.2775862068965517</x:v>
      </x:c>
      <x:c r="H33" s="242" t="n">
        <x:f>IF(AND(ISNUMBER(H30),ISNUMBER(H19),H19&lt;&gt;0),H30/H19,"NA")</x:f>
        <x:v>0.25201612903225806</x:v>
      </x:c>
      <x:c r="I33" s="242" t="n">
        <x:f>IF(AND(ISNUMBER(I30),ISNUMBER(I19),I19&lt;&gt;0),I30/I19,"NA")</x:f>
        <x:v>0.2905027932960894</x:v>
      </x:c>
      <x:c r="J33" s="242" t="n">
        <x:f>IF(AND(ISNUMBER(J30),ISNUMBER(J19),J19&lt;&gt;0),J30/J19,"NA")</x:f>
        <x:v>0.3435251798561151</x:v>
      </x:c>
      <x:c r="K33" s="242" t="n">
        <x:f>IF(AND(ISNUMBER(K30),ISNUMBER(K19),K19&lt;&gt;0),K30/K19,"NA")</x:f>
        <x:v>0.313953488372093</x:v>
      </x:c>
      <x:c r="L33" s="242" t="str">
        <x:f>IF(AND(ISNUMBER(L30),ISNUMBER(L19),L19&lt;&gt;0),L30/L19,"NA")</x:f>
        <x:v>NA</x:v>
      </x:c>
      <x:c r="M33" s="242" t="str">
        <x:f>IF(AND(ISNUMBER(M30),ISNUMBER(M19),M19&lt;&gt;0),M30/M19,"NA")</x:f>
        <x:v>NA</x:v>
      </x:c>
      <x:c r="N33" s="242" t="str">
        <x:f>IF(AND(ISNUMBER(N30),ISNUMBER(N19),N19&lt;&gt;0),N30/N19,"NA")</x:f>
        <x:v>NA</x:v>
      </x:c>
      <x:c r="O33" s="242" t="str">
        <x:f>IF(AND(ISNUMBER(O30),ISNUMBER(O19),O19&lt;&gt;0),O30/O19,"NA")</x:f>
        <x:v>NA</x:v>
      </x:c>
    </x:row>
    <x:row r="34">
      <x:c r="A34" s="288" t="str">
        <x:v>Depreciation &amp; amortisation</x:v>
      </x:c>
      <x:c r="B34" s="288" t="str">
        <x:v>INR mn</x:v>
      </x:c>
      <x:c r="C34" s="182" t="str">
        <x:v>Reported</x:v>
      </x:c>
      <x:c r="D34" s="235" t="n">
        <x:v>310</x:v>
      </x:c>
      <x:c r="E34" s="235" t="n">
        <x:v>360</x:v>
      </x:c>
      <x:c r="F34" s="235" t="n">
        <x:v>340</x:v>
      </x:c>
      <x:c r="G34" s="235" t="n">
        <x:v>370</x:v>
      </x:c>
      <x:c r="H34" s="235" t="n">
        <x:v>380</x:v>
      </x:c>
      <x:c r="I34" s="235" t="n">
        <x:v>400</x:v>
      </x:c>
      <x:c r="J34" s="235" t="n">
        <x:v>440</x:v>
      </x:c>
      <x:c r="K34" s="235" t="n">
        <x:v>450</x:v>
      </x:c>
      <x:c r="L34" s="239"/>
      <x:c r="M34" s="239"/>
      <x:c r="N34" s="239"/>
      <x:c r="O34" s="239"/>
    </x:row>
    <x:row r="35">
      <x:c r="A35" s="289" t="str">
        <x:v>EBIT</x:v>
      </x:c>
      <x:c r="B35" s="289" t="str">
        <x:v>INR mn</x:v>
      </x:c>
      <x:c r="C35" s="189" t="str">
        <x:v>Formula: EBITDA less D&amp;A</x:v>
      </x:c>
      <x:c r="D35" s="243" t="n">
        <x:f>IF(AND(ISNUMBER(D30),ISNUMBER(D34)),D30-D34,"NA")</x:f>
        <x:v>0</x:v>
      </x:c>
      <x:c r="E35" s="243" t="n">
        <x:f>IF(AND(ISNUMBER(E30),ISNUMBER(E34)),E30-E34,"NA")</x:f>
        <x:v>730</x:v>
      </x:c>
      <x:c r="F35" s="243" t="n">
        <x:f>IF(AND(ISNUMBER(F30),ISNUMBER(F34)),F30-F34,"NA")</x:f>
        <x:v>900</x:v>
      </x:c>
      <x:c r="G35" s="243" t="n">
        <x:f>IF(AND(ISNUMBER(G30),ISNUMBER(G34)),G30-G34,"NA")</x:f>
        <x:v>1240</x:v>
      </x:c>
      <x:c r="H35" s="243" t="n">
        <x:f>IF(AND(ISNUMBER(H30),ISNUMBER(H34)),H30-H34,"NA")</x:f>
        <x:v>870</x:v>
      </x:c>
      <x:c r="I35" s="243" t="n">
        <x:f>IF(AND(ISNUMBER(I30),ISNUMBER(I34)),I30-I34,"NA")</x:f>
        <x:v>1160</x:v>
      </x:c>
      <x:c r="J35" s="243" t="n">
        <x:f>IF(AND(ISNUMBER(J30),ISNUMBER(J34)),J30-J34,"NA")</x:f>
        <x:v>1470</x:v>
      </x:c>
      <x:c r="K35" s="243" t="n">
        <x:f>IF(AND(ISNUMBER(K30),ISNUMBER(K34)),K30-K34,"NA")</x:f>
        <x:v>1440</x:v>
      </x:c>
      <x:c r="L35" s="243" t="str">
        <x:f>IF(AND(ISNUMBER(L30),ISNUMBER(L34)),L30-L34,"NA")</x:f>
        <x:v>NA</x:v>
      </x:c>
      <x:c r="M35" s="243" t="str">
        <x:f>IF(AND(ISNUMBER(M30),ISNUMBER(M34)),M30-M34,"NA")</x:f>
        <x:v>NA</x:v>
      </x:c>
      <x:c r="N35" s="243" t="str">
        <x:f>IF(AND(ISNUMBER(N30),ISNUMBER(N34)),N30-N34,"NA")</x:f>
        <x:v>NA</x:v>
      </x:c>
      <x:c r="O35" s="243" t="str">
        <x:f>IF(AND(ISNUMBER(O30),ISNUMBER(O34)),O30-O34,"NA")</x:f>
        <x:v>NA</x:v>
      </x:c>
    </x:row>
    <x:row r="36">
      <x:c r="A36" s="289" t="str">
        <x:v>  EBIT margin</x:v>
      </x:c>
      <x:c r="B36" s="289" t="str">
        <x:v>%</x:v>
      </x:c>
      <x:c r="C36" s="189" t="str">
        <x:v>Formula</x:v>
      </x:c>
      <x:c r="D36" s="242" t="n">
        <x:f>IF(AND(ISNUMBER(D35),ISNUMBER(D19),D19&lt;&gt;0),D35/D19,"NA")</x:f>
        <x:v>0</x:v>
      </x:c>
      <x:c r="E36" s="242" t="n">
        <x:f>IF(AND(ISNUMBER(E35),ISNUMBER(E19),E19&lt;&gt;0),E35/E19,"NA")</x:f>
        <x:v>0.18434343434343434</x:v>
      </x:c>
      <x:c r="F36" s="242" t="n">
        <x:f>IF(AND(ISNUMBER(F35),ISNUMBER(F19),F19&lt;&gt;0),F35/F19,"NA")</x:f>
        <x:v>0.20454545454545456</x:v>
      </x:c>
      <x:c r="G36" s="242" t="n">
        <x:f>IF(AND(ISNUMBER(G35),ISNUMBER(G19),G19&lt;&gt;0),G35/G19,"NA")</x:f>
        <x:v>0.21379310344827587</x:v>
      </x:c>
      <x:c r="H36" s="242" t="n">
        <x:f>IF(AND(ISNUMBER(H35),ISNUMBER(H19),H19&lt;&gt;0),H35/H19,"NA")</x:f>
        <x:v>0.17540322580645162</x:v>
      </x:c>
      <x:c r="I36" s="242" t="n">
        <x:f>IF(AND(ISNUMBER(I35),ISNUMBER(I19),I19&lt;&gt;0),I35/I19,"NA")</x:f>
        <x:v>0.21601489757914338</x:v>
      </x:c>
      <x:c r="J36" s="242" t="n">
        <x:f>IF(AND(ISNUMBER(J35),ISNUMBER(J19),J19&lt;&gt;0),J35/J19,"NA")</x:f>
        <x:v>0.2643884892086331</x:v>
      </x:c>
      <x:c r="K36" s="242" t="n">
        <x:f>IF(AND(ISNUMBER(K35),ISNUMBER(K19),K19&lt;&gt;0),K35/K19,"NA")</x:f>
        <x:v>0.23920265780730898</x:v>
      </x:c>
      <x:c r="L36" s="242" t="str">
        <x:f>IF(AND(ISNUMBER(L35),ISNUMBER(L19),L19&lt;&gt;0),L35/L19,"NA")</x:f>
        <x:v>NA</x:v>
      </x:c>
      <x:c r="M36" s="242" t="str">
        <x:f>IF(AND(ISNUMBER(M35),ISNUMBER(M19),M19&lt;&gt;0),M35/M19,"NA")</x:f>
        <x:v>NA</x:v>
      </x:c>
      <x:c r="N36" s="242" t="str">
        <x:f>IF(AND(ISNUMBER(N35),ISNUMBER(N19),N19&lt;&gt;0),N35/N19,"NA")</x:f>
        <x:v>NA</x:v>
      </x:c>
      <x:c r="O36" s="242" t="str">
        <x:f>IF(AND(ISNUMBER(O35),ISNUMBER(O19),O19&lt;&gt;0),O35/O19,"NA")</x:f>
        <x:v>NA</x:v>
      </x:c>
    </x:row>
    <x:row r="37">
      <x:c r="A37" s="288" t="str">
        <x:v>Other income</x:v>
      </x:c>
      <x:c r="B37" s="288" t="str">
        <x:v>INR mn</x:v>
      </x:c>
      <x:c r="C37" s="182" t="str">
        <x:v>Reported</x:v>
      </x:c>
      <x:c r="D37" s="235" t="n">
        <x:v>80</x:v>
      </x:c>
      <x:c r="E37" s="235" t="n">
        <x:v>40</x:v>
      </x:c>
      <x:c r="F37" s="235" t="n">
        <x:v>40</x:v>
      </x:c>
      <x:c r="G37" s="235" t="n">
        <x:v>60</x:v>
      </x:c>
      <x:c r="H37" s="235" t="n">
        <x:v>100</x:v>
      </x:c>
      <x:c r="I37" s="235" t="n">
        <x:v>50</x:v>
      </x:c>
      <x:c r="J37" s="235" t="n">
        <x:v>50</x:v>
      </x:c>
      <x:c r="K37" s="235" t="n">
        <x:v>30</x:v>
      </x:c>
      <x:c r="L37" s="239"/>
      <x:c r="M37" s="239"/>
      <x:c r="N37" s="239"/>
      <x:c r="O37" s="239"/>
    </x:row>
    <x:row r="38">
      <x:c r="A38" s="288" t="str">
        <x:v>Finance cost</x:v>
      </x:c>
      <x:c r="B38" s="288" t="str">
        <x:v>INR mn</x:v>
      </x:c>
      <x:c r="C38" s="182" t="str">
        <x:v>Reported</x:v>
      </x:c>
      <x:c r="D38" s="235" t="n">
        <x:v>210</x:v>
      </x:c>
      <x:c r="E38" s="235" t="n">
        <x:v>210</x:v>
      </x:c>
      <x:c r="F38" s="235" t="n">
        <x:v>230</x:v>
      </x:c>
      <x:c r="G38" s="235" t="n">
        <x:v>110</x:v>
      </x:c>
      <x:c r="H38" s="235" t="n">
        <x:v>120</x:v>
      </x:c>
      <x:c r="I38" s="235" t="n">
        <x:v>90</x:v>
      </x:c>
      <x:c r="J38" s="235" t="n">
        <x:v>100</x:v>
      </x:c>
      <x:c r="K38" s="235" t="n">
        <x:v>80</x:v>
      </x:c>
      <x:c r="L38" s="239"/>
      <x:c r="M38" s="239"/>
      <x:c r="N38" s="239"/>
      <x:c r="O38" s="239"/>
    </x:row>
    <x:row r="39">
      <x:c r="A39" s="288" t="str">
        <x:v>Exceptional items</x:v>
      </x:c>
      <x:c r="B39" s="288" t="str">
        <x:v>INR mn</x:v>
      </x:c>
      <x:c r="C39" s="182" t="str">
        <x:v>Reported | loss shown negative</x:v>
      </x:c>
      <x:c r="D39" s="235" t="n">
        <x:v>0</x:v>
      </x:c>
      <x:c r="E39" s="235" t="n">
        <x:v>0</x:v>
      </x:c>
      <x:c r="F39" s="235" t="n">
        <x:v>0</x:v>
      </x:c>
      <x:c r="G39" s="235" t="n">
        <x:v>0</x:v>
      </x:c>
      <x:c r="H39" s="235" t="n">
        <x:v>0</x:v>
      </x:c>
      <x:c r="I39" s="235" t="n">
        <x:v>0</x:v>
      </x:c>
      <x:c r="J39" s="235" t="n">
        <x:v>-80</x:v>
      </x:c>
      <x:c r="K39" s="235" t="n">
        <x:v>0</x:v>
      </x:c>
      <x:c r="L39" s="239"/>
      <x:c r="M39" s="239"/>
      <x:c r="N39" s="239"/>
      <x:c r="O39" s="239"/>
    </x:row>
    <x:row r="40">
      <x:c r="A40" s="288" t="str">
        <x:v>Profit before tax</x:v>
      </x:c>
      <x:c r="B40" s="288" t="str">
        <x:v>INR mn</x:v>
      </x:c>
      <x:c r="C40" s="182" t="str">
        <x:v>Reported</x:v>
      </x:c>
      <x:c r="D40" s="235" t="n">
        <x:v>-180</x:v>
      </x:c>
      <x:c r="E40" s="235" t="n">
        <x:v>550</x:v>
      </x:c>
      <x:c r="F40" s="235" t="n">
        <x:v>720</x:v>
      </x:c>
      <x:c r="G40" s="235" t="n">
        <x:v>1190</x:v>
      </x:c>
      <x:c r="H40" s="235" t="n">
        <x:v>810</x:v>
      </x:c>
      <x:c r="I40" s="235" t="n">
        <x:v>1120</x:v>
      </x:c>
      <x:c r="J40" s="235" t="n">
        <x:v>1340</x:v>
      </x:c>
      <x:c r="K40" s="235" t="n">
        <x:v>1390</x:v>
      </x:c>
      <x:c r="L40" s="239"/>
      <x:c r="M40" s="239"/>
      <x:c r="N40" s="239"/>
      <x:c r="O40" s="239"/>
    </x:row>
    <x:row r="41">
      <x:c r="A41" s="288" t="str">
        <x:v>Tax expense</x:v>
      </x:c>
      <x:c r="B41" s="288" t="str">
        <x:v>INR mn</x:v>
      </x:c>
      <x:c r="C41" s="182" t="str">
        <x:v>Reported | tax credit shown negative</x:v>
      </x:c>
      <x:c r="D41" s="235" t="n">
        <x:v>-50</x:v>
      </x:c>
      <x:c r="E41" s="235" t="n">
        <x:v>140</x:v>
      </x:c>
      <x:c r="F41" s="235" t="n">
        <x:v>180</x:v>
      </x:c>
      <x:c r="G41" s="235" t="n">
        <x:v>310</x:v>
      </x:c>
      <x:c r="H41" s="235" t="n">
        <x:v>200</x:v>
      </x:c>
      <x:c r="I41" s="235" t="n">
        <x:v>280</x:v>
      </x:c>
      <x:c r="J41" s="235" t="n">
        <x:v>340</x:v>
      </x:c>
      <x:c r="K41" s="235" t="n">
        <x:v>350</x:v>
      </x:c>
      <x:c r="L41" s="239"/>
      <x:c r="M41" s="239"/>
      <x:c r="N41" s="239"/>
      <x:c r="O41" s="239"/>
    </x:row>
    <x:row r="42">
      <x:c r="A42" s="288" t="str">
        <x:v>Profit after tax</x:v>
      </x:c>
      <x:c r="B42" s="288" t="str">
        <x:v>INR mn</x:v>
      </x:c>
      <x:c r="C42" s="182" t="str">
        <x:v>Reported statutory PAT</x:v>
      </x:c>
      <x:c r="D42" s="235" t="n">
        <x:v>-130</x:v>
      </x:c>
      <x:c r="E42" s="235" t="n">
        <x:v>420</x:v>
      </x:c>
      <x:c r="F42" s="235" t="n">
        <x:v>540</x:v>
      </x:c>
      <x:c r="G42" s="235" t="n">
        <x:v>880</x:v>
      </x:c>
      <x:c r="H42" s="235" t="n">
        <x:v>600</x:v>
      </x:c>
      <x:c r="I42" s="235" t="n">
        <x:v>840</x:v>
      </x:c>
      <x:c r="J42" s="235" t="n">
        <x:v>1000</x:v>
      </x:c>
      <x:c r="K42" s="235" t="n">
        <x:v>1040</x:v>
      </x:c>
      <x:c r="L42" s="239"/>
      <x:c r="M42" s="239"/>
      <x:c r="N42" s="239"/>
      <x:c r="O42" s="239"/>
    </x:row>
    <x:row r="43">
      <x:c r="A43" s="289" t="str">
        <x:v>  PAT YoY growth</x:v>
      </x:c>
      <x:c r="B43" s="289" t="str">
        <x:v>%</x:v>
      </x:c>
      <x:c r="C43" s="189" t="str">
        <x:v>Formula</x:v>
      </x:c>
      <x:c r="D43" s="242" t="str">
        <x:v>NA</x:v>
      </x:c>
      <x:c r="E43" s="242" t="str">
        <x:v>NA</x:v>
      </x:c>
      <x:c r="F43" s="242" t="str">
        <x:v>NA</x:v>
      </x:c>
      <x:c r="G43" s="242" t="str">
        <x:v>NA</x:v>
      </x:c>
      <x:c r="H43" s="242" t="str">
        <x:f>IF(H42="","NA",IF(D42&lt;=0,"NM",H42/D42-1))</x:f>
        <x:v>NM</x:v>
      </x:c>
      <x:c r="I43" s="242" t="n">
        <x:f>IF(I42="","NA",IF(E42&lt;=0,"NM",I42/E42-1))</x:f>
        <x:v>1</x:v>
      </x:c>
      <x:c r="J43" s="242" t="n">
        <x:f>IF(J42="","NA",IF(F42&lt;=0,"NM",J42/F42-1))</x:f>
        <x:v>0.8518518518518519</x:v>
      </x:c>
      <x:c r="K43" s="242" t="n">
        <x:f>IF(K42="","NA",IF(G42&lt;=0,"NM",K42/G42-1))</x:f>
        <x:v>0.18181818181818188</x:v>
      </x:c>
      <x:c r="L43" s="242" t="str">
        <x:f>IF(L42="","NA",IF(H42&lt;=0,"NM",L42/H42-1))</x:f>
        <x:v>NA</x:v>
      </x:c>
      <x:c r="M43" s="242" t="str">
        <x:f>IF(M42="","NA",IF(I42&lt;=0,"NM",M42/I42-1))</x:f>
        <x:v>NA</x:v>
      </x:c>
      <x:c r="N43" s="242" t="str">
        <x:f>IF(N42="","NA",IF(J42&lt;=0,"NM",N42/J42-1))</x:f>
        <x:v>NA</x:v>
      </x:c>
      <x:c r="O43" s="242" t="str">
        <x:f>IF(O42="","NA",IF(K42&lt;=0,"NM",O42/K42-1))</x:f>
        <x:v>NA</x:v>
      </x:c>
    </x:row>
    <x:row r="44">
      <x:c r="A44" s="289" t="str">
        <x:v>  PAT QoQ growth</x:v>
      </x:c>
      <x:c r="B44" s="289" t="str">
        <x:v>%</x:v>
      </x:c>
      <x:c r="C44" s="189" t="str">
        <x:v>Formula</x:v>
      </x:c>
      <x:c r="D44" s="242" t="str">
        <x:v>NA</x:v>
      </x:c>
      <x:c r="E44" s="242" t="str">
        <x:f>IF(E42="","NA",IF(D42&lt;=0,"NM",E42/D42-1))</x:f>
        <x:v>NM</x:v>
      </x:c>
      <x:c r="F44" s="242" t="n">
        <x:f>IF(F42="","NA",IF(E42&lt;=0,"NM",F42/E42-1))</x:f>
        <x:v>0.2857142857142858</x:v>
      </x:c>
      <x:c r="G44" s="242" t="n">
        <x:f>IF(G42="","NA",IF(F42&lt;=0,"NM",G42/F42-1))</x:f>
        <x:v>0.6296296296296295</x:v>
      </x:c>
      <x:c r="H44" s="242" t="n">
        <x:f>IF(H42="","NA",IF(G42&lt;=0,"NM",H42/G42-1))</x:f>
        <x:v>-0.31818181818181823</x:v>
      </x:c>
      <x:c r="I44" s="242" t="n">
        <x:f>IF(I42="","NA",IF(H42&lt;=0,"NM",I42/H42-1))</x:f>
        <x:v>0.3999999999999999</x:v>
      </x:c>
      <x:c r="J44" s="242" t="n">
        <x:f>IF(J42="","NA",IF(I42&lt;=0,"NM",J42/I42-1))</x:f>
        <x:v>0.19047619047619047</x:v>
      </x:c>
      <x:c r="K44" s="242" t="n">
        <x:f>IF(K42="","NA",IF(J42&lt;=0,"NM",K42/J42-1))</x:f>
        <x:v>0.040000000000000036</x:v>
      </x:c>
      <x:c r="L44" s="242" t="str">
        <x:f>IF(L42="","NA",IF(K42&lt;=0,"NM",L42/K42-1))</x:f>
        <x:v>NA</x:v>
      </x:c>
      <x:c r="M44" s="242" t="str">
        <x:f>IF(M42="","NA",IF(L42&lt;=0,"NM",M42/L42-1))</x:f>
        <x:v>NA</x:v>
      </x:c>
      <x:c r="N44" s="242" t="str">
        <x:f>IF(N42="","NA",IF(M42&lt;=0,"NM",N42/M42-1))</x:f>
        <x:v>NA</x:v>
      </x:c>
      <x:c r="O44" s="242" t="str">
        <x:f>IF(O42="","NA",IF(N42&lt;=0,"NM",O42/N42-1))</x:f>
        <x:v>NA</x:v>
      </x:c>
    </x:row>
    <x:row r="45">
      <x:c r="A45" s="289" t="str">
        <x:v>  PAT margin</x:v>
      </x:c>
      <x:c r="B45" s="289" t="str">
        <x:v>%</x:v>
      </x:c>
      <x:c r="C45" s="189" t="str">
        <x:v>Formula</x:v>
      </x:c>
      <x:c r="D45" s="242" t="n">
        <x:f>IF(AND(ISNUMBER(D42),ISNUMBER(D19),D19&lt;&gt;0),D42/D19,"NA")</x:f>
        <x:v>-0.04642857142857143</x:v>
      </x:c>
      <x:c r="E45" s="242" t="n">
        <x:f>IF(AND(ISNUMBER(E42),ISNUMBER(E19),E19&lt;&gt;0),E42/E19,"NA")</x:f>
        <x:v>0.10606060606060606</x:v>
      </x:c>
      <x:c r="F45" s="242" t="n">
        <x:f>IF(AND(ISNUMBER(F42),ISNUMBER(F19),F19&lt;&gt;0),F42/F19,"NA")</x:f>
        <x:v>0.12272727272727273</x:v>
      </x:c>
      <x:c r="G45" s="242" t="n">
        <x:f>IF(AND(ISNUMBER(G42),ISNUMBER(G19),G19&lt;&gt;0),G42/G19,"NA")</x:f>
        <x:v>0.15172413793103448</x:v>
      </x:c>
      <x:c r="H45" s="242" t="n">
        <x:f>IF(AND(ISNUMBER(H42),ISNUMBER(H19),H19&lt;&gt;0),H42/H19,"NA")</x:f>
        <x:v>0.12096774193548387</x:v>
      </x:c>
      <x:c r="I45" s="242" t="n">
        <x:f>IF(AND(ISNUMBER(I42),ISNUMBER(I19),I19&lt;&gt;0),I42/I19,"NA")</x:f>
        <x:v>0.1564245810055866</x:v>
      </x:c>
      <x:c r="J45" s="242" t="n">
        <x:f>IF(AND(ISNUMBER(J42),ISNUMBER(J19),J19&lt;&gt;0),J42/J19,"NA")</x:f>
        <x:v>0.17985611510791366</x:v>
      </x:c>
      <x:c r="K45" s="242" t="n">
        <x:f>IF(AND(ISNUMBER(K42),ISNUMBER(K19),K19&lt;&gt;0),K42/K19,"NA")</x:f>
        <x:v>0.17275747508305647</x:v>
      </x:c>
      <x:c r="L45" s="242" t="str">
        <x:f>IF(AND(ISNUMBER(L42),ISNUMBER(L19),L19&lt;&gt;0),L42/L19,"NA")</x:f>
        <x:v>NA</x:v>
      </x:c>
      <x:c r="M45" s="242" t="str">
        <x:f>IF(AND(ISNUMBER(M42),ISNUMBER(M19),M19&lt;&gt;0),M42/M19,"NA")</x:f>
        <x:v>NA</x:v>
      </x:c>
      <x:c r="N45" s="242" t="str">
        <x:f>IF(AND(ISNUMBER(N42),ISNUMBER(N19),N19&lt;&gt;0),N42/N19,"NA")</x:f>
        <x:v>NA</x:v>
      </x:c>
      <x:c r="O45" s="242" t="str">
        <x:f>IF(AND(ISNUMBER(O42),ISNUMBER(O19),O19&lt;&gt;0),O42/O19,"NA")</x:f>
        <x:v>NA</x:v>
      </x:c>
    </x:row>
    <x:row r="46">
      <x:c r="A46" s="288" t="str">
        <x:v>Diluted EPS</x:v>
      </x:c>
      <x:c r="B46" s="288" t="str">
        <x:v>INR/share</x:v>
      </x:c>
      <x:c r="C46" s="182" t="str">
        <x:v>Reported | official consolidated financial results (NSE)</x:v>
      </x:c>
      <x:c r="D46" s="244" t="n">
        <x:v>-0.74</x:v>
      </x:c>
      <x:c r="E46" s="244" t="n">
        <x:v>2.21</x:v>
      </x:c>
      <x:c r="F46" s="244" t="n">
        <x:v>2.84</x:v>
      </x:c>
      <x:c r="G46" s="244" t="n">
        <x:v>4.14</x:v>
      </x:c>
      <x:c r="H46" s="244" t="n">
        <x:v>2.83</x:v>
      </x:c>
      <x:c r="I46" s="244" t="n">
        <x:v>3.93</x:v>
      </x:c>
      <x:c r="J46" s="244" t="n">
        <x:v>4.71</x:v>
      </x:c>
      <x:c r="K46" s="244" t="n">
        <x:v>4.87</x:v>
      </x:c>
      <x:c r="L46" s="245"/>
      <x:c r="M46" s="245"/>
      <x:c r="N46" s="245"/>
      <x:c r="O46" s="245"/>
    </x:row>
    <x:row r="47" ht="20" customHeight="1">
      <x:c r="A47" s="283" t="str">
        <x:v>C. Business Mix | Company terminology: Discovery Services (CRO) / CMC Services (CDMO)</x:v>
      </x:c>
      <x:c r="B47" s="283" t="str">
        <x:v>C. Business Mix | Company terminology: Discovery Services (CRO) / CMC Services (CDMO)</x:v>
      </x:c>
      <x:c r="C47" s="283" t="str">
        <x:v>C. Business Mix | Company terminology: Discovery Services (CRO) / CMC Services (CDMO)</x:v>
      </x:c>
      <x:c r="D47" s="229" t="str">
        <x:v>C. Business Mix | Company terminology: Discovery Services (CRO) / CMC Services (CDMO)</x:v>
      </x:c>
      <x:c r="E47" s="229" t="str">
        <x:v>C. Business Mix | Company terminology: Discovery Services (CRO) / CMC Services (CDMO)</x:v>
      </x:c>
      <x:c r="F47" s="229" t="str">
        <x:v>C. Business Mix | Company terminology: Discovery Services (CRO) / CMC Services (CDMO)</x:v>
      </x:c>
      <x:c r="G47" s="229" t="str">
        <x:v>C. Business Mix | Company terminology: Discovery Services (CRO) / CMC Services (CDMO)</x:v>
      </x:c>
      <x:c r="H47" s="229" t="str">
        <x:v>C. Business Mix | Company terminology: Discovery Services (CRO) / CMC Services (CDMO)</x:v>
      </x:c>
      <x:c r="I47" s="229" t="str">
        <x:v>C. Business Mix | Company terminology: Discovery Services (CRO) / CMC Services (CDMO)</x:v>
      </x:c>
      <x:c r="J47" s="229" t="str">
        <x:v>C. Business Mix | Company terminology: Discovery Services (CRO) / CMC Services (CDMO)</x:v>
      </x:c>
      <x:c r="K47" s="229" t="str">
        <x:v>C. Business Mix | Company terminology: Discovery Services (CRO) / CMC Services (CDMO)</x:v>
      </x:c>
      <x:c r="L47" s="229" t="str">
        <x:v>C. Business Mix | Company terminology: Discovery Services (CRO) / CMC Services (CDMO)</x:v>
      </x:c>
      <x:c r="M47" s="229" t="str">
        <x:v>C. Business Mix | Company terminology: Discovery Services (CRO) / CMC Services (CDMO)</x:v>
      </x:c>
      <x:c r="N47" s="229" t="str">
        <x:v>C. Business Mix | Company terminology: Discovery Services (CRO) / CMC Services (CDMO)</x:v>
      </x:c>
      <x:c r="O47" s="229" t="str">
        <x:v>C. Business Mix | Company terminology: Discovery Services (CRO) / CMC Services (CDMO)</x:v>
      </x:c>
    </x:row>
    <x:row r="48">
      <x:c r="A48" s="24" t="str">
        <x:v>Metric</x:v>
      </x:c>
      <x:c r="B48" s="24" t="str">
        <x:v>Units</x:v>
      </x:c>
      <x:c r="C48" s="24" t="str">
        <x:v>Source / Status</x:v>
      </x:c>
      <x:c r="D48" s="230" t="str">
        <x:v>Q1 FY25</x:v>
      </x:c>
      <x:c r="E48" s="230" t="str">
        <x:v>Q2 FY25</x:v>
      </x:c>
      <x:c r="F48" s="230" t="str">
        <x:v>Q3 FY25</x:v>
      </x:c>
      <x:c r="G48" s="230" t="str">
        <x:v>Q4 FY25</x:v>
      </x:c>
      <x:c r="H48" s="230" t="str">
        <x:v>Q1 FY26</x:v>
      </x:c>
      <x:c r="I48" s="230" t="str">
        <x:v>Q2 FY26</x:v>
      </x:c>
      <x:c r="J48" s="230" t="str">
        <x:v>Q3 FY26</x:v>
      </x:c>
      <x:c r="K48" s="230" t="str">
        <x:v>Q4 FY26</x:v>
      </x:c>
      <x:c r="L48" s="230" t="str">
        <x:v>Q1 FY27</x:v>
      </x:c>
      <x:c r="M48" s="230" t="str">
        <x:v>Q2 FY27</x:v>
      </x:c>
      <x:c r="N48" s="230" t="str">
        <x:v>Q3 FY27</x:v>
      </x:c>
      <x:c r="O48" s="230" t="str">
        <x:v>Q4 FY27</x:v>
      </x:c>
    </x:row>
    <x:row r="49" ht="28" customHeight="1">
      <x:c r="A49" s="288" t="str">
        <x:v>CRO / Discovery revenue</x:v>
      </x:c>
      <x:c r="B49" s="288" t="str">
        <x:v>INR mn</x:v>
      </x:c>
      <x:c r="C49" s="182" t="str">
        <x:v>Reported rounded; Q4 FY26 derived FY less 9M</x:v>
      </x:c>
      <x:c r="D49" s="235" t="n">
        <x:v>1320</x:v>
      </x:c>
      <x:c r="E49" s="235" t="n">
        <x:v>1560</x:v>
      </x:c>
      <x:c r="F49" s="235" t="n">
        <x:v>1640</x:v>
      </x:c>
      <x:c r="G49" s="235" t="n">
        <x:v>1740</x:v>
      </x:c>
      <x:c r="H49" s="235" t="n">
        <x:v>1820</x:v>
      </x:c>
      <x:c r="I49" s="235" t="n">
        <x:v>1850</x:v>
      </x:c>
      <x:c r="J49" s="235" t="n">
        <x:v>1950</x:v>
      </x:c>
      <x:c r="K49" s="235" t="n">
        <x:v>2130</x:v>
      </x:c>
      <x:c r="L49" s="239"/>
      <x:c r="M49" s="239"/>
      <x:c r="N49" s="239"/>
      <x:c r="O49" s="239"/>
    </x:row>
    <x:row r="50">
      <x:c r="A50" s="289" t="str">
        <x:v>  CRO YoY growth</x:v>
      </x:c>
      <x:c r="B50" s="289" t="str">
        <x:v>%</x:v>
      </x:c>
      <x:c r="C50" s="189" t="str">
        <x:v>Formula</x:v>
      </x:c>
      <x:c r="D50" s="242" t="str">
        <x:f>"NA"</x:f>
        <x:v>NA</x:v>
      </x:c>
      <x:c r="E50" s="242" t="str">
        <x:f>"NA"</x:f>
        <x:v>NA</x:v>
      </x:c>
      <x:c r="F50" s="242" t="str">
        <x:f>"NA"</x:f>
        <x:v>NA</x:v>
      </x:c>
      <x:c r="G50" s="242" t="str">
        <x:f>"NA"</x:f>
        <x:v>NA</x:v>
      </x:c>
      <x:c r="H50" s="242" t="n">
        <x:f>IF(AND(ISNUMBER(H49),ISNUMBER(D49),D49&lt;&gt;0),H49/D49-1,"NA")</x:f>
        <x:v>0.3787878787878789</x:v>
      </x:c>
      <x:c r="I50" s="242" t="n">
        <x:f>IF(AND(ISNUMBER(I49),ISNUMBER(E49),E49&lt;&gt;0),I49/E49-1,"NA")</x:f>
        <x:v>0.1858974358974359</x:v>
      </x:c>
      <x:c r="J50" s="242" t="n">
        <x:f>IF(AND(ISNUMBER(J49),ISNUMBER(F49),F49&lt;&gt;0),J49/F49-1,"NA")</x:f>
        <x:v>0.18902439024390238</x:v>
      </x:c>
      <x:c r="K50" s="242" t="n">
        <x:f>IF(AND(ISNUMBER(K49),ISNUMBER(G49),G49&lt;&gt;0),K49/G49-1,"NA")</x:f>
        <x:v>0.22413793103448265</x:v>
      </x:c>
      <x:c r="L50" s="242" t="str">
        <x:f>IF(AND(ISNUMBER(L49),ISNUMBER(H49),H49&lt;&gt;0),L49/H49-1,"NA")</x:f>
        <x:v>NA</x:v>
      </x:c>
      <x:c r="M50" s="242" t="str">
        <x:f>IF(AND(ISNUMBER(M49),ISNUMBER(I49),I49&lt;&gt;0),M49/I49-1,"NA")</x:f>
        <x:v>NA</x:v>
      </x:c>
      <x:c r="N50" s="242" t="str">
        <x:f>IF(AND(ISNUMBER(N49),ISNUMBER(J49),J49&lt;&gt;0),N49/J49-1,"NA")</x:f>
        <x:v>NA</x:v>
      </x:c>
      <x:c r="O50" s="242" t="str">
        <x:f>IF(AND(ISNUMBER(O49),ISNUMBER(K49),K49&lt;&gt;0),O49/K49-1,"NA")</x:f>
        <x:v>NA</x:v>
      </x:c>
    </x:row>
    <x:row r="51">
      <x:c r="A51" s="289" t="str">
        <x:v>  CRO QoQ growth</x:v>
      </x:c>
      <x:c r="B51" s="289" t="str">
        <x:v>%</x:v>
      </x:c>
      <x:c r="C51" s="189" t="str">
        <x:v>Formula</x:v>
      </x:c>
      <x:c r="D51" s="242" t="str">
        <x:f>"NA"</x:f>
        <x:v>NA</x:v>
      </x:c>
      <x:c r="E51" s="242" t="n">
        <x:f>IF(AND(ISNUMBER(E49),ISNUMBER(D49),D49&lt;&gt;0),E49/D49-1,"NA")</x:f>
        <x:v>0.18181818181818188</x:v>
      </x:c>
      <x:c r="F51" s="242" t="n">
        <x:f>IF(AND(ISNUMBER(F49),ISNUMBER(E49),E49&lt;&gt;0),F49/E49-1,"NA")</x:f>
        <x:v>0.05128205128205132</x:v>
      </x:c>
      <x:c r="G51" s="242" t="n">
        <x:f>IF(AND(ISNUMBER(G49),ISNUMBER(F49),F49&lt;&gt;0),G49/F49-1,"NA")</x:f>
        <x:v>0.060975609756097615</x:v>
      </x:c>
      <x:c r="H51" s="242" t="n">
        <x:f>IF(AND(ISNUMBER(H49),ISNUMBER(G49),G49&lt;&gt;0),H49/G49-1,"NA")</x:f>
        <x:v>0.04597701149425282</x:v>
      </x:c>
      <x:c r="I51" s="242" t="n">
        <x:f>IF(AND(ISNUMBER(I49),ISNUMBER(H49),H49&lt;&gt;0),I49/H49-1,"NA")</x:f>
        <x:v>0.016483516483516425</x:v>
      </x:c>
      <x:c r="J51" s="242" t="n">
        <x:f>IF(AND(ISNUMBER(J49),ISNUMBER(I49),I49&lt;&gt;0),J49/I49-1,"NA")</x:f>
        <x:v>0.054054054054053946</x:v>
      </x:c>
      <x:c r="K51" s="242" t="n">
        <x:f>IF(AND(ISNUMBER(K49),ISNUMBER(J49),J49&lt;&gt;0),K49/J49-1,"NA")</x:f>
        <x:v>0.0923076923076922</x:v>
      </x:c>
      <x:c r="L51" s="242" t="str">
        <x:f>IF(AND(ISNUMBER(L49),ISNUMBER(K49),K49&lt;&gt;0),L49/K49-1,"NA")</x:f>
        <x:v>NA</x:v>
      </x:c>
      <x:c r="M51" s="242" t="str">
        <x:f>IF(AND(ISNUMBER(M49),ISNUMBER(L49),L49&lt;&gt;0),M49/L49-1,"NA")</x:f>
        <x:v>NA</x:v>
      </x:c>
      <x:c r="N51" s="242" t="str">
        <x:f>IF(AND(ISNUMBER(N49),ISNUMBER(M49),M49&lt;&gt;0),N49/M49-1,"NA")</x:f>
        <x:v>NA</x:v>
      </x:c>
      <x:c r="O51" s="242" t="str">
        <x:f>IF(AND(ISNUMBER(O49),ISNUMBER(N49),N49&lt;&gt;0),O49/N49-1,"NA")</x:f>
        <x:v>NA</x:v>
      </x:c>
    </x:row>
    <x:row r="52">
      <x:c r="A52" s="289" t="str">
        <x:v>  CRO % of consolidated sales</x:v>
      </x:c>
      <x:c r="B52" s="289" t="str">
        <x:v>%</x:v>
      </x:c>
      <x:c r="C52" s="189" t="str">
        <x:v>Formula</x:v>
      </x:c>
      <x:c r="D52" s="242" t="n">
        <x:f>IF(AND(ISNUMBER(D49),ISNUMBER(D19),D19&lt;&gt;0),D49/D19,"NA")</x:f>
        <x:v>0.4714285714285714</x:v>
      </x:c>
      <x:c r="E52" s="242" t="n">
        <x:f>IF(AND(ISNUMBER(E49),ISNUMBER(E19),E19&lt;&gt;0),E49/E19,"NA")</x:f>
        <x:v>0.3939393939393939</x:v>
      </x:c>
      <x:c r="F52" s="242" t="n">
        <x:f>IF(AND(ISNUMBER(F49),ISNUMBER(F19),F19&lt;&gt;0),F49/F19,"NA")</x:f>
        <x:v>0.37272727272727274</x:v>
      </x:c>
      <x:c r="G52" s="242" t="n">
        <x:f>IF(AND(ISNUMBER(G49),ISNUMBER(G19),G19&lt;&gt;0),G49/G19,"NA")</x:f>
        <x:v>0.3</x:v>
      </x:c>
      <x:c r="H52" s="242" t="n">
        <x:f>IF(AND(ISNUMBER(H49),ISNUMBER(H19),H19&lt;&gt;0),H49/H19,"NA")</x:f>
        <x:v>0.36693548387096775</x:v>
      </x:c>
      <x:c r="I52" s="242" t="n">
        <x:f>IF(AND(ISNUMBER(I49),ISNUMBER(I19),I19&lt;&gt;0),I49/I19,"NA")</x:f>
        <x:v>0.34450651769087526</x:v>
      </x:c>
      <x:c r="J52" s="242" t="n">
        <x:f>IF(AND(ISNUMBER(J49),ISNUMBER(J19),J19&lt;&gt;0),J49/J19,"NA")</x:f>
        <x:v>0.35071942446043164</x:v>
      </x:c>
      <x:c r="K52" s="242" t="n">
        <x:f>IF(AND(ISNUMBER(K49),ISNUMBER(K19),K19&lt;&gt;0),K49/K19,"NA")</x:f>
        <x:v>0.3538205980066445</x:v>
      </x:c>
      <x:c r="L52" s="242" t="str">
        <x:f>IF(AND(ISNUMBER(L49),ISNUMBER(L19),L19&lt;&gt;0),L49/L19,"NA")</x:f>
        <x:v>NA</x:v>
      </x:c>
      <x:c r="M52" s="242" t="str">
        <x:f>IF(AND(ISNUMBER(M49),ISNUMBER(M19),M19&lt;&gt;0),M49/M19,"NA")</x:f>
        <x:v>NA</x:v>
      </x:c>
      <x:c r="N52" s="242" t="str">
        <x:f>IF(AND(ISNUMBER(N49),ISNUMBER(N19),N19&lt;&gt;0),N49/N19,"NA")</x:f>
        <x:v>NA</x:v>
      </x:c>
      <x:c r="O52" s="242" t="str">
        <x:f>IF(AND(ISNUMBER(O49),ISNUMBER(O19),O19&lt;&gt;0),O49/O19,"NA")</x:f>
        <x:v>NA</x:v>
      </x:c>
    </x:row>
    <x:row r="53">
      <x:c r="A53" s="288" t="str">
        <x:v>CDMO / CMC revenue</x:v>
      </x:c>
      <x:c r="B53" s="288" t="str">
        <x:v>INR mn</x:v>
      </x:c>
      <x:c r="C53" s="182" t="str">
        <x:v>Reported rounded; Q4 FY26 derived FY less 9M</x:v>
      </x:c>
      <x:c r="D53" s="235" t="n">
        <x:v>1480</x:v>
      </x:c>
      <x:c r="E53" s="235" t="n">
        <x:v>2400</x:v>
      </x:c>
      <x:c r="F53" s="235" t="n">
        <x:v>2760</x:v>
      </x:c>
      <x:c r="G53" s="235" t="n">
        <x:v>4050</x:v>
      </x:c>
      <x:c r="H53" s="235" t="n">
        <x:v>3140</x:v>
      </x:c>
      <x:c r="I53" s="235" t="n">
        <x:v>3520</x:v>
      </x:c>
      <x:c r="J53" s="235" t="n">
        <x:v>3610</x:v>
      </x:c>
      <x:c r="K53" s="235" t="n">
        <x:v>3890</x:v>
      </x:c>
      <x:c r="L53" s="239"/>
      <x:c r="M53" s="239"/>
      <x:c r="N53" s="239"/>
      <x:c r="O53" s="239"/>
    </x:row>
    <x:row r="54">
      <x:c r="A54" s="289" t="str">
        <x:v>  CDMO YoY growth</x:v>
      </x:c>
      <x:c r="B54" s="289" t="str">
        <x:v>%</x:v>
      </x:c>
      <x:c r="C54" s="189" t="str">
        <x:v>Formula</x:v>
      </x:c>
      <x:c r="D54" s="242" t="str">
        <x:f>"NA"</x:f>
        <x:v>NA</x:v>
      </x:c>
      <x:c r="E54" s="242" t="str">
        <x:f>"NA"</x:f>
        <x:v>NA</x:v>
      </x:c>
      <x:c r="F54" s="242" t="str">
        <x:f>"NA"</x:f>
        <x:v>NA</x:v>
      </x:c>
      <x:c r="G54" s="242" t="str">
        <x:f>"NA"</x:f>
        <x:v>NA</x:v>
      </x:c>
      <x:c r="H54" s="242" t="n">
        <x:f>IF(AND(ISNUMBER(H53),ISNUMBER(D53),D53&lt;&gt;0),H53/D53-1,"NA")</x:f>
        <x:v>1.1216216216216215</x:v>
      </x:c>
      <x:c r="I54" s="242" t="n">
        <x:f>IF(AND(ISNUMBER(I53),ISNUMBER(E53),E53&lt;&gt;0),I53/E53-1,"NA")</x:f>
        <x:v>0.46666666666666656</x:v>
      </x:c>
      <x:c r="J54" s="242" t="n">
        <x:f>IF(AND(ISNUMBER(J53),ISNUMBER(F53),F53&lt;&gt;0),J53/F53-1,"NA")</x:f>
        <x:v>0.30797101449275366</x:v>
      </x:c>
      <x:c r="K54" s="242" t="n">
        <x:f>IF(AND(ISNUMBER(K53),ISNUMBER(G53),G53&lt;&gt;0),K53/G53-1,"NA")</x:f>
        <x:v>-0.03950617283950619</x:v>
      </x:c>
      <x:c r="L54" s="242" t="str">
        <x:f>IF(AND(ISNUMBER(L53),ISNUMBER(H53),H53&lt;&gt;0),L53/H53-1,"NA")</x:f>
        <x:v>NA</x:v>
      </x:c>
      <x:c r="M54" s="242" t="str">
        <x:f>IF(AND(ISNUMBER(M53),ISNUMBER(I53),I53&lt;&gt;0),M53/I53-1,"NA")</x:f>
        <x:v>NA</x:v>
      </x:c>
      <x:c r="N54" s="242" t="str">
        <x:f>IF(AND(ISNUMBER(N53),ISNUMBER(J53),J53&lt;&gt;0),N53/J53-1,"NA")</x:f>
        <x:v>NA</x:v>
      </x:c>
      <x:c r="O54" s="242" t="str">
        <x:f>IF(AND(ISNUMBER(O53),ISNUMBER(K53),K53&lt;&gt;0),O53/K53-1,"NA")</x:f>
        <x:v>NA</x:v>
      </x:c>
    </x:row>
    <x:row r="55">
      <x:c r="A55" s="289" t="str">
        <x:v>  CDMO QoQ growth</x:v>
      </x:c>
      <x:c r="B55" s="289" t="str">
        <x:v>%</x:v>
      </x:c>
      <x:c r="C55" s="189" t="str">
        <x:v>Formula</x:v>
      </x:c>
      <x:c r="D55" s="242" t="str">
        <x:f>"NA"</x:f>
        <x:v>NA</x:v>
      </x:c>
      <x:c r="E55" s="242" t="n">
        <x:f>IF(AND(ISNUMBER(E53),ISNUMBER(D53),D53&lt;&gt;0),E53/D53-1,"NA")</x:f>
        <x:v>0.6216216216216217</x:v>
      </x:c>
      <x:c r="F55" s="242" t="n">
        <x:f>IF(AND(ISNUMBER(F53),ISNUMBER(E53),E53&lt;&gt;0),F53/E53-1,"NA")</x:f>
        <x:v>0.1499999999999999</x:v>
      </x:c>
      <x:c r="G55" s="242" t="n">
        <x:f>IF(AND(ISNUMBER(G53),ISNUMBER(F53),F53&lt;&gt;0),G53/F53-1,"NA")</x:f>
        <x:v>0.46739130434782616</x:v>
      </x:c>
      <x:c r="H55" s="242" t="n">
        <x:f>IF(AND(ISNUMBER(H53),ISNUMBER(G53),G53&lt;&gt;0),H53/G53-1,"NA")</x:f>
        <x:v>-0.2246913580246913</x:v>
      </x:c>
      <x:c r="I55" s="242" t="n">
        <x:f>IF(AND(ISNUMBER(I53),ISNUMBER(H53),H53&lt;&gt;0),I53/H53-1,"NA")</x:f>
        <x:v>0.12101910828025475</x:v>
      </x:c>
      <x:c r="J55" s="242" t="n">
        <x:f>IF(AND(ISNUMBER(J53),ISNUMBER(I53),I53&lt;&gt;0),J53/I53-1,"NA")</x:f>
        <x:v>0.02556818181818188</x:v>
      </x:c>
      <x:c r="K55" s="242" t="n">
        <x:f>IF(AND(ISNUMBER(K53),ISNUMBER(J53),J53&lt;&gt;0),K53/J53-1,"NA")</x:f>
        <x:v>0.07756232686980602</x:v>
      </x:c>
      <x:c r="L55" s="242" t="str">
        <x:f>IF(AND(ISNUMBER(L53),ISNUMBER(K53),K53&lt;&gt;0),L53/K53-1,"NA")</x:f>
        <x:v>NA</x:v>
      </x:c>
      <x:c r="M55" s="242" t="str">
        <x:f>IF(AND(ISNUMBER(M53),ISNUMBER(L53),L53&lt;&gt;0),M53/L53-1,"NA")</x:f>
        <x:v>NA</x:v>
      </x:c>
      <x:c r="N55" s="242" t="str">
        <x:f>IF(AND(ISNUMBER(N53),ISNUMBER(M53),M53&lt;&gt;0),N53/M53-1,"NA")</x:f>
        <x:v>NA</x:v>
      </x:c>
      <x:c r="O55" s="242" t="str">
        <x:f>IF(AND(ISNUMBER(O53),ISNUMBER(N53),N53&lt;&gt;0),O53/N53-1,"NA")</x:f>
        <x:v>NA</x:v>
      </x:c>
    </x:row>
    <x:row r="56">
      <x:c r="A56" s="289" t="str">
        <x:v>  CDMO % of consolidated sales</x:v>
      </x:c>
      <x:c r="B56" s="289" t="str">
        <x:v>%</x:v>
      </x:c>
      <x:c r="C56" s="189" t="str">
        <x:v>Formula</x:v>
      </x:c>
      <x:c r="D56" s="242" t="n">
        <x:f>IF(AND(ISNUMBER(D53),ISNUMBER(D19),D19&lt;&gt;0),D53/D19,"NA")</x:f>
        <x:v>0.5285714285714286</x:v>
      </x:c>
      <x:c r="E56" s="242" t="n">
        <x:f>IF(AND(ISNUMBER(E53),ISNUMBER(E19),E19&lt;&gt;0),E53/E19,"NA")</x:f>
        <x:v>0.6060606060606061</x:v>
      </x:c>
      <x:c r="F56" s="242" t="n">
        <x:f>IF(AND(ISNUMBER(F53),ISNUMBER(F19),F19&lt;&gt;0),F53/F19,"NA")</x:f>
        <x:v>0.6272727272727273</x:v>
      </x:c>
      <x:c r="G56" s="242" t="n">
        <x:f>IF(AND(ISNUMBER(G53),ISNUMBER(G19),G19&lt;&gt;0),G53/G19,"NA")</x:f>
        <x:v>0.6982758620689655</x:v>
      </x:c>
      <x:c r="H56" s="242" t="n">
        <x:f>IF(AND(ISNUMBER(H53),ISNUMBER(H19),H19&lt;&gt;0),H53/H19,"NA")</x:f>
        <x:v>0.6330645161290323</x:v>
      </x:c>
      <x:c r="I56" s="242" t="n">
        <x:f>IF(AND(ISNUMBER(I53),ISNUMBER(I19),I19&lt;&gt;0),I53/I19,"NA")</x:f>
        <x:v>0.6554934823091247</x:v>
      </x:c>
      <x:c r="J56" s="242" t="n">
        <x:f>IF(AND(ISNUMBER(J53),ISNUMBER(J19),J19&lt;&gt;0),J53/J19,"NA")</x:f>
        <x:v>0.6492805755395683</x:v>
      </x:c>
      <x:c r="K56" s="242" t="n">
        <x:f>IF(AND(ISNUMBER(K53),ISNUMBER(K19),K19&lt;&gt;0),K53/K19,"NA")</x:f>
        <x:v>0.6461794019933554</x:v>
      </x:c>
      <x:c r="L56" s="242" t="str">
        <x:f>IF(AND(ISNUMBER(L53),ISNUMBER(L19),L19&lt;&gt;0),L53/L19,"NA")</x:f>
        <x:v>NA</x:v>
      </x:c>
      <x:c r="M56" s="242" t="str">
        <x:f>IF(AND(ISNUMBER(M53),ISNUMBER(M19),M19&lt;&gt;0),M53/M19,"NA")</x:f>
        <x:v>NA</x:v>
      </x:c>
      <x:c r="N56" s="242" t="str">
        <x:f>IF(AND(ISNUMBER(N53),ISNUMBER(N19),N19&lt;&gt;0),N53/N19,"NA")</x:f>
        <x:v>NA</x:v>
      </x:c>
      <x:c r="O56" s="242" t="str">
        <x:f>IF(AND(ISNUMBER(O53),ISNUMBER(O19),O19&lt;&gt;0),O53/O19,"NA")</x:f>
        <x:v>NA</x:v>
      </x:c>
    </x:row>
    <x:row r="57">
      <x:c r="A57" s="289" t="str">
        <x:v>  Segment reconciliation vs consolidated</x:v>
      </x:c>
      <x:c r="B57" s="289" t="str">
        <x:v>INR mn</x:v>
      </x:c>
      <x:c r="C57" s="189" t="str">
        <x:v>Formula; rounding can create small variance</x:v>
      </x:c>
      <x:c r="D57" s="243" t="n">
        <x:f>IF(AND(ISNUMBER(D49),ISNUMBER(D53),ISNUMBER(D19)),D49+D53-D19,"NA")</x:f>
        <x:v>0</x:v>
      </x:c>
      <x:c r="E57" s="243" t="n">
        <x:f>IF(AND(ISNUMBER(E49),ISNUMBER(E53),ISNUMBER(E19)),E49+E53-E19,"NA")</x:f>
        <x:v>0</x:v>
      </x:c>
      <x:c r="F57" s="243" t="n">
        <x:f>IF(AND(ISNUMBER(F49),ISNUMBER(F53),ISNUMBER(F19)),F49+F53-F19,"NA")</x:f>
        <x:v>0</x:v>
      </x:c>
      <x:c r="G57" s="243" t="n">
        <x:f>IF(AND(ISNUMBER(G49),ISNUMBER(G53),ISNUMBER(G19)),G49+G53-G19,"NA")</x:f>
        <x:v>-10</x:v>
      </x:c>
      <x:c r="H57" s="243" t="n">
        <x:f>IF(AND(ISNUMBER(H49),ISNUMBER(H53),ISNUMBER(H19)),H49+H53-H19,"NA")</x:f>
        <x:v>0</x:v>
      </x:c>
      <x:c r="I57" s="243" t="n">
        <x:f>IF(AND(ISNUMBER(I49),ISNUMBER(I53),ISNUMBER(I19)),I49+I53-I19,"NA")</x:f>
        <x:v>0</x:v>
      </x:c>
      <x:c r="J57" s="243" t="n">
        <x:f>IF(AND(ISNUMBER(J49),ISNUMBER(J53),ISNUMBER(J19)),J49+J53-J19,"NA")</x:f>
        <x:v>0</x:v>
      </x:c>
      <x:c r="K57" s="243" t="n">
        <x:f>IF(AND(ISNUMBER(K49),ISNUMBER(K53),ISNUMBER(K19)),K49+K53-K19,"NA")</x:f>
        <x:v>0</x:v>
      </x:c>
      <x:c r="L57" s="243" t="str">
        <x:f>IF(AND(ISNUMBER(L49),ISNUMBER(L53),ISNUMBER(L19)),L49+L53-L19,"NA")</x:f>
        <x:v>NA</x:v>
      </x:c>
      <x:c r="M57" s="243" t="str">
        <x:f>IF(AND(ISNUMBER(M49),ISNUMBER(M53),ISNUMBER(M19)),M49+M53-M19,"NA")</x:f>
        <x:v>NA</x:v>
      </x:c>
      <x:c r="N57" s="243" t="str">
        <x:f>IF(AND(ISNUMBER(N49),ISNUMBER(N53),ISNUMBER(N19)),N49+N53-N19,"NA")</x:f>
        <x:v>NA</x:v>
      </x:c>
      <x:c r="O57" s="243" t="str">
        <x:f>IF(AND(ISNUMBER(O49),ISNUMBER(O53),ISNUMBER(O19)),O49+O53-O19,"NA")</x:f>
        <x:v>NA</x:v>
      </x:c>
    </x:row>
    <x:row r="58" ht="20" customHeight="1">
      <x:c r="A58" s="283" t="str">
        <x:v>D. Operating KPIs &amp; Capability Monitor</x:v>
      </x:c>
      <x:c r="B58" s="283" t="str">
        <x:v>D. Operating KPIs &amp; Capability Monitor</x:v>
      </x:c>
      <x:c r="C58" s="283" t="str">
        <x:v>D. Operating KPIs &amp; Capability Monitor</x:v>
      </x:c>
      <x:c r="D58" s="283" t="str">
        <x:v>D. Operating KPIs &amp; Capability Monitor</x:v>
      </x:c>
      <x:c r="E58" s="283" t="str">
        <x:v>D. Operating KPIs &amp; Capability Monitor</x:v>
      </x:c>
      <x:c r="F58" s="283" t="str">
        <x:v>D. Operating KPIs &amp; Capability Monitor</x:v>
      </x:c>
      <x:c r="G58" s="283" t="str">
        <x:v>D. Operating KPIs &amp; Capability Monitor</x:v>
      </x:c>
      <x:c r="H58" s="283" t="str">
        <x:v>D. Operating KPIs &amp; Capability Monitor</x:v>
      </x:c>
      <x:c r="I58" s="283" t="str">
        <x:v>D. Operating KPIs &amp; Capability Monitor</x:v>
      </x:c>
      <x:c r="J58" s="283" t="str">
        <x:v>D. Operating KPIs &amp; Capability Monitor</x:v>
      </x:c>
      <x:c r="K58" s="283" t="str">
        <x:v>D. Operating KPIs &amp; Capability Monitor</x:v>
      </x:c>
      <x:c r="L58" s="283" t="str">
        <x:v>D. Operating KPIs &amp; Capability Monitor</x:v>
      </x:c>
      <x:c r="M58" s="283" t="str">
        <x:v>D. Operating KPIs &amp; Capability Monitor</x:v>
      </x:c>
      <x:c r="N58" s="283" t="str">
        <x:v>D. Operating KPIs &amp; Capability Monitor</x:v>
      </x:c>
      <x:c r="O58" s="283" t="str">
        <x:v>D. Operating KPIs &amp; Capability Monitor</x:v>
      </x:c>
    </x:row>
    <x:row r="59" ht="28" customHeight="1">
      <x:c r="A59" s="24" t="str">
        <x:v>Metric</x:v>
      </x:c>
      <x:c r="B59" s="24" t="str">
        <x:v>Units</x:v>
      </x:c>
      <x:c r="C59" s="24" t="str">
        <x:v>Source / Status</x:v>
      </x:c>
      <x:c r="D59" s="24" t="str">
        <x:v>Q1 FY25</x:v>
      </x:c>
      <x:c r="E59" s="24" t="str">
        <x:v>Q2 FY25</x:v>
      </x:c>
      <x:c r="F59" s="24" t="str">
        <x:v>Q3 FY25</x:v>
      </x:c>
      <x:c r="G59" s="24" t="str">
        <x:v>Q4 FY25</x:v>
      </x:c>
      <x:c r="H59" s="24" t="str">
        <x:v>Q1 FY26</x:v>
      </x:c>
      <x:c r="I59" s="24" t="str">
        <x:v>Q2 FY26</x:v>
      </x:c>
      <x:c r="J59" s="24" t="str">
        <x:v>Q3 FY26</x:v>
      </x:c>
      <x:c r="K59" s="24" t="str">
        <x:v>Q4 FY26</x:v>
      </x:c>
      <x:c r="L59" s="24" t="str">
        <x:v>Q1 FY27</x:v>
      </x:c>
      <x:c r="M59" s="24" t="str">
        <x:v>Q2 FY27</x:v>
      </x:c>
      <x:c r="N59" s="24" t="str">
        <x:v>Q3 FY27</x:v>
      </x:c>
      <x:c r="O59" s="24" t="str">
        <x:v>Q4 FY27</x:v>
      </x:c>
    </x:row>
    <x:row r="60">
      <x:c r="A60" s="288" t="str">
        <x:v>Total employees</x:v>
      </x:c>
      <x:c r="B60" s="288" t="str">
        <x:v>people</x:v>
      </x:c>
      <x:c r="C60" s="182" t="str">
        <x:v>Company 'at a glance'; values shown as minimum (+) where applicable</x:v>
      </x:c>
      <x:c r="D60" s="287" t="str">
        <x:v>NA</x:v>
      </x:c>
      <x:c r="E60" s="287" t="str">
        <x:v>NA</x:v>
      </x:c>
      <x:c r="F60" s="287" t="n">
        <x:v>3000</x:v>
      </x:c>
      <x:c r="G60" s="287" t="n">
        <x:v>3400</x:v>
      </x:c>
      <x:c r="H60" s="287" t="n">
        <x:v>3400</x:v>
      </x:c>
      <x:c r="I60" s="287" t="n">
        <x:v>3400</x:v>
      </x:c>
      <x:c r="J60" s="287" t="n">
        <x:v>3400</x:v>
      </x:c>
      <x:c r="K60" s="287" t="n">
        <x:v>3800</x:v>
      </x:c>
      <x:c r="L60" s="300"/>
      <x:c r="M60" s="300"/>
      <x:c r="N60" s="300"/>
      <x:c r="O60" s="300"/>
    </x:row>
    <x:row r="61">
      <x:c r="A61" s="288" t="str">
        <x:v>R&amp;D employees / scientists</x:v>
      </x:c>
      <x:c r="B61" s="288" t="str">
        <x:v>people</x:v>
      </x:c>
      <x:c r="C61" s="182" t="str">
        <x:v>Not consistently disclosed; FY24 scientist reference and FY26 year-end R&amp;D team</x:v>
      </x:c>
      <x:c r="D61" s="287" t="str">
        <x:v>NA</x:v>
      </x:c>
      <x:c r="E61" s="287" t="str">
        <x:v>NA</x:v>
      </x:c>
      <x:c r="F61" s="287" t="str">
        <x:v>NA</x:v>
      </x:c>
      <x:c r="G61" s="287" t="str">
        <x:v>NA</x:v>
      </x:c>
      <x:c r="H61" s="287" t="str">
        <x:v>NA</x:v>
      </x:c>
      <x:c r="I61" s="287" t="str">
        <x:v>NA</x:v>
      </x:c>
      <x:c r="J61" s="287" t="str">
        <x:v>NA</x:v>
      </x:c>
      <x:c r="K61" s="287" t="n">
        <x:v>2000</x:v>
      </x:c>
      <x:c r="L61" s="300"/>
      <x:c r="M61" s="300"/>
      <x:c r="N61" s="300"/>
      <x:c r="O61" s="300"/>
    </x:row>
    <x:row r="62">
      <x:c r="A62" s="288" t="str">
        <x:v>Net scientist / technical additions</x:v>
      </x:c>
      <x:c r="B62" s="288" t="str">
        <x:v>people</x:v>
      </x:c>
      <x:c r="C62" s="182" t="str">
        <x:v>Q1 FY26: 253 onboarded</x:v>
      </x:c>
      <x:c r="D62" s="287" t="str">
        <x:v>NA</x:v>
      </x:c>
      <x:c r="E62" s="287" t="str">
        <x:v>NA</x:v>
      </x:c>
      <x:c r="F62" s="287" t="str">
        <x:v>NA</x:v>
      </x:c>
      <x:c r="G62" s="287" t="str">
        <x:v>NA</x:v>
      </x:c>
      <x:c r="H62" s="287" t="n">
        <x:v>253</x:v>
      </x:c>
      <x:c r="I62" s="287" t="str">
        <x:v>NA</x:v>
      </x:c>
      <x:c r="J62" s="287" t="str">
        <x:v>NA</x:v>
      </x:c>
      <x:c r="K62" s="287" t="str">
        <x:v>NA</x:v>
      </x:c>
      <x:c r="L62" s="300"/>
      <x:c r="M62" s="300"/>
      <x:c r="N62" s="300"/>
      <x:c r="O62" s="300"/>
    </x:row>
    <x:row r="63">
      <x:c r="A63" s="288" t="str">
        <x:v>Billable scientific capacity</x:v>
      </x:c>
      <x:c r="B63" s="288" t="str">
        <x:v>FTE</x:v>
      </x:c>
      <x:c r="C63" s="182" t="str">
        <x:v>Not publicly disclosed; model-only driver</x:v>
      </x:c>
      <x:c r="D63" s="287" t="str">
        <x:v>NA</x:v>
      </x:c>
      <x:c r="E63" s="287" t="str">
        <x:v>NA</x:v>
      </x:c>
      <x:c r="F63" s="287" t="str">
        <x:v>NA</x:v>
      </x:c>
      <x:c r="G63" s="287" t="str">
        <x:v>NA</x:v>
      </x:c>
      <x:c r="H63" s="287" t="str">
        <x:v>NA</x:v>
      </x:c>
      <x:c r="I63" s="287" t="str">
        <x:v>NA</x:v>
      </x:c>
      <x:c r="J63" s="287" t="str">
        <x:v>NA</x:v>
      </x:c>
      <x:c r="K63" s="287" t="str">
        <x:v>NA</x:v>
      </x:c>
      <x:c r="L63" s="300"/>
      <x:c r="M63" s="300"/>
      <x:c r="N63" s="300"/>
      <x:c r="O63" s="300"/>
    </x:row>
    <x:row r="64">
      <x:c r="A64" s="288" t="str">
        <x:v>MedChem expansion project capacity</x:v>
      </x:c>
      <x:c r="B64" s="288" t="str">
        <x:v>fume hoods</x:v>
      </x:c>
      <x:c r="C64" s="182" t="str">
        <x:v>U8 / new block; project size 200 fume hoods</x:v>
      </x:c>
      <x:c r="D64" s="287" t="str">
        <x:v>NA</x:v>
      </x:c>
      <x:c r="E64" s="287" t="str">
        <x:v>NA</x:v>
      </x:c>
      <x:c r="F64" s="287" t="str">
        <x:v>NA</x:v>
      </x:c>
      <x:c r="G64" s="287" t="str">
        <x:v>NA</x:v>
      </x:c>
      <x:c r="H64" s="287" t="n">
        <x:v>200</x:v>
      </x:c>
      <x:c r="I64" s="287" t="n">
        <x:v>200</x:v>
      </x:c>
      <x:c r="J64" s="287" t="n">
        <x:v>200</x:v>
      </x:c>
      <x:c r="K64" s="287" t="n">
        <x:v>200</x:v>
      </x:c>
      <x:c r="L64" s="300"/>
      <x:c r="M64" s="300"/>
      <x:c r="N64" s="300"/>
      <x:c r="O64" s="300"/>
    </x:row>
    <x:row r="65">
      <x:c r="A65" s="288" t="str">
        <x:v>New MedChem fume hoods commissioned</x:v>
      </x:c>
      <x:c r="B65" s="288" t="str">
        <x:v>fume hoods</x:v>
      </x:c>
      <x:c r="C65" s="182" t="str">
        <x:v>Opened U8 in FY26; 200 fume hoods</x:v>
      </x:c>
      <x:c r="D65" s="287" t="str">
        <x:v>NA</x:v>
      </x:c>
      <x:c r="E65" s="287" t="str">
        <x:v>NA</x:v>
      </x:c>
      <x:c r="F65" s="287" t="str">
        <x:v>NA</x:v>
      </x:c>
      <x:c r="G65" s="287" t="str">
        <x:v>NA</x:v>
      </x:c>
      <x:c r="H65" s="287" t="str">
        <x:v>NA</x:v>
      </x:c>
      <x:c r="I65" s="287" t="str">
        <x:v>NA</x:v>
      </x:c>
      <x:c r="J65" s="287" t="str">
        <x:v>NA</x:v>
      </x:c>
      <x:c r="K65" s="287" t="n">
        <x:v>200</x:v>
      </x:c>
      <x:c r="L65" s="300"/>
      <x:c r="M65" s="300"/>
      <x:c r="N65" s="300"/>
      <x:c r="O65" s="300"/>
    </x:row>
    <x:row r="66">
      <x:c r="A66" s="288" t="str">
        <x:v>New Biology facility space</x:v>
      </x:c>
      <x:c r="B66" s="288" t="str">
        <x:v>sq ft</x:v>
      </x:c>
      <x:c r="C66" s="182" t="str">
        <x:v>Hyderabad facility inaugurated Q1 FY26</x:v>
      </x:c>
      <x:c r="D66" s="287" t="str">
        <x:v>NA</x:v>
      </x:c>
      <x:c r="E66" s="287" t="str">
        <x:v>NA</x:v>
      </x:c>
      <x:c r="F66" s="287" t="str">
        <x:v>NA</x:v>
      </x:c>
      <x:c r="G66" s="287" t="str">
        <x:v>NA</x:v>
      </x:c>
      <x:c r="H66" s="287" t="n">
        <x:v>10300</x:v>
      </x:c>
      <x:c r="I66" s="287" t="n">
        <x:v>10300</x:v>
      </x:c>
      <x:c r="J66" s="287" t="n">
        <x:v>10300</x:v>
      </x:c>
      <x:c r="K66" s="287" t="n">
        <x:v>10300</x:v>
      </x:c>
      <x:c r="L66" s="300"/>
      <x:c r="M66" s="300"/>
      <x:c r="N66" s="300"/>
      <x:c r="O66" s="300"/>
    </x:row>
    <x:row r="67">
      <x:c r="A67" s="288" t="str">
        <x:v>Vivarium total space</x:v>
      </x:c>
      <x:c r="B67" s="288" t="str">
        <x:v>sq ft</x:v>
      </x:c>
      <x:c r="C67" s="182" t="str">
        <x:v>Phase 2 completed Q2 FY26; +12,000 sq ft to 27,000</x:v>
      </x:c>
      <x:c r="D67" s="287" t="str">
        <x:v>NA</x:v>
      </x:c>
      <x:c r="E67" s="287" t="str">
        <x:v>NA</x:v>
      </x:c>
      <x:c r="F67" s="287" t="str">
        <x:v>NA</x:v>
      </x:c>
      <x:c r="G67" s="287" t="str">
        <x:v>NA</x:v>
      </x:c>
      <x:c r="H67" s="287" t="str">
        <x:v>NA</x:v>
      </x:c>
      <x:c r="I67" s="287" t="n">
        <x:v>27000</x:v>
      </x:c>
      <x:c r="J67" s="287" t="n">
        <x:v>27000</x:v>
      </x:c>
      <x:c r="K67" s="287" t="n">
        <x:v>27000</x:v>
      </x:c>
      <x:c r="L67" s="300"/>
      <x:c r="M67" s="300"/>
      <x:c r="N67" s="300"/>
      <x:c r="O67" s="300"/>
    </x:row>
    <x:row r="68">
      <x:c r="A68" s="288" t="str">
        <x:v>Active customers</x:v>
      </x:c>
      <x:c r="B68" s="288" t="str">
        <x:v>count</x:v>
      </x:c>
      <x:c r="C68" s="182" t="str">
        <x:v>Company at-a-glance; values shown as minimum (+)</x:v>
      </x:c>
      <x:c r="D68" s="287" t="str">
        <x:v>NA</x:v>
      </x:c>
      <x:c r="E68" s="287" t="str">
        <x:v>NA</x:v>
      </x:c>
      <x:c r="F68" s="287" t="n">
        <x:v>300</x:v>
      </x:c>
      <x:c r="G68" s="287" t="n">
        <x:v>300</x:v>
      </x:c>
      <x:c r="H68" s="287" t="n">
        <x:v>300</x:v>
      </x:c>
      <x:c r="I68" s="287" t="n">
        <x:v>300</x:v>
      </x:c>
      <x:c r="J68" s="287" t="n">
        <x:v>300</x:v>
      </x:c>
      <x:c r="K68" s="287" t="n">
        <x:v>300</x:v>
      </x:c>
      <x:c r="L68" s="300"/>
      <x:c r="M68" s="300"/>
      <x:c r="N68" s="300"/>
      <x:c r="O68" s="300"/>
    </x:row>
    <x:row r="69">
      <x:c r="A69" s="288" t="str">
        <x:v>Integrated Discovery programme mix</x:v>
      </x:c>
      <x:c r="B69" s="288" t="str">
        <x:v>&gt; %</x:v>
      </x:c>
      <x:c r="C69" s="182" t="str">
        <x:v>Company states &gt;65%</x:v>
      </x:c>
      <x:c r="D69" s="301" t="str">
        <x:v>NA</x:v>
      </x:c>
      <x:c r="E69" s="301" t="str">
        <x:v>NA</x:v>
      </x:c>
      <x:c r="F69" s="301" t="n">
        <x:v>0.65</x:v>
      </x:c>
      <x:c r="G69" s="301" t="n">
        <x:v>0.65</x:v>
      </x:c>
      <x:c r="H69" s="301" t="n">
        <x:v>0.65</x:v>
      </x:c>
      <x:c r="I69" s="301" t="n">
        <x:v>0.65</x:v>
      </x:c>
      <x:c r="J69" s="301" t="n">
        <x:v>0.65</x:v>
      </x:c>
      <x:c r="K69" s="301" t="n">
        <x:v>0.65</x:v>
      </x:c>
      <x:c r="L69" s="302"/>
      <x:c r="M69" s="302"/>
      <x:c r="N69" s="302"/>
      <x:c r="O69" s="302"/>
    </x:row>
    <x:row r="70">
      <x:c r="A70" s="288" t="str">
        <x:v>CDMO contribution from pharma</x:v>
      </x:c>
      <x:c r="B70" s="288" t="str">
        <x:v>%</x:v>
      </x:c>
      <x:c r="C70" s="182" t="str">
        <x:v>Q3 FY26 disclosure: 90%+ of CDMO contribution</x:v>
      </x:c>
      <x:c r="D70" s="301" t="str">
        <x:v>NA</x:v>
      </x:c>
      <x:c r="E70" s="301" t="str">
        <x:v>NA</x:v>
      </x:c>
      <x:c r="F70" s="301" t="str">
        <x:v>NA</x:v>
      </x:c>
      <x:c r="G70" s="301" t="str">
        <x:v>NA</x:v>
      </x:c>
      <x:c r="H70" s="301" t="str">
        <x:v>NA</x:v>
      </x:c>
      <x:c r="I70" s="301" t="str">
        <x:v>NA</x:v>
      </x:c>
      <x:c r="J70" s="301" t="n">
        <x:v>0.9</x:v>
      </x:c>
      <x:c r="K70" s="301" t="str">
        <x:v>NA</x:v>
      </x:c>
      <x:c r="L70" s="302"/>
      <x:c r="M70" s="302"/>
      <x:c r="N70" s="302"/>
      <x:c r="O70" s="302"/>
    </x:row>
    <x:row r="71">
      <x:c r="A71" s="288" t="str">
        <x:v>Installed manufacturing capacity</x:v>
      </x:c>
      <x:c r="B71" s="288" t="str">
        <x:v>KL</x:v>
      </x:c>
      <x:c r="C71" s="182" t="str">
        <x:v>Approximate / company disclosed</x:v>
      </x:c>
      <x:c r="D71" s="287" t="str">
        <x:v>NA</x:v>
      </x:c>
      <x:c r="E71" s="287" t="str">
        <x:v>NA</x:v>
      </x:c>
      <x:c r="F71" s="287" t="n">
        <x:v>660</x:v>
      </x:c>
      <x:c r="G71" s="287" t="n">
        <x:v>660</x:v>
      </x:c>
      <x:c r="H71" s="287" t="n">
        <x:v>700</x:v>
      </x:c>
      <x:c r="I71" s="287" t="n">
        <x:v>700</x:v>
      </x:c>
      <x:c r="J71" s="287" t="n">
        <x:v>700</x:v>
      </x:c>
      <x:c r="K71" s="287" t="n">
        <x:v>700</x:v>
      </x:c>
      <x:c r="L71" s="300"/>
      <x:c r="M71" s="300"/>
      <x:c r="N71" s="300"/>
      <x:c r="O71" s="300"/>
    </x:row>
    <x:row r="72">
      <x:c r="A72" s="288" t="str">
        <x:v>Incremental manufacturing capacity commissioned</x:v>
      </x:c>
      <x:c r="B72" s="288" t="str">
        <x:v>KL</x:v>
      </x:c>
      <x:c r="C72" s="182" t="str">
        <x:v>Reported milestones</x:v>
      </x:c>
      <x:c r="D72" s="287" t="str">
        <x:v>NA</x:v>
      </x:c>
      <x:c r="E72" s="287" t="str">
        <x:v>NA</x:v>
      </x:c>
      <x:c r="F72" s="287" t="n">
        <x:v>100</x:v>
      </x:c>
      <x:c r="G72" s="287" t="str">
        <x:v>NA</x:v>
      </x:c>
      <x:c r="H72" s="287" t="n">
        <x:v>91</x:v>
      </x:c>
      <x:c r="I72" s="287" t="str">
        <x:v>NA</x:v>
      </x:c>
      <x:c r="J72" s="287" t="str">
        <x:v>NA</x:v>
      </x:c>
      <x:c r="K72" s="287" t="str">
        <x:v>NA</x:v>
      </x:c>
      <x:c r="L72" s="300"/>
      <x:c r="M72" s="300"/>
      <x:c r="N72" s="300"/>
      <x:c r="O72" s="300"/>
    </x:row>
    <x:row r="73">
      <x:c r="A73" s="288" t="str">
        <x:v>Average manufacturing capacity utilisation</x:v>
      </x:c>
      <x:c r="B73" s="288" t="str">
        <x:v>%</x:v>
      </x:c>
      <x:c r="C73" s="182" t="str">
        <x:v>9M FY25 average; not a quarterly run-rate</x:v>
      </x:c>
      <x:c r="D73" s="301" t="str">
        <x:v>NA</x:v>
      </x:c>
      <x:c r="E73" s="301" t="str">
        <x:v>NA</x:v>
      </x:c>
      <x:c r="F73" s="301" t="n">
        <x:v>0.65</x:v>
      </x:c>
      <x:c r="G73" s="301" t="str">
        <x:v>NA</x:v>
      </x:c>
      <x:c r="H73" s="301" t="str">
        <x:v>NA</x:v>
      </x:c>
      <x:c r="I73" s="301" t="str">
        <x:v>NA</x:v>
      </x:c>
      <x:c r="J73" s="301" t="str">
        <x:v>NA</x:v>
      </x:c>
      <x:c r="K73" s="301" t="str">
        <x:v>NA</x:v>
      </x:c>
      <x:c r="L73" s="302"/>
      <x:c r="M73" s="302"/>
      <x:c r="N73" s="302"/>
      <x:c r="O73" s="302"/>
    </x:row>
    <x:row r="74">
      <x:c r="A74" s="288" t="str">
        <x:v>Commercial molecules</x:v>
      </x:c>
      <x:c r="B74" s="288" t="str">
        <x:v>count</x:v>
      </x:c>
      <x:c r="C74" s="182" t="str">
        <x:v>Company at-a-glance / portfolio disclosures</x:v>
      </x:c>
      <x:c r="D74" s="287" t="str">
        <x:v>NA</x:v>
      </x:c>
      <x:c r="E74" s="287" t="str">
        <x:v>NA</x:v>
      </x:c>
      <x:c r="F74" s="287" t="n">
        <x:v>31</x:v>
      </x:c>
      <x:c r="G74" s="287" t="n">
        <x:v>30</x:v>
      </x:c>
      <x:c r="H74" s="287" t="n">
        <x:v>30</x:v>
      </x:c>
      <x:c r="I74" s="287" t="n">
        <x:v>30</x:v>
      </x:c>
      <x:c r="J74" s="287" t="str">
        <x:v>NA</x:v>
      </x:c>
      <x:c r="K74" s="287" t="n">
        <x:v>34</x:v>
      </x:c>
      <x:c r="L74" s="300"/>
      <x:c r="M74" s="300"/>
      <x:c r="N74" s="300"/>
      <x:c r="O74" s="300"/>
    </x:row>
    <x:row r="75">
      <x:c r="A75" s="288" t="str">
        <x:v>Phase III / pre-registration molecules</x:v>
      </x:c>
      <x:c r="B75" s="288" t="str">
        <x:v>count</x:v>
      </x:c>
      <x:c r="C75" s="182" t="str">
        <x:v>Company portfolio disclosures</x:v>
      </x:c>
      <x:c r="D75" s="287" t="str">
        <x:v>NA</x:v>
      </x:c>
      <x:c r="E75" s="287" t="str">
        <x:v>NA</x:v>
      </x:c>
      <x:c r="F75" s="287" t="n">
        <x:v>11</x:v>
      </x:c>
      <x:c r="G75" s="287" t="n">
        <x:v>6</x:v>
      </x:c>
      <x:c r="H75" s="287" t="n">
        <x:v>6</x:v>
      </x:c>
      <x:c r="I75" s="287" t="n">
        <x:v>6</x:v>
      </x:c>
      <x:c r="J75" s="287" t="str">
        <x:v>NA</x:v>
      </x:c>
      <x:c r="K75" s="287" t="n">
        <x:v>11</x:v>
      </x:c>
      <x:c r="L75" s="300"/>
      <x:c r="M75" s="300"/>
      <x:c r="N75" s="300"/>
      <x:c r="O75" s="300"/>
    </x:row>
    <x:row r="76">
      <x:c r="A76" s="288" t="str">
        <x:v>Late-stage + commercial molecules</x:v>
      </x:c>
      <x:c r="B76" s="288" t="str">
        <x:v>count</x:v>
      </x:c>
      <x:c r="C76" s="182" t="str">
        <x:v>Derived where both components disclosed; Q3 direct total</x:v>
      </x:c>
      <x:c r="D76" s="287" t="str">
        <x:v>NA</x:v>
      </x:c>
      <x:c r="E76" s="287" t="str">
        <x:v>NA</x:v>
      </x:c>
      <x:c r="F76" s="287" t="n">
        <x:v>42</x:v>
      </x:c>
      <x:c r="G76" s="287" t="n">
        <x:v>36</x:v>
      </x:c>
      <x:c r="H76" s="287" t="n">
        <x:v>36</x:v>
      </x:c>
      <x:c r="I76" s="287" t="n">
        <x:v>36</x:v>
      </x:c>
      <x:c r="J76" s="287" t="n">
        <x:v>43</x:v>
      </x:c>
      <x:c r="K76" s="287" t="n">
        <x:v>45</x:v>
      </x:c>
      <x:c r="L76" s="300"/>
      <x:c r="M76" s="300"/>
      <x:c r="N76" s="300"/>
      <x:c r="O76" s="300"/>
    </x:row>
    <x:row r="77">
      <x:c r="A77" s="288" t="str">
        <x:v>Early-phase development programmes</x:v>
      </x:c>
      <x:c r="B77" s="288" t="str">
        <x:v>count</x:v>
      </x:c>
      <x:c r="C77" s="182" t="str">
        <x:v>FY26 year-end key growth driver</x:v>
      </x:c>
      <x:c r="D77" s="287" t="str">
        <x:v>NA</x:v>
      </x:c>
      <x:c r="E77" s="287" t="str">
        <x:v>NA</x:v>
      </x:c>
      <x:c r="F77" s="287" t="str">
        <x:v>NA</x:v>
      </x:c>
      <x:c r="G77" s="287" t="str">
        <x:v>NA</x:v>
      </x:c>
      <x:c r="H77" s="287" t="str">
        <x:v>NA</x:v>
      </x:c>
      <x:c r="I77" s="287" t="str">
        <x:v>NA</x:v>
      </x:c>
      <x:c r="J77" s="287" t="str">
        <x:v>NA</x:v>
      </x:c>
      <x:c r="K77" s="287" t="n">
        <x:v>155</x:v>
      </x:c>
      <x:c r="L77" s="300"/>
      <x:c r="M77" s="300"/>
      <x:c r="N77" s="300"/>
      <x:c r="O77" s="300"/>
    </x:row>
    <x:row r="78">
      <x:c r="A78" s="288" t="str">
        <x:v>New large-pharma commercial supply qualifications</x:v>
      </x:c>
      <x:c r="B78" s="288" t="str">
        <x:v>count</x:v>
      </x:c>
      <x:c r="C78" s="182" t="str">
        <x:v>FY26 Q4 business update</x:v>
      </x:c>
      <x:c r="D78" s="287" t="str">
        <x:v>NA</x:v>
      </x:c>
      <x:c r="E78" s="287" t="str">
        <x:v>NA</x:v>
      </x:c>
      <x:c r="F78" s="287" t="str">
        <x:v>NA</x:v>
      </x:c>
      <x:c r="G78" s="287" t="str">
        <x:v>NA</x:v>
      </x:c>
      <x:c r="H78" s="287" t="str">
        <x:v>NA</x:v>
      </x:c>
      <x:c r="I78" s="287" t="str">
        <x:v>NA</x:v>
      </x:c>
      <x:c r="J78" s="287" t="str">
        <x:v>NA</x:v>
      </x:c>
      <x:c r="K78" s="287" t="n">
        <x:v>2</x:v>
      </x:c>
      <x:c r="L78" s="300"/>
      <x:c r="M78" s="300"/>
      <x:c r="N78" s="300"/>
      <x:c r="O78" s="300"/>
    </x:row>
    <x:row r="79" ht="31" customHeight="1">
      <x:c r="A79" s="288" t="str">
        <x:v>Peptide capability status</x:v>
      </x:c>
      <x:c r="B79" s="288" t="str">
        <x:v>text</x:v>
      </x:c>
      <x:c r="C79" s="182" t="str">
        <x:v>Only company-disclosed capability additions</x:v>
      </x:c>
      <x:c r="D79" s="196" t="str">
        <x:v>NA</x:v>
      </x:c>
      <x:c r="E79" s="196" t="str">
        <x:v>NA</x:v>
      </x:c>
      <x:c r="F79" s="196" t="str">
        <x:v>NA</x:v>
      </x:c>
      <x:c r="G79" s="196" t="str">
        <x:v>Peptide Research Centre launched</x:v>
      </x:c>
      <x:c r="H79" s="196" t="str">
        <x:v>Discovery centre operational</x:v>
      </x:c>
      <x:c r="I79" s="196" t="str">
        <x:v>Follow-the-molecule: dev/scale-up build</x:v>
      </x:c>
      <x:c r="J79" s="196" t="str">
        <x:v>Process/pilot plants due Sep-26</x:v>
      </x:c>
      <x:c r="K79" s="196" t="str">
        <x:v>Discovery operational; process/scale-up build ongoing</x:v>
      </x:c>
      <x:c r="L79" s="197"/>
      <x:c r="M79" s="197"/>
      <x:c r="N79" s="197"/>
      <x:c r="O79" s="197"/>
    </x:row>
    <x:row r="80" ht="31" customHeight="1">
      <x:c r="A80" s="288" t="str">
        <x:v>ADC / OEB6 high-containment status</x:v>
      </x:c>
      <x:c r="B80" s="288" t="str">
        <x:v>text</x:v>
      </x:c>
      <x:c r="C80" s="182" t="str">
        <x:v>Company disclosures; no assumption of broader ADC manufacturing</x:v>
      </x:c>
      <x:c r="D80" s="196" t="str">
        <x:v>NA</x:v>
      </x:c>
      <x:c r="E80" s="196" t="str">
        <x:v>NA</x:v>
      </x:c>
      <x:c r="F80" s="196" t="str">
        <x:v>NA</x:v>
      </x:c>
      <x:c r="G80" s="196" t="str">
        <x:v>ADC capability expansion referenced</x:v>
      </x:c>
      <x:c r="H80" s="196" t="str">
        <x:v>Emerging modality investment</x:v>
      </x:c>
      <x:c r="I80" s="196" t="str">
        <x:v>Large-pharma ADC chemistry; OEB6 build</x:v>
      </x:c>
      <x:c r="J80" s="196" t="str">
        <x:v>Discovery OEB6 phase 1 complete; CMC due Oct-26</x:v>
      </x:c>
      <x:c r="K80" s="196" t="str">
        <x:v>ADC capability expansion ongoing</x:v>
      </x:c>
      <x:c r="L80" s="197"/>
      <x:c r="M80" s="197"/>
      <x:c r="N80" s="197"/>
      <x:c r="O80" s="197"/>
    </x:row>
    <x:row r="81" ht="31" customHeight="1">
      <x:c r="A81" s="288" t="str">
        <x:v>Oligonucleotide / amidite status</x:v>
      </x:c>
      <x:c r="B81" s="288" t="str">
        <x:v>text</x:v>
      </x:c>
      <x:c r="C81" s="182" t="str">
        <x:v>Company disclosures</x:v>
      </x:c>
      <x:c r="D81" s="196" t="str">
        <x:v>NA</x:v>
      </x:c>
      <x:c r="E81" s="196" t="str">
        <x:v>NA</x:v>
      </x:c>
      <x:c r="F81" s="196" t="str">
        <x:v>NA</x:v>
      </x:c>
      <x:c r="G81" s="196" t="str">
        <x:v>New modalities incl. oligos</x:v>
      </x:c>
      <x:c r="H81" s="196" t="str">
        <x:v>Oligo support referenced</x:v>
      </x:c>
      <x:c r="I81" s="196" t="str">
        <x:v>Validating phosphoramidite process for commercial oligo</x:v>
      </x:c>
      <x:c r="J81" s="196" t="str">
        <x:v>Amidite labs included in Process R&amp;D block</x:v>
      </x:c>
      <x:c r="K81" s="196" t="str">
        <x:v>Oligos remain a new-modality capability</x:v>
      </x:c>
      <x:c r="L81" s="197"/>
      <x:c r="M81" s="197"/>
      <x:c r="N81" s="197"/>
      <x:c r="O81" s="197"/>
    </x:row>
    <x:row r="82" ht="31" customHeight="1">
      <x:c r="A82" s="288" t="str">
        <x:v>Flow / photo / electrochemistry status</x:v>
      </x:c>
      <x:c r="B82" s="288" t="str">
        <x:v>text</x:v>
      </x:c>
      <x:c r="C82" s="182" t="str">
        <x:v>Company disclosures</x:v>
      </x:c>
      <x:c r="D82" s="196" t="str">
        <x:v>NA</x:v>
      </x:c>
      <x:c r="E82" s="196" t="str">
        <x:v>NA</x:v>
      </x:c>
      <x:c r="F82" s="196" t="str">
        <x:v>NA</x:v>
      </x:c>
      <x:c r="G82" s="196" t="str">
        <x:v>NA</x:v>
      </x:c>
      <x:c r="H82" s="196" t="str">
        <x:v>NA</x:v>
      </x:c>
      <x:c r="I82" s="196" t="str">
        <x:v>Plant-scale photo-flow completed</x:v>
      </x:c>
      <x:c r="J82" s="196" t="str">
        <x:v>Central photo/electro group; flow strengthened</x:v>
      </x:c>
      <x:c r="K82" s="196" t="str">
        <x:v>Technology platform established / scaling</x:v>
      </x:c>
      <x:c r="L82" s="197"/>
      <x:c r="M82" s="197"/>
      <x:c r="N82" s="197"/>
      <x:c r="O82" s="197"/>
    </x:row>
    <x:row r="83" ht="31" customHeight="1">
      <x:c r="A83" s="288" t="str">
        <x:v>Biology / advanced biology status</x:v>
      </x:c>
      <x:c r="B83" s="288" t="str">
        <x:v>text</x:v>
      </x:c>
      <x:c r="C83" s="182" t="str">
        <x:v>Company disclosures</x:v>
      </x:c>
      <x:c r="D83" s="196" t="str">
        <x:v>NA</x:v>
      </x:c>
      <x:c r="E83" s="196" t="str">
        <x:v>NA</x:v>
      </x:c>
      <x:c r="F83" s="196" t="str">
        <x:v>NA</x:v>
      </x:c>
      <x:c r="G83" s="196" t="str">
        <x:v>Integrated biology offering</x:v>
      </x:c>
      <x:c r="H83" s="196" t="str">
        <x:v>10,300 sq ft Biology labs opened</x:v>
      </x:c>
      <x:c r="I83" s="196" t="str">
        <x:v>Vivarium phase 2 completed</x:v>
      </x:c>
      <x:c r="J83" s="196" t="str">
        <x:v>Next-gen biology / automation scaling</x:v>
      </x:c>
      <x:c r="K83" s="196" t="str">
        <x:v>Advanced biology + organoid investments</x:v>
      </x:c>
      <x:c r="L83" s="197"/>
      <x:c r="M83" s="197"/>
      <x:c r="N83" s="197"/>
      <x:c r="O83" s="197"/>
    </x:row>
    <x:row r="84" ht="20" customHeight="1">
      <x:c r="A84" s="283" t="str">
        <x:v>E. Capex &amp; Balance-Sheet Monitor</x:v>
      </x:c>
      <x:c r="B84" s="283" t="str">
        <x:v>E. Capex &amp; Balance-Sheet Monitor</x:v>
      </x:c>
      <x:c r="C84" s="283" t="str">
        <x:v>E. Capex &amp; Balance-Sheet Monitor</x:v>
      </x:c>
      <x:c r="D84" s="229" t="str">
        <x:v>E. Capex &amp; Balance-Sheet Monitor</x:v>
      </x:c>
      <x:c r="E84" s="229" t="str">
        <x:v>E. Capex &amp; Balance-Sheet Monitor</x:v>
      </x:c>
      <x:c r="F84" s="229" t="str">
        <x:v>E. Capex &amp; Balance-Sheet Monitor</x:v>
      </x:c>
      <x:c r="G84" s="229" t="str">
        <x:v>E. Capex &amp; Balance-Sheet Monitor</x:v>
      </x:c>
      <x:c r="H84" s="229" t="str">
        <x:v>E. Capex &amp; Balance-Sheet Monitor</x:v>
      </x:c>
      <x:c r="I84" s="229" t="str">
        <x:v>E. Capex &amp; Balance-Sheet Monitor</x:v>
      </x:c>
      <x:c r="J84" s="229" t="str">
        <x:v>E. Capex &amp; Balance-Sheet Monitor</x:v>
      </x:c>
      <x:c r="K84" s="229" t="str">
        <x:v>E. Capex &amp; Balance-Sheet Monitor</x:v>
      </x:c>
      <x:c r="L84" s="229" t="str">
        <x:v>E. Capex &amp; Balance-Sheet Monitor</x:v>
      </x:c>
      <x:c r="M84" s="229" t="str">
        <x:v>E. Capex &amp; Balance-Sheet Monitor</x:v>
      </x:c>
      <x:c r="N84" s="229" t="str">
        <x:v>E. Capex &amp; Balance-Sheet Monitor</x:v>
      </x:c>
      <x:c r="O84" s="229" t="str">
        <x:v>E. Capex &amp; Balance-Sheet Monitor</x:v>
      </x:c>
    </x:row>
    <x:row r="85" ht="28" customHeight="1">
      <x:c r="A85" s="24" t="str">
        <x:v>Metric</x:v>
      </x:c>
      <x:c r="B85" s="24" t="str">
        <x:v>Units</x:v>
      </x:c>
      <x:c r="C85" s="24" t="str">
        <x:v>Source / Status</x:v>
      </x:c>
      <x:c r="D85" s="230" t="str">
        <x:v>Q1 FY25</x:v>
      </x:c>
      <x:c r="E85" s="230" t="str">
        <x:v>Q2 FY25</x:v>
      </x:c>
      <x:c r="F85" s="230" t="str">
        <x:v>Q3 FY25</x:v>
      </x:c>
      <x:c r="G85" s="230" t="str">
        <x:v>Q4 FY25</x:v>
      </x:c>
      <x:c r="H85" s="230" t="str">
        <x:v>Q1 FY26</x:v>
      </x:c>
      <x:c r="I85" s="230" t="str">
        <x:v>Q2 FY26</x:v>
      </x:c>
      <x:c r="J85" s="230" t="str">
        <x:v>Q3 FY26</x:v>
      </x:c>
      <x:c r="K85" s="230" t="str">
        <x:v>Q4 FY26</x:v>
      </x:c>
      <x:c r="L85" s="230" t="str">
        <x:v>Q1 FY27</x:v>
      </x:c>
      <x:c r="M85" s="230" t="str">
        <x:v>Q2 FY27</x:v>
      </x:c>
      <x:c r="N85" s="230" t="str">
        <x:v>Q3 FY27</x:v>
      </x:c>
      <x:c r="O85" s="230" t="str">
        <x:v>Q4 FY27</x:v>
      </x:c>
    </x:row>
    <x:row r="86">
      <x:c r="A86" s="288" t="str">
        <x:v>Capex – quarter</x:v>
      </x:c>
      <x:c r="B86" s="288" t="str">
        <x:v>INR mn</x:v>
      </x:c>
      <x:c r="C86" s="182" t="str">
        <x:v>Reported where available; derived only from like-for-like cumulative disclosures</x:v>
      </x:c>
      <x:c r="D86" s="235" t="str">
        <x:v>NA</x:v>
      </x:c>
      <x:c r="E86" s="235" t="str">
        <x:v>NA</x:v>
      </x:c>
      <x:c r="F86" s="235" t="str">
        <x:v>NA</x:v>
      </x:c>
      <x:c r="G86" s="235" t="n">
        <x:v>1080</x:v>
      </x:c>
      <x:c r="H86" s="235" t="n">
        <x:v>1340</x:v>
      </x:c>
      <x:c r="I86" s="235" t="n">
        <x:v>1140</x:v>
      </x:c>
      <x:c r="J86" s="235" t="n">
        <x:v>1570</x:v>
      </x:c>
      <x:c r="K86" s="235" t="n">
        <x:v>2280</x:v>
      </x:c>
      <x:c r="L86" s="239"/>
      <x:c r="M86" s="239"/>
      <x:c r="N86" s="239"/>
      <x:c r="O86" s="239"/>
    </x:row>
    <x:row r="87">
      <x:c r="A87" s="288" t="str">
        <x:v>YTD capex</x:v>
      </x:c>
      <x:c r="B87" s="288" t="str">
        <x:v>INR mn</x:v>
      </x:c>
      <x:c r="C87" s="182" t="str">
        <x:v>Management-reported capex</x:v>
      </x:c>
      <x:c r="D87" s="235" t="str">
        <x:v>NA</x:v>
      </x:c>
      <x:c r="E87" s="235" t="str">
        <x:v>NA</x:v>
      </x:c>
      <x:c r="F87" s="235" t="n">
        <x:v>3000</x:v>
      </x:c>
      <x:c r="G87" s="235" t="n">
        <x:v>4080</x:v>
      </x:c>
      <x:c r="H87" s="235" t="n">
        <x:v>1340</x:v>
      </x:c>
      <x:c r="I87" s="235" t="n">
        <x:v>2480</x:v>
      </x:c>
      <x:c r="J87" s="235" t="n">
        <x:v>4050</x:v>
      </x:c>
      <x:c r="K87" s="235" t="n">
        <x:v>6330</x:v>
      </x:c>
      <x:c r="L87" s="239"/>
      <x:c r="M87" s="239"/>
      <x:c r="N87" s="239"/>
      <x:c r="O87" s="239"/>
    </x:row>
    <x:row r="88">
      <x:c r="A88" s="288" t="str">
        <x:v>Capex guidance</x:v>
      </x:c>
      <x:c r="B88" s="288" t="str">
        <x:v>INR mn / text</x:v>
      </x:c>
      <x:c r="C88" s="182" t="str">
        <x:v>FY26 plan ₹7,000m; Q4 FY26 introduces FY27 ₹11,000–13,000m</x:v>
      </x:c>
      <x:c r="D88" s="250" t="str">
        <x:v>NA</x:v>
      </x:c>
      <x:c r="E88" s="250" t="str">
        <x:v>NA</x:v>
      </x:c>
      <x:c r="F88" s="250" t="str">
        <x:v>NA</x:v>
      </x:c>
      <x:c r="G88" s="250" t="str">
        <x:v>NA</x:v>
      </x:c>
      <x:c r="H88" s="250" t="n">
        <x:v>7000</x:v>
      </x:c>
      <x:c r="I88" s="250" t="n">
        <x:v>7000</x:v>
      </x:c>
      <x:c r="J88" s="250" t="n">
        <x:v>7000</x:v>
      </x:c>
      <x:c r="K88" s="250" t="str">
        <x:v>FY27: 11,000–13,000</x:v>
      </x:c>
      <x:c r="L88" s="249"/>
      <x:c r="M88" s="249"/>
      <x:c r="N88" s="249"/>
      <x:c r="O88" s="249"/>
    </x:row>
    <x:row r="89">
      <x:c r="A89" s="288" t="str">
        <x:v>Gross PP&amp;E</x:v>
      </x:c>
      <x:c r="B89" s="288" t="str">
        <x:v>INR mn</x:v>
      </x:c>
      <x:c r="C89" s="182" t="str">
        <x:v>Not disclosed in quarterly presentations</x:v>
      </x:c>
      <x:c r="D89" s="235" t="str">
        <x:v>NA</x:v>
      </x:c>
      <x:c r="E89" s="235" t="str">
        <x:v>NA</x:v>
      </x:c>
      <x:c r="F89" s="235" t="str">
        <x:v>NA</x:v>
      </x:c>
      <x:c r="G89" s="235" t="str">
        <x:v>NA</x:v>
      </x:c>
      <x:c r="H89" s="235" t="str">
        <x:v>NA</x:v>
      </x:c>
      <x:c r="I89" s="235" t="str">
        <x:v>NA</x:v>
      </x:c>
      <x:c r="J89" s="235" t="str">
        <x:v>NA</x:v>
      </x:c>
      <x:c r="K89" s="235" t="str">
        <x:v>NA</x:v>
      </x:c>
      <x:c r="L89" s="239"/>
      <x:c r="M89" s="239"/>
      <x:c r="N89" s="239"/>
      <x:c r="O89" s="239"/>
    </x:row>
    <x:row r="90">
      <x:c r="A90" s="288" t="str">
        <x:v>Net PP&amp;E (excl. ROU)</x:v>
      </x:c>
      <x:c r="B90" s="288" t="str">
        <x:v>INR mn</x:v>
      </x:c>
      <x:c r="C90" s="182" t="str">
        <x:v>Periodic balance sheet only</x:v>
      </x:c>
      <x:c r="D90" s="235" t="str">
        <x:v>NA</x:v>
      </x:c>
      <x:c r="E90" s="235" t="n">
        <x:v>9618.3</x:v>
      </x:c>
      <x:c r="F90" s="235" t="str">
        <x:v>NA</x:v>
      </x:c>
      <x:c r="G90" s="235" t="n">
        <x:v>11850.12</x:v>
      </x:c>
      <x:c r="H90" s="235" t="str">
        <x:v>NA</x:v>
      </x:c>
      <x:c r="I90" s="235" t="n">
        <x:v>13367.14</x:v>
      </x:c>
      <x:c r="J90" s="235" t="str">
        <x:v>NA</x:v>
      </x:c>
      <x:c r="K90" s="235" t="n">
        <x:v>15344.14</x:v>
      </x:c>
      <x:c r="L90" s="239"/>
      <x:c r="M90" s="239"/>
      <x:c r="N90" s="239"/>
      <x:c r="O90" s="239"/>
    </x:row>
    <x:row r="91">
      <x:c r="A91" s="288" t="str">
        <x:v>Right-of-use assets</x:v>
      </x:c>
      <x:c r="B91" s="288" t="str">
        <x:v>INR mn</x:v>
      </x:c>
      <x:c r="C91" s="182" t="str">
        <x:v>Periodic balance sheet only</x:v>
      </x:c>
      <x:c r="D91" s="235" t="str">
        <x:v>NA</x:v>
      </x:c>
      <x:c r="E91" s="235" t="n">
        <x:v>2543.8</x:v>
      </x:c>
      <x:c r="F91" s="235" t="str">
        <x:v>NA</x:v>
      </x:c>
      <x:c r="G91" s="235" t="n">
        <x:v>2923.44</x:v>
      </x:c>
      <x:c r="H91" s="235" t="str">
        <x:v>NA</x:v>
      </x:c>
      <x:c r="I91" s="235" t="n">
        <x:v>2762.7</x:v>
      </x:c>
      <x:c r="J91" s="235" t="str">
        <x:v>NA</x:v>
      </x:c>
      <x:c r="K91" s="235" t="n">
        <x:v>2743.01</x:v>
      </x:c>
      <x:c r="L91" s="239"/>
      <x:c r="M91" s="239"/>
      <x:c r="N91" s="239"/>
      <x:c r="O91" s="239"/>
    </x:row>
    <x:row r="92">
      <x:c r="A92" s="288" t="str">
        <x:v>Capital work-in-progress</x:v>
      </x:c>
      <x:c r="B92" s="288" t="str">
        <x:v>INR mn</x:v>
      </x:c>
      <x:c r="C92" s="182" t="str">
        <x:v>Periodic balance sheet only</x:v>
      </x:c>
      <x:c r="D92" s="235" t="str">
        <x:v>NA</x:v>
      </x:c>
      <x:c r="E92" s="235" t="n">
        <x:v>1520.2</x:v>
      </x:c>
      <x:c r="F92" s="235" t="str">
        <x:v>NA</x:v>
      </x:c>
      <x:c r="G92" s="235" t="n">
        <x:v>1244.56</x:v>
      </x:c>
      <x:c r="H92" s="235" t="str">
        <x:v>NA</x:v>
      </x:c>
      <x:c r="I92" s="235" t="n">
        <x:v>1151.99</x:v>
      </x:c>
      <x:c r="J92" s="235" t="str">
        <x:v>NA</x:v>
      </x:c>
      <x:c r="K92" s="235" t="n">
        <x:v>2704.53</x:v>
      </x:c>
      <x:c r="L92" s="239"/>
      <x:c r="M92" s="239"/>
      <x:c r="N92" s="239"/>
      <x:c r="O92" s="239"/>
    </x:row>
    <x:row r="93">
      <x:c r="A93" s="288" t="str">
        <x:v>Total assets</x:v>
      </x:c>
      <x:c r="B93" s="288" t="str">
        <x:v>INR mn</x:v>
      </x:c>
      <x:c r="C93" s="182" t="str">
        <x:v>Periodic balance sheet only</x:v>
      </x:c>
      <x:c r="D93" s="235" t="str">
        <x:v>NA</x:v>
      </x:c>
      <x:c r="E93" s="235" t="n">
        <x:v>24768</x:v>
      </x:c>
      <x:c r="F93" s="235" t="str">
        <x:v>NA</x:v>
      </x:c>
      <x:c r="G93" s="235" t="n">
        <x:v>31599.75</x:v>
      </x:c>
      <x:c r="H93" s="235" t="str">
        <x:v>NA</x:v>
      </x:c>
      <x:c r="I93" s="235" t="n">
        <x:v>33315.08</x:v>
      </x:c>
      <x:c r="J93" s="235" t="str">
        <x:v>NA</x:v>
      </x:c>
      <x:c r="K93" s="235" t="n">
        <x:v>36261.4</x:v>
      </x:c>
      <x:c r="L93" s="239"/>
      <x:c r="M93" s="239"/>
      <x:c r="N93" s="239"/>
      <x:c r="O93" s="239"/>
    </x:row>
    <x:row r="94">
      <x:c r="A94" s="288" t="str">
        <x:v>Gross debt / borrowings</x:v>
      </x:c>
      <x:c r="B94" s="288" t="str">
        <x:v>INR mn</x:v>
      </x:c>
      <x:c r="C94" s="182" t="str">
        <x:v>Excludes lease liabilities</x:v>
      </x:c>
      <x:c r="D94" s="235" t="str">
        <x:v>NA</x:v>
      </x:c>
      <x:c r="E94" s="235" t="n">
        <x:v>7645</x:v>
      </x:c>
      <x:c r="F94" s="235" t="str">
        <x:v>NA</x:v>
      </x:c>
      <x:c r="G94" s="235" t="n">
        <x:v>1286.36</x:v>
      </x:c>
      <x:c r="H94" s="235" t="str">
        <x:v>NA</x:v>
      </x:c>
      <x:c r="I94" s="235" t="n">
        <x:v>2154.77</x:v>
      </x:c>
      <x:c r="J94" s="235" t="str">
        <x:v>NA</x:v>
      </x:c>
      <x:c r="K94" s="235" t="n">
        <x:v>951.25</x:v>
      </x:c>
      <x:c r="L94" s="239"/>
      <x:c r="M94" s="239"/>
      <x:c r="N94" s="239"/>
      <x:c r="O94" s="239"/>
    </x:row>
    <x:row r="95">
      <x:c r="A95" s="288" t="str">
        <x:v>Cash &amp; bank balances</x:v>
      </x:c>
      <x:c r="B95" s="288" t="str">
        <x:v>INR mn</x:v>
      </x:c>
      <x:c r="C95" s="182" t="str">
        <x:v>Cash + other bank balances; periodic balance sheet only</x:v>
      </x:c>
      <x:c r="D95" s="235" t="str">
        <x:v>NA</x:v>
      </x:c>
      <x:c r="E95" s="235" t="n">
        <x:v>1836.9</x:v>
      </x:c>
      <x:c r="F95" s="235" t="str">
        <x:v>NA</x:v>
      </x:c>
      <x:c r="G95" s="235" t="n">
        <x:v>4638.82</x:v>
      </x:c>
      <x:c r="H95" s="235" t="str">
        <x:v>NA</x:v>
      </x:c>
      <x:c r="I95" s="235" t="n">
        <x:v>3062.24</x:v>
      </x:c>
      <x:c r="J95" s="235" t="str">
        <x:v>NA</x:v>
      </x:c>
      <x:c r="K95" s="235" t="n">
        <x:v>1108.71</x:v>
      </x:c>
      <x:c r="L95" s="239"/>
      <x:c r="M95" s="239"/>
      <x:c r="N95" s="239"/>
      <x:c r="O95" s="239"/>
    </x:row>
    <x:row r="96">
      <x:c r="A96" s="289" t="str">
        <x:v>Net debt / (cash)</x:v>
      </x:c>
      <x:c r="B96" s="289" t="str">
        <x:v>INR mn</x:v>
      </x:c>
      <x:c r="C96" s="189" t="str">
        <x:v>Formula: gross debt less cash &amp; bank balances</x:v>
      </x:c>
      <x:c r="D96" s="243" t="str">
        <x:f>IF(AND(ISNUMBER(D94),ISNUMBER(D95)),D94-D95,"NA")</x:f>
        <x:v>NA</x:v>
      </x:c>
      <x:c r="E96" s="243" t="n">
        <x:f>IF(AND(ISNUMBER(E94),ISNUMBER(E95)),E94-E95,"NA")</x:f>
        <x:v>5808.1</x:v>
      </x:c>
      <x:c r="F96" s="243" t="str">
        <x:f>IF(AND(ISNUMBER(F94),ISNUMBER(F95)),F94-F95,"NA")</x:f>
        <x:v>NA</x:v>
      </x:c>
      <x:c r="G96" s="243" t="n">
        <x:f>IF(AND(ISNUMBER(G94),ISNUMBER(G95)),G94-G95,"NA")</x:f>
        <x:v>-3352.46</x:v>
      </x:c>
      <x:c r="H96" s="243" t="str">
        <x:f>IF(AND(ISNUMBER(H94),ISNUMBER(H95)),H94-H95,"NA")</x:f>
        <x:v>NA</x:v>
      </x:c>
      <x:c r="I96" s="243" t="n">
        <x:f>IF(AND(ISNUMBER(I94),ISNUMBER(I95)),I94-I95,"NA")</x:f>
        <x:v>-907.4699999999998</x:v>
      </x:c>
      <x:c r="J96" s="243" t="str">
        <x:f>IF(AND(ISNUMBER(J94),ISNUMBER(J95)),J94-J95,"NA")</x:f>
        <x:v>NA</x:v>
      </x:c>
      <x:c r="K96" s="243" t="n">
        <x:f>IF(AND(ISNUMBER(K94),ISNUMBER(K95)),K94-K95,"NA")</x:f>
        <x:v>-157.46000000000004</x:v>
      </x:c>
      <x:c r="L96" s="243" t="str">
        <x:f>IF(AND(ISNUMBER(L94),ISNUMBER(L95)),L94-L95,"NA")</x:f>
        <x:v>NA</x:v>
      </x:c>
      <x:c r="M96" s="243" t="str">
        <x:f>IF(AND(ISNUMBER(M94),ISNUMBER(M95)),M94-M95,"NA")</x:f>
        <x:v>NA</x:v>
      </x:c>
      <x:c r="N96" s="243" t="str">
        <x:f>IF(AND(ISNUMBER(N94),ISNUMBER(N95)),N94-N95,"NA")</x:f>
        <x:v>NA</x:v>
      </x:c>
      <x:c r="O96" s="243" t="str">
        <x:f>IF(AND(ISNUMBER(O94),ISNUMBER(O95)),O94-O95,"NA")</x:f>
        <x:v>NA</x:v>
      </x:c>
    </x:row>
    <x:row r="97">
      <x:c r="A97" s="289" t="str">
        <x:v>Depreciation &amp; amortisation</x:v>
      </x:c>
      <x:c r="B97" s="289" t="str">
        <x:v>INR mn</x:v>
      </x:c>
      <x:c r="C97" s="189" t="str">
        <x:v>Linked to quarterly P&amp;L</x:v>
      </x:c>
      <x:c r="D97" s="243" t="n">
        <x:f>IF(D34="","NA",D34)</x:f>
        <x:v>310</x:v>
      </x:c>
      <x:c r="E97" s="243" t="n">
        <x:f>IF(E34="","NA",E34)</x:f>
        <x:v>360</x:v>
      </x:c>
      <x:c r="F97" s="243" t="n">
        <x:f>IF(F34="","NA",F34)</x:f>
        <x:v>340</x:v>
      </x:c>
      <x:c r="G97" s="243" t="n">
        <x:f>IF(G34="","NA",G34)</x:f>
        <x:v>370</x:v>
      </x:c>
      <x:c r="H97" s="243" t="n">
        <x:f>IF(H34="","NA",H34)</x:f>
        <x:v>380</x:v>
      </x:c>
      <x:c r="I97" s="243" t="n">
        <x:f>IF(I34="","NA",I34)</x:f>
        <x:v>400</x:v>
      </x:c>
      <x:c r="J97" s="243" t="n">
        <x:f>IF(J34="","NA",J34)</x:f>
        <x:v>440</x:v>
      </x:c>
      <x:c r="K97" s="243" t="n">
        <x:f>IF(K34="","NA",K34)</x:f>
        <x:v>450</x:v>
      </x:c>
      <x:c r="L97" s="243" t="str">
        <x:f>IF(L34="","NA",L34)</x:f>
        <x:v>NA</x:v>
      </x:c>
      <x:c r="M97" s="243" t="str">
        <x:f>IF(M34="","NA",M34)</x:f>
        <x:v>NA</x:v>
      </x:c>
      <x:c r="N97" s="243" t="str">
        <x:f>IF(N34="","NA",N34)</x:f>
        <x:v>NA</x:v>
      </x:c>
      <x:c r="O97" s="243" t="str">
        <x:f>IF(O34="","NA",O34)</x:f>
        <x:v>NA</x:v>
      </x:c>
    </x:row>
    <x:row r="98">
      <x:c r="A98" s="289" t="str">
        <x:v>CWIP / (Net PP&amp;E + ROU + CWIP)</x:v>
      </x:c>
      <x:c r="B98" s="289" t="str">
        <x:v>%</x:v>
      </x:c>
      <x:c r="C98" s="189" t="str">
        <x:v>Formula</x:v>
      </x:c>
      <x:c r="D98" s="242" t="str">
        <x:f>IFERROR(D92/(D90+D91+D92),"NA")</x:f>
        <x:v>NA</x:v>
      </x:c>
      <x:c r="E98" s="242" t="n">
        <x:f>IFERROR(E92/(E90+E91+E92),"NA")</x:f>
        <x:v>0.11110705071515754</x:v>
      </x:c>
      <x:c r="F98" s="242" t="str">
        <x:f>IFERROR(F92/(F90+F91+F92),"NA")</x:f>
        <x:v>NA</x:v>
      </x:c>
      <x:c r="G98" s="242" t="n">
        <x:f>IFERROR(G92/(G90+G91+G92),"NA")</x:f>
        <x:v>0.07769700813828338</x:v>
      </x:c>
      <x:c r="H98" s="242" t="str">
        <x:f>IFERROR(H92/(H90+H91+H92),"NA")</x:f>
        <x:v>NA</x:v>
      </x:c>
      <x:c r="I98" s="242" t="n">
        <x:f>IFERROR(I92/(I90+I91+I92),"NA")</x:f>
        <x:v>0.06665902858667166</x:v>
      </x:c>
      <x:c r="J98" s="242" t="str">
        <x:f>IFERROR(J92/(J90+J91+J92),"NA")</x:f>
        <x:v>NA</x:v>
      </x:c>
      <x:c r="K98" s="242" t="n">
        <x:f>IFERROR(K92/(K90+K91+K92),"NA")</x:f>
        <x:v>0.13007751177394036</x:v>
      </x:c>
      <x:c r="L98" s="242" t="str">
        <x:f>IFERROR(L92/(L90+L91+L92),"NA")</x:f>
        <x:v>NA</x:v>
      </x:c>
      <x:c r="M98" s="242" t="str">
        <x:f>IFERROR(M92/(M90+M91+M92),"NA")</x:f>
        <x:v>NA</x:v>
      </x:c>
      <x:c r="N98" s="242" t="str">
        <x:f>IFERROR(N92/(N90+N91+N92),"NA")</x:f>
        <x:v>NA</x:v>
      </x:c>
      <x:c r="O98" s="242" t="str">
        <x:f>IFERROR(O92/(O90+O91+O92),"NA")</x:f>
        <x:v>NA</x:v>
      </x:c>
    </x:row>
    <x:row r="99">
      <x:c r="A99" s="282"/>
      <x:c r="B99" s="282"/>
      <x:c r="C99" s="282"/>
      <x:c r="D99" s="228"/>
      <x:c r="E99" s="228"/>
      <x:c r="F99" s="228"/>
      <x:c r="G99" s="228"/>
      <x:c r="H99" s="228"/>
      <x:c r="I99" s="228"/>
      <x:c r="J99" s="228"/>
      <x:c r="K99" s="228"/>
      <x:c r="L99" s="228"/>
      <x:c r="M99" s="228"/>
      <x:c r="N99" s="228"/>
      <x:c r="O99" s="228"/>
    </x:row>
    <x:row r="100" ht="20" customHeight="1">
      <x:c r="A100" s="283" t="str">
        <x:v>F. Management Guidance &amp; Result Takeaways</x:v>
      </x:c>
      <x:c r="B100" s="283" t="str">
        <x:v>F. Management Guidance &amp; Result Takeaways</x:v>
      </x:c>
      <x:c r="C100" s="283" t="str">
        <x:v>F. Management Guidance &amp; Result Takeaways</x:v>
      </x:c>
      <x:c r="D100" s="283" t="str">
        <x:v>F. Management Guidance &amp; Result Takeaways</x:v>
      </x:c>
      <x:c r="E100" s="283" t="str">
        <x:v>F. Management Guidance &amp; Result Takeaways</x:v>
      </x:c>
      <x:c r="F100" s="283" t="str">
        <x:v>F. Management Guidance &amp; Result Takeaways</x:v>
      </x:c>
      <x:c r="G100" s="283" t="str">
        <x:v>F. Management Guidance &amp; Result Takeaways</x:v>
      </x:c>
      <x:c r="H100" s="229" t="str">
        <x:v>F. Management Guidance &amp; Result Takeaways</x:v>
      </x:c>
      <x:c r="I100" s="229" t="str">
        <x:v>F. Management Guidance &amp; Result Takeaways</x:v>
      </x:c>
      <x:c r="J100" s="229" t="str">
        <x:v>F. Management Guidance &amp; Result Takeaways</x:v>
      </x:c>
      <x:c r="K100" s="229" t="str">
        <x:v>F. Management Guidance &amp; Result Takeaways</x:v>
      </x:c>
      <x:c r="L100" s="229" t="str">
        <x:v>F. Management Guidance &amp; Result Takeaways</x:v>
      </x:c>
      <x:c r="M100" s="229" t="str">
        <x:v>F. Management Guidance &amp; Result Takeaways</x:v>
      </x:c>
      <x:c r="N100" s="229" t="str">
        <x:v>F. Management Guidance &amp; Result Takeaways</x:v>
      </x:c>
      <x:c r="O100" s="229" t="str">
        <x:v>F. Management Guidance &amp; Result Takeaways</x:v>
      </x:c>
    </x:row>
    <x:row r="101" ht="28" customHeight="1">
      <x:c r="A101" s="24" t="str">
        <x:v>Quarter</x:v>
      </x:c>
      <x:c r="B101" s="24" t="str">
        <x:v>Revenue Guidance</x:v>
      </x:c>
      <x:c r="C101" s="24" t="str">
        <x:v>Margin Guidance</x:v>
      </x:c>
      <x:c r="D101" s="24" t="str">
        <x:v>Capex Guidance</x:v>
      </x:c>
      <x:c r="E101" s="24" t="str">
        <x:v>Capacity Commentary</x:v>
      </x:c>
      <x:c r="F101" s="24" t="str">
        <x:v>Key Positive</x:v>
      </x:c>
      <x:c r="G101" s="24" t="str">
        <x:v>Key Concern</x:v>
      </x:c>
      <x:c r="H101" s="228"/>
      <x:c r="I101" s="228"/>
      <x:c r="J101" s="228"/>
      <x:c r="K101" s="228"/>
      <x:c r="L101" s="228"/>
      <x:c r="M101" s="228"/>
      <x:c r="N101" s="228"/>
      <x:c r="O101" s="228"/>
    </x:row>
    <x:row r="102" ht="42" customHeight="1">
      <x:c r="A102" s="196" t="str">
        <x:v>Q1 FY25</x:v>
      </x:c>
      <x:c r="B102" s="196" t="str">
        <x:v>Not disclosed in supplied materials</x:v>
      </x:c>
      <x:c r="C102" s="196" t="str">
        <x:v>Not disclosed</x:v>
      </x:c>
      <x:c r="D102" s="196" t="str">
        <x:v>Not disclosed</x:v>
      </x:c>
      <x:c r="E102" s="196" t="str">
        <x:v>Comparative financials only</x:v>
      </x:c>
      <x:c r="F102" s="196" t="str">
        <x:v>Revenue base established</x:v>
      </x:c>
      <x:c r="G102" s="196" t="str">
        <x:v>EBITDA margin 11%; PAT loss</x:v>
      </x:c>
      <x:c r="H102" s="228"/>
      <x:c r="I102" s="228"/>
      <x:c r="J102" s="228"/>
      <x:c r="K102" s="228"/>
      <x:c r="L102" s="228"/>
      <x:c r="M102" s="228"/>
      <x:c r="N102" s="228"/>
      <x:c r="O102" s="228"/>
    </x:row>
    <x:row r="103" ht="42" customHeight="1">
      <x:c r="A103" s="196" t="str">
        <x:v>Q2 FY25</x:v>
      </x:c>
      <x:c r="B103" s="196" t="str">
        <x:v>Not disclosed in supplied materials</x:v>
      </x:c>
      <x:c r="C103" s="196" t="str">
        <x:v>Not disclosed</x:v>
      </x:c>
      <x:c r="D103" s="196" t="str">
        <x:v>Not disclosed</x:v>
      </x:c>
      <x:c r="E103" s="196" t="str">
        <x:v>No quarter-specific capacity update supplied</x:v>
      </x:c>
      <x:c r="F103" s="196" t="str">
        <x:v>Margin recovered to 27.5%</x:v>
      </x:c>
      <x:c r="G103" s="196" t="str">
        <x:v>Limited operating disclosure for Q2</x:v>
      </x:c>
      <x:c r="H103" s="228"/>
      <x:c r="I103" s="228"/>
      <x:c r="J103" s="228"/>
      <x:c r="K103" s="228"/>
      <x:c r="L103" s="228"/>
      <x:c r="M103" s="228"/>
      <x:c r="N103" s="228"/>
      <x:c r="O103" s="228"/>
    </x:row>
    <x:row r="104" ht="42" customHeight="1">
      <x:c r="A104" s="196" t="str">
        <x:v>Q3 FY25</x:v>
      </x:c>
      <x:c r="B104" s="196" t="str">
        <x:v>Long-term: 15–20% revenue CAGR</x:v>
      </x:c>
      <x:c r="C104" s="196" t="str">
        <x:v>28–30% over 2–3 yrs</x:v>
      </x:c>
      <x:c r="D104" s="196" t="str">
        <x:v>9M capex ~₹3,000m</x:v>
      </x:c>
      <x:c r="E104" s="196" t="str">
        <x:v>+100 KL added; another +100 KL planned</x:v>
      </x:c>
      <x:c r="F104" s="196" t="str">
        <x:v>65% 9M utilisation; both businesses growing</x:v>
      </x:c>
      <x:c r="G104" s="196" t="str">
        <x:v>New capacity still needs absorption</x:v>
      </x:c>
      <x:c r="H104" s="228"/>
      <x:c r="I104" s="228"/>
      <x:c r="J104" s="228"/>
      <x:c r="K104" s="228"/>
      <x:c r="L104" s="228"/>
      <x:c r="M104" s="228"/>
      <x:c r="N104" s="228"/>
      <x:c r="O104" s="228"/>
    </x:row>
    <x:row r="105" ht="42" customHeight="1">
      <x:c r="A105" s="196" t="str">
        <x:v>Q4 FY25</x:v>
      </x:c>
      <x:c r="B105" s="196" t="str">
        <x:v>Long-term: 15–20% revenue CAGR</x:v>
      </x:c>
      <x:c r="C105" s="196" t="str">
        <x:v>28–30% over 2–3 yrs</x:v>
      </x:c>
      <x:c r="D105" s="196" t="str">
        <x:v>FY25 capex ₹4,080m</x:v>
      </x:c>
      <x:c r="E105" s="196" t="str">
        <x:v>Peptide centre launched; manufacturing / discovery capex</x:v>
      </x:c>
      <x:c r="F105" s="196" t="str">
        <x:v>Debt repayment completed; 25% FY margin</x:v>
      </x:c>
      <x:c r="G105" s="196" t="str">
        <x:v>Next investment cycle lifts cash capex</x:v>
      </x:c>
      <x:c r="H105" s="228"/>
      <x:c r="I105" s="228"/>
      <x:c r="J105" s="228"/>
      <x:c r="K105" s="228"/>
      <x:c r="L105" s="228"/>
      <x:c r="M105" s="228"/>
      <x:c r="N105" s="228"/>
      <x:c r="O105" s="228"/>
    </x:row>
    <x:row r="106" ht="42" customHeight="1">
      <x:c r="A106" s="196" t="str">
        <x:v>Q1 FY26</x:v>
      </x:c>
      <x:c r="B106" s="196" t="str">
        <x:v>Long-term: 15–20% revenue CAGR</x:v>
      </x:c>
      <x:c r="C106" s="196" t="str">
        <x:v>28–30% over 2–3 yrs</x:v>
      </x:c>
      <x:c r="D106" s="196" t="str">
        <x:v>FY26 plan ₹7,000m</x:v>
      </x:c>
      <x:c r="E106" s="196" t="str">
        <x:v>+91 KL commissioned; total ~700 KL</x:v>
      </x:c>
      <x:c r="F106" s="196" t="str">
        <x:v>CDMO +113% YoY; new biology/peptide assets</x:v>
      </x:c>
      <x:c r="G106" s="196" t="str">
        <x:v>Fast hiring + capex need utilisation</x:v>
      </x:c>
      <x:c r="H106" s="228"/>
      <x:c r="I106" s="228"/>
      <x:c r="J106" s="228"/>
      <x:c r="K106" s="228"/>
      <x:c r="L106" s="228"/>
      <x:c r="M106" s="228"/>
      <x:c r="N106" s="228"/>
      <x:c r="O106" s="228"/>
    </x:row>
    <x:row r="107" ht="42" customHeight="1">
      <x:c r="A107" s="196" t="str">
        <x:v>Q2 FY26</x:v>
      </x:c>
      <x:c r="B107" s="196" t="str">
        <x:v>Long-term: 15–20% revenue CAGR</x:v>
      </x:c>
      <x:c r="C107" s="196" t="str">
        <x:v>28–30% over 2–3 yrs</x:v>
      </x:c>
      <x:c r="D107" s="196" t="str">
        <x:v>FY26 plan ₹7,000m; H1 ₹2,480m</x:v>
      </x:c>
      <x:c r="E107" s="196" t="str">
        <x:v>ADC/OEB6, oligo, vivarium build</x:v>
      </x:c>
      <x:c r="F107" s="196" t="str">
        <x:v>Both CRO and CDMO strong; margin 29%</x:v>
      </x:c>
      <x:c r="G107" s="196" t="str">
        <x:v>Capability capex monetisation not yet visible</x:v>
      </x:c>
      <x:c r="H107" s="228"/>
      <x:c r="I107" s="228"/>
      <x:c r="J107" s="228"/>
      <x:c r="K107" s="228"/>
      <x:c r="L107" s="228"/>
      <x:c r="M107" s="228"/>
      <x:c r="N107" s="228"/>
      <x:c r="O107" s="228"/>
    </x:row>
    <x:row r="108" ht="42" customHeight="1">
      <x:c r="A108" s="196" t="str">
        <x:v>Q3 FY26</x:v>
      </x:c>
      <x:c r="B108" s="196" t="str">
        <x:v>Healthy growth trend into next year</x:v>
      </x:c>
      <x:c r="C108" s="196" t="str">
        <x:v>28–30% over 2–3 yrs</x:v>
      </x:c>
      <x:c r="D108" s="196" t="str">
        <x:v>₹4,050m spent vs ₹7,000m plan</x:v>
      </x:c>
      <x:c r="E108" s="196" t="str">
        <x:v>450 KL build: 225 KL Q2FY27, 2nd by FY27-end</x:v>
      </x:c>
      <x:c r="F108" s="196" t="str">
        <x:v>43 late/commercial molecules; 90%+ CDMO pharma</x:v>
      </x:c>
      <x:c r="G108" s="196" t="str">
        <x:v>Commissioning / qualification timing becomes critical</x:v>
      </x:c>
      <x:c r="H108" s="228"/>
      <x:c r="I108" s="228"/>
      <x:c r="J108" s="228"/>
      <x:c r="K108" s="228"/>
      <x:c r="L108" s="228"/>
      <x:c r="M108" s="228"/>
      <x:c r="N108" s="228"/>
      <x:c r="O108" s="228"/>
    </x:row>
    <x:row r="109" ht="42" customHeight="1">
      <x:c r="A109" s="196" t="str">
        <x:v>Q4 FY26</x:v>
      </x:c>
      <x:c r="B109" s="196" t="str">
        <x:v>15–20% CAGR over 3–5 yrs (FY25 base)</x:v>
      </x:c>
      <x:c r="C109" s="196" t="str">
        <x:v>28–30% over next 2–3 yrs</x:v>
      </x:c>
      <x:c r="D109" s="196" t="str">
        <x:v>FY27 ₹11,000–13,000m</x:v>
      </x:c>
      <x:c r="E109" s="196" t="str">
        <x:v>~75% FY27 spend capacity; 450 KL + new site / R&amp;D build</x:v>
      </x:c>
      <x:c r="F109" s="196" t="str">
        <x:v>2 new large-pharma commercial supply qualifications</x:v>
      </x:c>
      <x:c r="G109" s="196" t="str">
        <x:v>Front-loaded capex can dilute asset turns before ramp</x:v>
      </x:c>
      <x:c r="H109" s="228"/>
      <x:c r="I109" s="228"/>
      <x:c r="J109" s="228"/>
      <x:c r="K109" s="228"/>
      <x:c r="L109" s="228"/>
      <x:c r="M109" s="228"/>
      <x:c r="N109" s="228"/>
      <x:c r="O109" s="228"/>
    </x:row>
    <x:row r="110" ht="42" customHeight="1">
      <x:c r="A110" s="199" t="str">
        <x:v>Q1 FY27</x:v>
      </x:c>
      <x:c r="B110" s="200"/>
      <x:c r="C110" s="200"/>
      <x:c r="D110" s="200"/>
      <x:c r="E110" s="200"/>
      <x:c r="F110" s="200"/>
      <x:c r="G110" s="200"/>
      <x:c r="H110" s="228"/>
      <x:c r="I110" s="228"/>
      <x:c r="J110" s="228"/>
      <x:c r="K110" s="228"/>
      <x:c r="L110" s="228"/>
      <x:c r="M110" s="228"/>
      <x:c r="N110" s="228"/>
      <x:c r="O110" s="228"/>
    </x:row>
    <x:row r="111" ht="42" customHeight="1">
      <x:c r="A111" s="199" t="str">
        <x:v>Q2 FY27</x:v>
      </x:c>
      <x:c r="B111" s="200"/>
      <x:c r="C111" s="200"/>
      <x:c r="D111" s="200"/>
      <x:c r="E111" s="200"/>
      <x:c r="F111" s="200"/>
      <x:c r="G111" s="200"/>
      <x:c r="H111" s="228"/>
      <x:c r="I111" s="228"/>
      <x:c r="J111" s="228"/>
      <x:c r="K111" s="228"/>
      <x:c r="L111" s="228"/>
      <x:c r="M111" s="228"/>
      <x:c r="N111" s="228"/>
      <x:c r="O111" s="228"/>
    </x:row>
    <x:row r="112" ht="42" customHeight="1">
      <x:c r="A112" s="199" t="str">
        <x:v>Q3 FY27</x:v>
      </x:c>
      <x:c r="B112" s="200"/>
      <x:c r="C112" s="200"/>
      <x:c r="D112" s="200"/>
      <x:c r="E112" s="200"/>
      <x:c r="F112" s="200"/>
      <x:c r="G112" s="200"/>
      <x:c r="H112" s="228"/>
      <x:c r="I112" s="228"/>
      <x:c r="J112" s="228"/>
      <x:c r="K112" s="228"/>
      <x:c r="L112" s="228"/>
      <x:c r="M112" s="228"/>
      <x:c r="N112" s="228"/>
      <x:c r="O112" s="228"/>
    </x:row>
    <x:row r="113" ht="42" customHeight="1">
      <x:c r="A113" s="199" t="str">
        <x:v>Q4 FY27</x:v>
      </x:c>
      <x:c r="B113" s="200"/>
      <x:c r="C113" s="200"/>
      <x:c r="D113" s="200"/>
      <x:c r="E113" s="200"/>
      <x:c r="F113" s="200"/>
      <x:c r="G113" s="200"/>
      <x:c r="H113" s="228"/>
      <x:c r="I113" s="228"/>
      <x:c r="J113" s="228"/>
      <x:c r="K113" s="228"/>
      <x:c r="L113" s="228"/>
      <x:c r="M113" s="228"/>
      <x:c r="N113" s="228"/>
      <x:c r="O113" s="228"/>
    </x:row>
  </x:sheetData>
  <x:mergeCells>
    <x:mergeCell ref="A1:O1"/>
    <x:mergeCell ref="A2:O2"/>
    <x:mergeCell ref="A4:O4"/>
    <x:mergeCell ref="A17:O17"/>
    <x:mergeCell ref="A47:O47"/>
    <x:mergeCell ref="A58:O58"/>
    <x:mergeCell ref="A84:O84"/>
    <x:mergeCell ref="A100:O100"/>
    <x:mergeCell ref="M5:O5"/>
    <x:mergeCell ref="M6:O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22" hidden="0" customWidth="1"/>
    <x:col min="4" max="4" width="13" hidden="0" customWidth="1"/>
    <x:col min="5" max="5" width="13" hidden="0" customWidth="1"/>
    <x:col min="6" max="6" width="15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6" hidden="0" customWidth="1"/>
    <x:col min="17" max="17" width="18" hidden="0" customWidth="1"/>
    <x:col min="18" max="18" width="18" hidden="0" customWidth="1"/>
    <x:col min="19" max="19" width="20" hidden="0" customWidth="1"/>
    <x:col min="20" max="20" width="22" hidden="0" customWidth="1"/>
    <x:col min="21" max="21" width="18" hidden="0" customWidth="1"/>
    <x:col min="22" max="22" width="22" hidden="0" customWidth="1"/>
    <x:col min="23" max="23" width="28" hidden="0" customWidth="1"/>
    <x:col min="24" max="24" width="28" hidden="0" customWidth="1"/>
    <x:col min="25" max="25" width="32" hidden="0" customWidth="1"/>
    <x:col min="26" max="26" width="28" hidden="0" customWidth="1"/>
    <x:col min="27" max="27" width="26" hidden="0" customWidth="1"/>
    <x:col min="28" max="28" width="14" hidden="0" customWidth="1"/>
    <x:col min="29" max="29" width="12" hidden="0" customWidth="1"/>
  </x:cols>
  <x:sheetData>
    <x:row r="1" ht="26" customHeight="1">
      <x:c r="A1" s="280" t="str">
        <x:v>Sai Life Sciences | Capex, Asset Productivity &amp; Revenue Monetisation</x:v>
      </x:c>
      <x:c r="B1" s="280"/>
      <x:c r="C1" s="280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</x:row>
    <x:row r="2" ht="20" customHeight="1">
      <x:c r="A2" s="281" t="str">
        <x:v>Capital cycle framework: Capex → CWIP → commissioning → qualification → utilisation → revenue → margins → returns | INR million unless stated</x:v>
      </x:c>
      <x:c r="B2" s="281"/>
      <x:c r="C2" s="281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  <x:c r="Z2" s="227"/>
      <x:c r="AA2" s="227"/>
      <x:c r="AB2" s="227"/>
      <x:c r="AC2" s="227"/>
    </x:row>
    <x:row r="3">
      <x:c r="A3" s="282"/>
      <x:c r="B3" s="282"/>
      <x:c r="C3" s="282"/>
      <x:c r="D3" s="228"/>
      <x:c r="E3" s="228"/>
      <x:c r="F3" s="228"/>
      <x:c r="G3" s="228"/>
      <x:c r="H3" s="228"/>
      <x:c r="I3" s="228"/>
      <x:c r="J3" s="228"/>
      <x:c r="K3" s="228"/>
      <x:c r="L3" s="228"/>
      <x:c r="M3" s="228"/>
      <x:c r="N3" s="228"/>
      <x:c r="O3" s="228"/>
      <x:c r="P3" s="228"/>
      <x:c r="Q3" s="228"/>
      <x:c r="R3" s="228"/>
      <x:c r="S3" s="228"/>
      <x:c r="T3" s="228"/>
      <x:c r="U3" s="228"/>
      <x:c r="V3" s="228"/>
      <x:c r="W3" s="228"/>
      <x:c r="X3" s="228"/>
      <x:c r="Y3" s="228"/>
      <x:c r="Z3" s="228"/>
      <x:c r="AA3" s="228"/>
      <x:c r="AB3" s="228"/>
      <x:c r="AC3" s="228"/>
    </x:row>
    <x:row r="4" ht="20" customHeight="1">
      <x:c r="A4" s="283" t="str">
        <x:v>A. Capital Productivity Dashboard</x:v>
      </x:c>
      <x:c r="B4" s="283" t="str">
        <x:v>A. Capital Productivity Dashboard</x:v>
      </x:c>
      <x:c r="C4" s="283" t="str">
        <x:v>A. Capital Productivity Dashboard</x:v>
      </x:c>
      <x:c r="D4" s="229" t="str">
        <x:v>A. Capital Productivity Dashboard</x:v>
      </x:c>
      <x:c r="E4" s="229" t="str">
        <x:v>A. Capital Productivity Dashboard</x:v>
      </x:c>
      <x:c r="F4" s="229" t="str">
        <x:v>A. Capital Productivity Dashboard</x:v>
      </x:c>
      <x:c r="G4" s="229" t="str">
        <x:v>A. Capital Productivity Dashboard</x:v>
      </x:c>
      <x:c r="H4" s="229" t="str">
        <x:v>A. Capital Productivity Dashboard</x:v>
      </x:c>
      <x:c r="I4" s="229" t="str">
        <x:v>A. Capital Productivity Dashboard</x:v>
      </x:c>
      <x:c r="J4" s="229" t="str">
        <x:v>A. Capital Productivity Dashboard</x:v>
      </x:c>
      <x:c r="K4" s="229" t="str">
        <x:v>A. Capital Productivity Dashboard</x:v>
      </x:c>
      <x:c r="L4" s="229" t="str">
        <x:v>A. Capital Productivity Dashboard</x:v>
      </x:c>
      <x:c r="M4" s="229" t="str">
        <x:v>A. Capital Productivity Dashboard</x:v>
      </x:c>
      <x:c r="N4" s="228"/>
      <x:c r="O4" s="230" t="str">
        <x:v>Where Sai sits in the capex cycle</x:v>
      </x:c>
      <x:c r="P4" s="230"/>
      <x:c r="Q4" s="230"/>
      <x:c r="R4" s="230"/>
      <x:c r="S4" s="230"/>
      <x:c r="T4" s="230"/>
      <x:c r="U4" s="230"/>
      <x:c r="V4" s="230"/>
      <x:c r="W4" s="230"/>
      <x:c r="X4" s="230"/>
      <x:c r="Y4" s="230"/>
      <x:c r="Z4" s="230"/>
      <x:c r="AA4" s="230"/>
      <x:c r="AB4" s="230"/>
      <x:c r="AC4" s="230"/>
    </x:row>
    <x:row r="5" ht="28" customHeight="1">
      <x:c r="A5" s="24" t="str">
        <x:v>Metric</x:v>
      </x:c>
      <x:c r="B5" s="24" t="str">
        <x:v>Units</x:v>
      </x:c>
      <x:c r="C5" s="24" t="str">
        <x:v>Source / Status</x:v>
      </x:c>
      <x:c r="D5" s="230" t="str">
        <x:v>FY22A</x:v>
      </x:c>
      <x:c r="E5" s="230" t="str">
        <x:v>FY23A</x:v>
      </x:c>
      <x:c r="F5" s="230" t="str">
        <x:v>FY24A</x:v>
      </x:c>
      <x:c r="G5" s="230" t="str">
        <x:v>FY25A</x:v>
      </x:c>
      <x:c r="H5" s="230" t="str">
        <x:v>FY26A</x:v>
      </x:c>
      <x:c r="I5" s="230" t="str">
        <x:v>FY27E</x:v>
      </x:c>
      <x:c r="J5" s="230" t="str">
        <x:v>FY28E</x:v>
      </x:c>
      <x:c r="K5" s="230" t="str">
        <x:v>FY29E</x:v>
      </x:c>
      <x:c r="L5" s="230" t="str">
        <x:v>FY30E</x:v>
      </x:c>
      <x:c r="M5" s="230" t="str">
        <x:v>FY31E</x:v>
      </x:c>
      <x:c r="N5" s="228"/>
      <x:c r="O5" s="185" t="str">
        <x:v>Phase 1 → Phase 2: investment / commissioning. FY26 management capex was ₹6,330m and FY27 is guided at ₹11,000–13,000m. FY26 spend mix was ~62% CDMO / 38% CRO; FY27 plan shifts to ~70% CDMO / 30% CRO, with ~75% of FY27 spend aimed at capacity expansion and ~25% at capabilities / AI / new technologies. Mar-26 CWIP rose to ~₹2,705m. The major 450 KL manufacturing build, Process R&amp;D centre, peptide process/pilot plants and OEB6 CMC labs commission through FY27. Management says the FY27 programme is aligned with customer demand, but project-level customer commitments are not publicly disclosed. Analyst implication: near-term PP&amp;E/CWIP growth can dilute asset turns before qualification and utilisation ramp; FY28–FY31 should be judged on revenue growth vs fixed capital and ROCE recovery.</x:v>
      </x:c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  <x:c r="AA5" s="185"/>
      <x:c r="AB5" s="185"/>
      <x:c r="AC5" s="185"/>
    </x:row>
    <x:row r="6">
      <x:c r="A6" s="288" t="str">
        <x:v>Revenue</x:v>
      </x:c>
      <x:c r="B6" s="288" t="str">
        <x:v>INR mn</x:v>
      </x:c>
      <x:c r="C6" s="182" t="str">
        <x:v>Company reported / current model forecast</x:v>
      </x:c>
      <x:c r="D6" s="235" t="n">
        <x:v>8700</x:v>
      </x:c>
      <x:c r="E6" s="235" t="n">
        <x:v>12171.385</x:v>
      </x:c>
      <x:c r="F6" s="235" t="n">
        <x:v>14651.78</x:v>
      </x:c>
      <x:c r="G6" s="235" t="n">
        <x:v>16945.7</x:v>
      </x:c>
      <x:c r="H6" s="235" t="n">
        <x:v>21920</x:v>
      </x:c>
      <x:c r="I6" s="235" t="n">
        <x:v>26337.914401174603</x:v>
      </x:c>
      <x:c r="J6" s="235" t="n">
        <x:v>31756.9169159839</x:v>
      </x:c>
      <x:c r="K6" s="235" t="n">
        <x:v>37195.983486240424</x:v>
      </x:c>
      <x:c r="L6" s="235" t="n">
        <x:v>42671.78527072254</x:v>
      </x:c>
      <x:c r="M6" s="235" t="n">
        <x:v>48177.64098596449</x:v>
      </x:c>
      <x:c r="N6" s="228"/>
      <x:c r="O6" s="185"/>
      <x:c r="P6" s="185"/>
      <x:c r="Q6" s="185"/>
      <x:c r="R6" s="185"/>
      <x:c r="S6" s="185"/>
      <x:c r="T6" s="185"/>
      <x:c r="U6" s="185"/>
      <x:c r="V6" s="185"/>
      <x:c r="W6" s="185"/>
      <x:c r="X6" s="185"/>
      <x:c r="Y6" s="185"/>
      <x:c r="Z6" s="185"/>
      <x:c r="AA6" s="185"/>
      <x:c r="AB6" s="185"/>
      <x:c r="AC6" s="185"/>
    </x:row>
    <x:row r="7">
      <x:c r="A7" s="289" t="str">
        <x:v>  YoY revenue growth</x:v>
      </x:c>
      <x:c r="B7" s="289" t="str">
        <x:v>%</x:v>
      </x:c>
      <x:c r="C7" s="189" t="str">
        <x:v>Formula</x:v>
      </x:c>
      <x:c r="D7" s="242" t="str">
        <x:f>"NA"</x:f>
        <x:v>NA</x:v>
      </x:c>
      <x:c r="E7" s="242" t="n">
        <x:f>IF(AND(ISNUMBER(E6),ISNUMBER(D6),D6&lt;&gt;0),E6/D6-1,"NA")</x:f>
        <x:v>0.39900977011494265</x:v>
      </x:c>
      <x:c r="F7" s="242" t="n">
        <x:f>IF(AND(ISNUMBER(F6),ISNUMBER(E6),E6&lt;&gt;0),F6/E6-1,"NA")</x:f>
        <x:v>0.2037890511227769</x:v>
      </x:c>
      <x:c r="G7" s="242" t="n">
        <x:f>IF(AND(ISNUMBER(G6),ISNUMBER(F6),F6&lt;&gt;0),G6/F6-1,"NA")</x:f>
        <x:v>0.15656254734919584</x:v>
      </x:c>
      <x:c r="H7" s="242" t="n">
        <x:f>IF(AND(ISNUMBER(H6),ISNUMBER(G6),G6&lt;&gt;0),H6/G6-1,"NA")</x:f>
        <x:v>0.2935434948098927</x:v>
      </x:c>
      <x:c r="I7" s="242" t="n">
        <x:f>IF(AND(ISNUMBER(I6),ISNUMBER(H6),H6&lt;&gt;0),I6/H6-1,"NA")</x:f>
        <x:v>0.20154718983460773</x:v>
      </x:c>
      <x:c r="J7" s="242" t="n">
        <x:f>IF(AND(ISNUMBER(J6),ISNUMBER(I6),I6&lt;&gt;0),J6/I6-1,"NA")</x:f>
        <x:v>0.20574911256327955</x:v>
      </x:c>
      <x:c r="K7" s="242" t="n">
        <x:f>IF(AND(ISNUMBER(K6),ISNUMBER(J6),J6&lt;&gt;0),K6/J6-1,"NA")</x:f>
        <x:v>0.17127187077530603</x:v>
      </x:c>
      <x:c r="L7" s="242" t="n">
        <x:f>IF(AND(ISNUMBER(L6),ISNUMBER(K6),K6&lt;&gt;0),L6/K6-1,"NA")</x:f>
        <x:v>0.14721486760815794</x:v>
      </x:c>
      <x:c r="M7" s="242" t="n">
        <x:f>IF(AND(ISNUMBER(M6),ISNUMBER(L6),L6&lt;&gt;0),M6/L6-1,"NA")</x:f>
        <x:v>0.1290280141857474</x:v>
      </x:c>
      <x:c r="N7" s="228"/>
      <x:c r="O7" s="185"/>
      <x:c r="P7" s="185"/>
      <x:c r="Q7" s="185"/>
      <x:c r="R7" s="185"/>
      <x:c r="S7" s="185"/>
      <x:c r="T7" s="185"/>
      <x:c r="U7" s="185"/>
      <x:c r="V7" s="185"/>
      <x:c r="W7" s="185"/>
      <x:c r="X7" s="185"/>
      <x:c r="Y7" s="185"/>
      <x:c r="Z7" s="185"/>
      <x:c r="AA7" s="185"/>
      <x:c r="AB7" s="185"/>
      <x:c r="AC7" s="185"/>
    </x:row>
    <x:row r="8">
      <x:c r="A8" s="288" t="str">
        <x:v>EBITDA</x:v>
      </x:c>
      <x:c r="B8" s="288" t="str">
        <x:v>INR mn</x:v>
      </x:c>
      <x:c r="C8" s="182" t="str">
        <x:v>Company reported / current model forecast</x:v>
      </x:c>
      <x:c r="D8" s="235" t="n">
        <x:v>1310</x:v>
      </x:c>
      <x:c r="E8" s="235" t="n">
        <x:v>1820</x:v>
      </x:c>
      <x:c r="F8" s="235" t="n">
        <x:v>3001.15</x:v>
      </x:c>
      <x:c r="G8" s="235" t="n">
        <x:v>4250</x:v>
      </x:c>
      <x:c r="H8" s="235" t="n">
        <x:v>6610</x:v>
      </x:c>
      <x:c r="I8" s="235" t="n">
        <x:v>7641.783997928315</x:v>
      </x:c>
      <x:c r="J8" s="235" t="n">
        <x:v>9560.630448946271</x:v>
      </x:c>
      <x:c r="K8" s="235" t="n">
        <x:v>11535.578849989908</x:v>
      </x:c>
      <x:c r="L8" s="235" t="n">
        <x:v>13556.502832462858</x:v>
      </x:c>
      <x:c r="M8" s="235" t="n">
        <x:v>15616.133787475195</x:v>
      </x:c>
      <x:c r="N8" s="228"/>
      <x:c r="O8" s="185"/>
      <x:c r="P8" s="185"/>
      <x:c r="Q8" s="185"/>
      <x:c r="R8" s="185"/>
      <x:c r="S8" s="185"/>
      <x:c r="T8" s="185"/>
      <x:c r="U8" s="185"/>
      <x:c r="V8" s="185"/>
      <x:c r="W8" s="185"/>
      <x:c r="X8" s="185"/>
      <x:c r="Y8" s="185"/>
      <x:c r="Z8" s="185"/>
      <x:c r="AA8" s="185"/>
      <x:c r="AB8" s="185"/>
      <x:c r="AC8" s="185"/>
    </x:row>
    <x:row r="9">
      <x:c r="A9" s="288" t="str">
        <x:v>EBIT</x:v>
      </x:c>
      <x:c r="B9" s="288" t="str">
        <x:v>INR mn</x:v>
      </x:c>
      <x:c r="C9" s="182" t="str">
        <x:v>Reported / derived accounting EBIT; current model forecast</x:v>
      </x:c>
      <x:c r="D9" s="235" t="n">
        <x:v>605.652</x:v>
      </x:c>
      <x:c r="E9" s="235" t="n">
        <x:v>948.13</x:v>
      </x:c>
      <x:c r="F9" s="235" t="n">
        <x:v>1806.79</x:v>
      </x:c>
      <x:c r="G9" s="235" t="n">
        <x:v>2864.27</x:v>
      </x:c>
      <x:c r="H9" s="235" t="n">
        <x:v>4940</x:v>
      </x:c>
      <x:c r="I9" s="235" t="n">
        <x:v>6114.346497928315</x:v>
      </x:c>
      <x:c r="J9" s="235" t="n">
        <x:v>7598.703886446271</x:v>
      </x:c>
      <x:c r="K9" s="235" t="n">
        <x:v>8952.395998427408</x:v>
      </x:c>
      <x:c r="L9" s="235" t="n">
        <x:v>10478.509241642547</x:v>
      </x:c>
      <x:c r="M9" s="235" t="n">
        <x:v>12199.085680810156</x:v>
      </x:c>
      <x:c r="N9" s="228"/>
      <x:c r="O9" s="185"/>
      <x:c r="P9" s="185"/>
      <x:c r="Q9" s="185"/>
      <x:c r="R9" s="185"/>
      <x:c r="S9" s="185"/>
      <x:c r="T9" s="185"/>
      <x:c r="U9" s="185"/>
      <x:c r="V9" s="185"/>
      <x:c r="W9" s="185"/>
      <x:c r="X9" s="185"/>
      <x:c r="Y9" s="185"/>
      <x:c r="Z9" s="185"/>
      <x:c r="AA9" s="185"/>
      <x:c r="AB9" s="185"/>
      <x:c r="AC9" s="185"/>
    </x:row>
    <x:row r="10">
      <x:c r="A10" s="288" t="str">
        <x:v>PAT</x:v>
      </x:c>
      <x:c r="B10" s="288" t="str">
        <x:v>INR mn</x:v>
      </x:c>
      <x:c r="C10" s="182" t="str">
        <x:v>Statutory PAT; FY26 excludes adjusted presentation PAT</x:v>
      </x:c>
      <x:c r="D10" s="235" t="n">
        <x:v>62.263</x:v>
      </x:c>
      <x:c r="E10" s="235" t="n">
        <x:v>99.892</x:v>
      </x:c>
      <x:c r="F10" s="235" t="n">
        <x:v>828.09</x:v>
      </x:c>
      <x:c r="G10" s="235" t="n">
        <x:v>1701.32</x:v>
      </x:c>
      <x:c r="H10" s="235" t="n">
        <x:v>3490</x:v>
      </x:c>
      <x:c r="I10" s="235" t="n">
        <x:v>4378.404245047997</x:v>
      </x:c>
      <x:c r="J10" s="235" t="n">
        <x:v>5175.0984114101675</x:v>
      </x:c>
      <x:c r="K10" s="235" t="n">
        <x:v>6092.567865136975</x:v>
      </x:c>
      <x:c r="L10" s="235" t="n">
        <x:v>7299.522028892974</x:v>
      </x:c>
      <x:c r="M10" s="235" t="n">
        <x:v>8732.428772573656</x:v>
      </x:c>
      <x:c r="N10" s="228"/>
      <x:c r="O10" s="185"/>
      <x:c r="P10" s="185"/>
      <x:c r="Q10" s="185"/>
      <x:c r="R10" s="185"/>
      <x:c r="S10" s="185"/>
      <x:c r="T10" s="185"/>
      <x:c r="U10" s="185"/>
      <x:c r="V10" s="185"/>
      <x:c r="W10" s="185"/>
      <x:c r="X10" s="185"/>
      <x:c r="Y10" s="185"/>
      <x:c r="Z10" s="185"/>
      <x:c r="AA10" s="185"/>
      <x:c r="AB10" s="185"/>
      <x:c r="AC10" s="185"/>
    </x:row>
    <x:row r="11">
      <x:c r="A11" s="288" t="str">
        <x:v>Cash capex / model capex used for analysis</x:v>
      </x:c>
      <x:c r="B11" s="288" t="str">
        <x:v>INR mn</x:v>
      </x:c>
      <x:c r="C11" s="182" t="str">
        <x:v>Actual cash flow capex; forecast = current model</x:v>
      </x:c>
      <x:c r="D11" s="235" t="str">
        <x:v>NA</x:v>
      </x:c>
      <x:c r="E11" s="235" t="str">
        <x:v>NA</x:v>
      </x:c>
      <x:c r="F11" s="235" t="n">
        <x:v>1816.9</x:v>
      </x:c>
      <x:c r="G11" s="235" t="n">
        <x:v>3692.8</x:v>
      </x:c>
      <x:c r="H11" s="235" t="n">
        <x:v>5929.61</x:v>
      </x:c>
      <x:c r="I11" s="235" t="n">
        <x:v>12000</x:v>
      </x:c>
      <x:c r="J11" s="235" t="n">
        <x:v>9000</x:v>
      </x:c>
      <x:c r="K11" s="235" t="n">
        <x:v>7500</x:v>
      </x:c>
      <x:c r="L11" s="235" t="n">
        <x:v>6500</x:v>
      </x:c>
      <x:c r="M11" s="235" t="n">
        <x:v>6000</x:v>
      </x:c>
      <x:c r="N11" s="228"/>
      <x:c r="O11" s="185"/>
      <x:c r="P11" s="185"/>
      <x:c r="Q11" s="185"/>
      <x:c r="R11" s="185"/>
      <x:c r="S11" s="185"/>
      <x:c r="T11" s="185"/>
      <x:c r="U11" s="185"/>
      <x:c r="V11" s="185"/>
      <x:c r="W11" s="185"/>
      <x:c r="X11" s="185"/>
      <x:c r="Y11" s="185"/>
      <x:c r="Z11" s="185"/>
      <x:c r="AA11" s="185"/>
      <x:c r="AB11" s="185"/>
      <x:c r="AC11" s="185"/>
    </x:row>
    <x:row r="12">
      <x:c r="A12" s="288" t="str">
        <x:v>Management-reported capex</x:v>
      </x:c>
      <x:c r="B12" s="288" t="str">
        <x:v>INR mn</x:v>
      </x:c>
      <x:c r="C12" s="182" t="str">
        <x:v>FY25/FY26 reported; forecast follows current model / FY27 midpoint</x:v>
      </x:c>
      <x:c r="D12" s="235" t="str">
        <x:v>NA</x:v>
      </x:c>
      <x:c r="E12" s="235" t="str">
        <x:v>NA</x:v>
      </x:c>
      <x:c r="F12" s="235" t="str">
        <x:v>NA</x:v>
      </x:c>
      <x:c r="G12" s="235" t="n">
        <x:v>4080</x:v>
      </x:c>
      <x:c r="H12" s="235" t="n">
        <x:v>6330</x:v>
      </x:c>
      <x:c r="I12" s="235" t="n">
        <x:v>12000</x:v>
      </x:c>
      <x:c r="J12" s="235" t="n">
        <x:v>9000</x:v>
      </x:c>
      <x:c r="K12" s="235" t="n">
        <x:v>7500</x:v>
      </x:c>
      <x:c r="L12" s="235" t="n">
        <x:v>6500</x:v>
      </x:c>
      <x:c r="M12" s="235" t="n">
        <x:v>6000</x:v>
      </x:c>
      <x:c r="N12" s="228"/>
      <x:c r="O12" s="228"/>
      <x:c r="P12" s="228"/>
      <x:c r="Q12" s="228"/>
      <x:c r="R12" s="228"/>
      <x:c r="S12" s="228"/>
      <x:c r="T12" s="228"/>
      <x:c r="U12" s="228"/>
      <x:c r="V12" s="228"/>
      <x:c r="W12" s="228"/>
      <x:c r="X12" s="228"/>
      <x:c r="Y12" s="228"/>
      <x:c r="Z12" s="228"/>
      <x:c r="AA12" s="228"/>
      <x:c r="AB12" s="228"/>
      <x:c r="AC12" s="228"/>
    </x:row>
    <x:row r="13">
      <x:c r="A13" s="288" t="str">
        <x:v>Current model capex</x:v>
      </x:c>
      <x:c r="B13" s="288" t="str">
        <x:v>INR mn</x:v>
      </x:c>
      <x:c r="C13" s="182" t="str">
        <x:v>Copied hardcode from uploaded model</x:v>
      </x:c>
      <x:c r="D13" s="235" t="str">
        <x:v>NA</x:v>
      </x:c>
      <x:c r="E13" s="235" t="str">
        <x:v>NA</x:v>
      </x:c>
      <x:c r="F13" s="235" t="n">
        <x:v>1816.9</x:v>
      </x:c>
      <x:c r="G13" s="235" t="n">
        <x:v>3692.8</x:v>
      </x:c>
      <x:c r="H13" s="235" t="n">
        <x:v>6330</x:v>
      </x:c>
      <x:c r="I13" s="235" t="n">
        <x:v>12000</x:v>
      </x:c>
      <x:c r="J13" s="235" t="n">
        <x:v>9000</x:v>
      </x:c>
      <x:c r="K13" s="235" t="n">
        <x:v>7500</x:v>
      </x:c>
      <x:c r="L13" s="235" t="n">
        <x:v>6500</x:v>
      </x:c>
      <x:c r="M13" s="235" t="n">
        <x:v>6000</x:v>
      </x:c>
      <x:c r="N13" s="228"/>
      <x:c r="O13" s="228"/>
      <x:c r="P13" s="228"/>
      <x:c r="Q13" s="228"/>
      <x:c r="R13" s="228"/>
      <x:c r="S13" s="228"/>
      <x:c r="T13" s="228"/>
      <x:c r="U13" s="228"/>
      <x:c r="V13" s="228"/>
      <x:c r="W13" s="228"/>
      <x:c r="X13" s="228"/>
      <x:c r="Y13" s="228"/>
      <x:c r="Z13" s="228"/>
      <x:c r="AA13" s="228"/>
      <x:c r="AB13" s="228"/>
      <x:c r="AC13" s="228"/>
    </x:row>
    <x:row r="14">
      <x:c r="A14" s="289" t="str">
        <x:v>  Capex / Sales</x:v>
      </x:c>
      <x:c r="B14" s="289" t="str">
        <x:v>%</x:v>
      </x:c>
      <x:c r="C14" s="189" t="str">
        <x:v>Formula using analysis capex</x:v>
      </x:c>
      <x:c r="D14" s="242" t="str">
        <x:f>IF(AND(ISNUMBER(D11),ISNUMBER(D6),D6&lt;&gt;0),D11/D6,"NA")</x:f>
        <x:v>NA</x:v>
      </x:c>
      <x:c r="E14" s="242" t="str">
        <x:f>IF(AND(ISNUMBER(E11),ISNUMBER(E6),E6&lt;&gt;0),E11/E6,"NA")</x:f>
        <x:v>NA</x:v>
      </x:c>
      <x:c r="F14" s="242" t="n">
        <x:f>IF(AND(ISNUMBER(F11),ISNUMBER(F6),F6&lt;&gt;0),F11/F6,"NA")</x:f>
        <x:v>0.1240054109466563</x:v>
      </x:c>
      <x:c r="G14" s="242" t="n">
        <x:f>IF(AND(ISNUMBER(G11),ISNUMBER(G6),G6&lt;&gt;0),G11/G6,"NA")</x:f>
        <x:v>0.21791959022052793</x:v>
      </x:c>
      <x:c r="H14" s="242" t="n">
        <x:f>IF(AND(ISNUMBER(H11),ISNUMBER(H6),H6&lt;&gt;0),H11/H6,"NA")</x:f>
        <x:v>0.270511405109489</x:v>
      </x:c>
      <x:c r="I14" s="242" t="n">
        <x:f>IF(AND(ISNUMBER(I11),ISNUMBER(I6),I6&lt;&gt;0),I11/I6,"NA")</x:f>
        <x:v>0.45561694131198294</x:v>
      </x:c>
      <x:c r="J14" s="242" t="n">
        <x:f>IF(AND(ISNUMBER(J11),ISNUMBER(J6),J6&lt;&gt;0),J11/J6,"NA")</x:f>
        <x:v>0.2834028260303228</x:v>
      </x:c>
      <x:c r="K14" s="242" t="n">
        <x:f>IF(AND(ISNUMBER(K11),ISNUMBER(K6),K6&lt;&gt;0),K11/K6,"NA")</x:f>
        <x:v>0.20163467388285103</x:v>
      </x:c>
      <x:c r="L14" s="242" t="n">
        <x:f>IF(AND(ISNUMBER(L11),ISNUMBER(L6),L6&lt;&gt;0),L11/L6,"NA")</x:f>
        <x:v>0.15232547592658852</x:v>
      </x:c>
      <x:c r="M14" s="242" t="n">
        <x:f>IF(AND(ISNUMBER(M11),ISNUMBER(M6),M6&lt;&gt;0),M11/M6,"NA")</x:f>
        <x:v>0.1245390989929949</x:v>
      </x:c>
      <x:c r="N14" s="228"/>
      <x:c r="O14" s="228"/>
      <x:c r="P14" s="228"/>
      <x:c r="Q14" s="228"/>
      <x:c r="R14" s="228"/>
      <x:c r="S14" s="228"/>
      <x:c r="T14" s="228"/>
      <x:c r="U14" s="228"/>
      <x:c r="V14" s="228"/>
      <x:c r="W14" s="228"/>
      <x:c r="X14" s="228"/>
      <x:c r="Y14" s="228"/>
      <x:c r="Z14" s="228"/>
      <x:c r="AA14" s="228"/>
      <x:c r="AB14" s="228"/>
      <x:c r="AC14" s="228"/>
    </x:row>
    <x:row r="15">
      <x:c r="A15" s="288" t="str">
        <x:v>Maintenance capex</x:v>
      </x:c>
      <x:c r="B15" s="288" t="str">
        <x:v>INR mn</x:v>
      </x:c>
      <x:c r="C15" s="182" t="str">
        <x:v>Current model forecast; historical split not disclosed</x:v>
      </x:c>
      <x:c r="D15" s="235" t="str">
        <x:v>NA</x:v>
      </x:c>
      <x:c r="E15" s="235" t="str">
        <x:v>NA</x:v>
      </x:c>
      <x:c r="F15" s="235" t="str">
        <x:v>NA</x:v>
      </x:c>
      <x:c r="G15" s="235" t="str">
        <x:v>NA</x:v>
      </x:c>
      <x:c r="H15" s="235" t="str">
        <x:v>NA</x:v>
      </x:c>
      <x:c r="I15" s="235" t="n">
        <x:v>658.45</x:v>
      </x:c>
      <x:c r="J15" s="235" t="n">
        <x:v>793.92</x:v>
      </x:c>
      <x:c r="K15" s="235" t="n">
        <x:v>929.9</x:v>
      </x:c>
      <x:c r="L15" s="235" t="n">
        <x:v>1066.79</x:v>
      </x:c>
      <x:c r="M15" s="235" t="n">
        <x:v>1204.44</x:v>
      </x:c>
      <x:c r="N15" s="228"/>
      <x:c r="O15" s="228"/>
      <x:c r="P15" s="228"/>
      <x:c r="Q15" s="228"/>
      <x:c r="R15" s="228"/>
      <x:c r="S15" s="228"/>
      <x:c r="T15" s="228"/>
      <x:c r="U15" s="228"/>
      <x:c r="V15" s="228"/>
      <x:c r="W15" s="228"/>
      <x:c r="X15" s="228"/>
      <x:c r="Y15" s="228"/>
      <x:c r="Z15" s="228"/>
      <x:c r="AA15" s="228"/>
      <x:c r="AB15" s="228"/>
      <x:c r="AC15" s="228"/>
    </x:row>
    <x:row r="16">
      <x:c r="A16" s="288" t="str">
        <x:v>Growth capex</x:v>
      </x:c>
      <x:c r="B16" s="288" t="str">
        <x:v>INR mn</x:v>
      </x:c>
      <x:c r="C16" s="182" t="str">
        <x:v>Current model forecast = CRO/R&amp;D + CDMO/manufacturing growth capex</x:v>
      </x:c>
      <x:c r="D16" s="235" t="str">
        <x:v>NA</x:v>
      </x:c>
      <x:c r="E16" s="235" t="str">
        <x:v>NA</x:v>
      </x:c>
      <x:c r="F16" s="235" t="str">
        <x:v>NA</x:v>
      </x:c>
      <x:c r="G16" s="235" t="str">
        <x:v>NA</x:v>
      </x:c>
      <x:c r="H16" s="235" t="str">
        <x:v>NA</x:v>
      </x:c>
      <x:c r="I16" s="235" t="n">
        <x:v>11341.55</x:v>
      </x:c>
      <x:c r="J16" s="235" t="n">
        <x:v>8206.08</x:v>
      </x:c>
      <x:c r="K16" s="235" t="n">
        <x:v>6570.1</x:v>
      </x:c>
      <x:c r="L16" s="235" t="n">
        <x:v>5433.21</x:v>
      </x:c>
      <x:c r="M16" s="235" t="n">
        <x:v>4795.56</x:v>
      </x:c>
      <x:c r="N16" s="228"/>
      <x:c r="O16" s="228"/>
      <x:c r="P16" s="228"/>
      <x:c r="Q16" s="228"/>
      <x:c r="R16" s="228"/>
      <x:c r="S16" s="228"/>
      <x:c r="T16" s="228"/>
      <x:c r="U16" s="228"/>
      <x:c r="V16" s="228"/>
      <x:c r="W16" s="228"/>
      <x:c r="X16" s="228"/>
      <x:c r="Y16" s="228"/>
      <x:c r="Z16" s="228"/>
      <x:c r="AA16" s="228"/>
      <x:c r="AB16" s="228"/>
      <x:c r="AC16" s="228"/>
    </x:row>
    <x:row r="17">
      <x:c r="A17" s="288" t="str">
        <x:v>Net PP&amp;E incl. ROU</x:v>
      </x:c>
      <x:c r="B17" s="288" t="str">
        <x:v>INR mn</x:v>
      </x:c>
      <x:c r="C17" s="182" t="str">
        <x:v>Restated / audited actual; forecast from current model</x:v>
      </x:c>
      <x:c r="D17" s="235" t="n">
        <x:v>9640</x:v>
      </x:c>
      <x:c r="E17" s="235" t="n">
        <x:v>10254.9</x:v>
      </x:c>
      <x:c r="F17" s="235" t="n">
        <x:v>11660.68</x:v>
      </x:c>
      <x:c r="G17" s="235" t="n">
        <x:v>14773.56</x:v>
      </x:c>
      <x:c r="H17" s="235" t="n">
        <x:v>18087.15</x:v>
      </x:c>
      <x:c r="I17" s="235" t="n">
        <x:v>20867.5625</x:v>
      </x:c>
      <x:c r="J17" s="235" t="n">
        <x:v>29231.8859375</x:v>
      </x:c>
      <x:c r="K17" s="235" t="n">
        <x:v>36813.1405859375</x:v>
      </x:c>
      <x:c r="L17" s="235" t="n">
        <x:v>41932.02824511719</x:v>
      </x:c>
      <x:c r="M17" s="235" t="n">
        <x:v>45515.539825952146</x:v>
      </x:c>
      <x:c r="N17" s="228"/>
      <x:c r="O17" s="228"/>
      <x:c r="P17" s="228"/>
      <x:c r="Q17" s="228"/>
      <x:c r="R17" s="228"/>
      <x:c r="S17" s="228"/>
      <x:c r="T17" s="228"/>
      <x:c r="U17" s="228"/>
      <x:c r="V17" s="228"/>
      <x:c r="W17" s="228"/>
      <x:c r="X17" s="228"/>
      <x:c r="Y17" s="228"/>
      <x:c r="Z17" s="228"/>
      <x:c r="AA17" s="228"/>
      <x:c r="AB17" s="228"/>
      <x:c r="AC17" s="228"/>
    </x:row>
    <x:row r="18">
      <x:c r="A18" s="288" t="str">
        <x:v>CWIP</x:v>
      </x:c>
      <x:c r="B18" s="288" t="str">
        <x:v>INR mn</x:v>
      </x:c>
      <x:c r="C18" s="182" t="str">
        <x:v>Restated / audited actual; forecast from current model</x:v>
      </x:c>
      <x:c r="D18" s="235" t="n">
        <x:v>1886.9</x:v>
      </x:c>
      <x:c r="E18" s="235" t="n">
        <x:v>1510</x:v>
      </x:c>
      <x:c r="F18" s="235" t="n">
        <x:v>1068.95</x:v>
      </x:c>
      <x:c r="G18" s="235" t="n">
        <x:v>1244.56</x:v>
      </x:c>
      <x:c r="H18" s="235" t="n">
        <x:v>2704.53</x:v>
      </x:c>
      <x:c r="I18" s="235" t="n">
        <x:v>10395</x:v>
      </x:c>
      <x:c r="J18" s="235" t="n">
        <x:v>9078.75</x:v>
      </x:c>
      <x:c r="K18" s="235" t="n">
        <x:v>6424.3125</x:v>
      </x:c>
      <x:c r="L18" s="235" t="n">
        <x:v>4737.43125</x:v>
      </x:c>
      <x:c r="M18" s="235" t="n">
        <x:v>3746.8715625</x:v>
      </x:c>
      <x:c r="N18" s="228"/>
      <x:c r="O18" s="228"/>
      <x:c r="P18" s="228"/>
      <x:c r="Q18" s="228"/>
      <x:c r="R18" s="228"/>
      <x:c r="S18" s="228"/>
      <x:c r="T18" s="228"/>
      <x:c r="U18" s="228"/>
      <x:c r="V18" s="228"/>
      <x:c r="W18" s="228"/>
      <x:c r="X18" s="228"/>
      <x:c r="Y18" s="228"/>
      <x:c r="Z18" s="228"/>
      <x:c r="AA18" s="228"/>
      <x:c r="AB18" s="228"/>
      <x:c r="AC18" s="228"/>
    </x:row>
    <x:row r="19">
      <x:c r="A19" s="289" t="str">
        <x:v>Net PP&amp;E + CWIP</x:v>
      </x:c>
      <x:c r="B19" s="289" t="str">
        <x:v>INR mn</x:v>
      </x:c>
      <x:c r="C19" s="189" t="str">
        <x:v>Formula</x:v>
      </x:c>
      <x:c r="D19" s="243" t="n">
        <x:f>IF(AND(ISNUMBER(D17),ISNUMBER(D18)),D17+D18,"NA")</x:f>
        <x:v>11526.9</x:v>
      </x:c>
      <x:c r="E19" s="243" t="n">
        <x:f>IF(AND(ISNUMBER(E17),ISNUMBER(E18)),E17+E18,"NA")</x:f>
        <x:v>11764.9</x:v>
      </x:c>
      <x:c r="F19" s="243" t="n">
        <x:f>IF(AND(ISNUMBER(F17),ISNUMBER(F18)),F17+F18,"NA")</x:f>
        <x:v>12729.630000000001</x:v>
      </x:c>
      <x:c r="G19" s="243" t="n">
        <x:f>IF(AND(ISNUMBER(G17),ISNUMBER(G18)),G17+G18,"NA")</x:f>
        <x:v>16018.119999999999</x:v>
      </x:c>
      <x:c r="H19" s="243" t="n">
        <x:f>IF(AND(ISNUMBER(H17),ISNUMBER(H18)),H17+H18,"NA")</x:f>
        <x:v>20791.68</x:v>
      </x:c>
      <x:c r="I19" s="243" t="n">
        <x:f>IF(AND(ISNUMBER(I17),ISNUMBER(I18)),I17+I18,"NA")</x:f>
        <x:v>31262.5625</x:v>
      </x:c>
      <x:c r="J19" s="243" t="n">
        <x:f>IF(AND(ISNUMBER(J17),ISNUMBER(J18)),J17+J18,"NA")</x:f>
        <x:v>38310.6359375</x:v>
      </x:c>
      <x:c r="K19" s="243" t="n">
        <x:f>IF(AND(ISNUMBER(K17),ISNUMBER(K18)),K17+K18,"NA")</x:f>
        <x:v>43237.4530859375</x:v>
      </x:c>
      <x:c r="L19" s="243" t="n">
        <x:f>IF(AND(ISNUMBER(L17),ISNUMBER(L18)),L17+L18,"NA")</x:f>
        <x:v>46669.45949511719</x:v>
      </x:c>
      <x:c r="M19" s="243" t="n">
        <x:f>IF(AND(ISNUMBER(M17),ISNUMBER(M18)),M17+M18,"NA")</x:f>
        <x:v>49262.41138845214</x:v>
      </x:c>
      <x:c r="N19" s="228"/>
      <x:c r="O19" s="228"/>
      <x:c r="P19" s="228"/>
      <x:c r="Q19" s="228"/>
      <x:c r="R19" s="228"/>
      <x:c r="S19" s="228"/>
      <x:c r="T19" s="228"/>
      <x:c r="U19" s="228"/>
      <x:c r="V19" s="228"/>
      <x:c r="W19" s="228"/>
      <x:c r="X19" s="228"/>
      <x:c r="Y19" s="228"/>
      <x:c r="Z19" s="228"/>
      <x:c r="AA19" s="228"/>
      <x:c r="AB19" s="228"/>
      <x:c r="AC19" s="228"/>
    </x:row>
    <x:row r="20">
      <x:c r="A20" s="288" t="str">
        <x:v>Total assets</x:v>
      </x:c>
      <x:c r="B20" s="288" t="str">
        <x:v>INR mn</x:v>
      </x:c>
      <x:c r="C20" s="182" t="str">
        <x:v>Restated / audited actual; forecast from current model</x:v>
      </x:c>
      <x:c r="D20" s="235" t="n">
        <x:v>21642</x:v>
      </x:c>
      <x:c r="E20" s="235" t="n">
        <x:v>21866</x:v>
      </x:c>
      <x:c r="F20" s="235" t="n">
        <x:v>22751.36</x:v>
      </x:c>
      <x:c r="G20" s="235" t="n">
        <x:v>31599.75</x:v>
      </x:c>
      <x:c r="H20" s="235" t="n">
        <x:v>36261.4</x:v>
      </x:c>
      <x:c r="I20" s="235" t="n">
        <x:v>49210.15521326535</x:v>
      </x:c>
      <x:c r="J20" s="235" t="n">
        <x:v>60053.62248946902</x:v>
      </x:c>
      <x:c r="K20" s="235" t="n">
        <x:v>68713.12709155148</x:v>
      </x:c>
      <x:c r="L20" s="235" t="n">
        <x:v>75833.81350530413</x:v>
      </x:c>
      <x:c r="M20" s="235" t="n">
        <x:v>84264.73786547466</x:v>
      </x:c>
      <x:c r="N20" s="228"/>
      <x:c r="O20" s="228"/>
      <x:c r="P20" s="228"/>
      <x:c r="Q20" s="228"/>
      <x:c r="R20" s="228"/>
      <x:c r="S20" s="228"/>
      <x:c r="T20" s="228"/>
      <x:c r="U20" s="228"/>
      <x:c r="V20" s="228"/>
      <x:c r="W20" s="228"/>
      <x:c r="X20" s="228"/>
      <x:c r="Y20" s="228"/>
      <x:c r="Z20" s="228"/>
      <x:c r="AA20" s="228"/>
      <x:c r="AB20" s="228"/>
      <x:c r="AC20" s="228"/>
    </x:row>
    <x:row r="21">
      <x:c r="A21" s="288" t="str">
        <x:v>Gross debt</x:v>
      </x:c>
      <x:c r="B21" s="288" t="str">
        <x:v>INR mn</x:v>
      </x:c>
      <x:c r="C21" s="182" t="str">
        <x:v>Borrowings excl. lease liabilities</x:v>
      </x:c>
      <x:c r="D21" s="235" t="n">
        <x:v>7513</x:v>
      </x:c>
      <x:c r="E21" s="235" t="n">
        <x:v>6993</x:v>
      </x:c>
      <x:c r="F21" s="235" t="n">
        <x:v>7101.63</x:v>
      </x:c>
      <x:c r="G21" s="235" t="n">
        <x:v>1286.36</x:v>
      </x:c>
      <x:c r="H21" s="235" t="n">
        <x:v>951.25</x:v>
      </x:c>
      <x:c r="I21" s="235" t="n">
        <x:v>7960</x:v>
      </x:c>
      <x:c r="J21" s="235" t="n">
        <x:v>11460</x:v>
      </x:c>
      <x:c r="K21" s="235" t="n">
        <x:v>12460</x:v>
      </x:c>
      <x:c r="L21" s="235" t="n">
        <x:v>10960</x:v>
      </x:c>
      <x:c r="M21" s="235" t="n">
        <x:v>9460</x:v>
      </x:c>
      <x:c r="N21" s="228"/>
      <x:c r="O21" s="228"/>
      <x:c r="P21" s="228"/>
      <x:c r="Q21" s="228"/>
      <x:c r="R21" s="228"/>
      <x:c r="S21" s="228"/>
      <x:c r="T21" s="228"/>
      <x:c r="U21" s="228"/>
      <x:c r="V21" s="228"/>
      <x:c r="W21" s="228"/>
      <x:c r="X21" s="228"/>
      <x:c r="Y21" s="228"/>
      <x:c r="Z21" s="228"/>
      <x:c r="AA21" s="228"/>
      <x:c r="AB21" s="228"/>
      <x:c r="AC21" s="228"/>
    </x:row>
    <x:row r="22">
      <x:c r="A22" s="288" t="str">
        <x:v>Cash &amp; cash equivalents</x:v>
      </x:c>
      <x:c r="B22" s="288" t="str">
        <x:v>INR mn</x:v>
      </x:c>
      <x:c r="C22" s="182" t="str">
        <x:v>Capital-employed definition uses cash equivalents only</x:v>
      </x:c>
      <x:c r="D22" s="235" t="n">
        <x:v>1159.4</x:v>
      </x:c>
      <x:c r="E22" s="235" t="n">
        <x:v>699.1</x:v>
      </x:c>
      <x:c r="F22" s="235" t="n">
        <x:v>236.57</x:v>
      </x:c>
      <x:c r="G22" s="235" t="n">
        <x:v>911.19</x:v>
      </x:c>
      <x:c r="H22" s="235" t="n">
        <x:v>819.14</x:v>
      </x:c>
      <x:c r="I22" s="235" t="n">
        <x:v>1405.8554430070853</x:v>
      </x:c>
      <x:c r="J22" s="235" t="n">
        <x:v>2516.352328505435</x:v>
      </x:c>
      <x:c r="K22" s="235" t="n">
        <x:v>3648.7383631105376</x:v>
      </x:c>
      <x:c r="L22" s="235" t="n">
        <x:v>4792.1644588767995</x:v>
      </x:c>
      <x:c r="M22" s="235" t="n">
        <x:v>8333.648456815095</x:v>
      </x:c>
      <x:c r="N22" s="228"/>
      <x:c r="O22" s="228"/>
      <x:c r="P22" s="228"/>
      <x:c r="Q22" s="228"/>
      <x:c r="R22" s="228"/>
      <x:c r="S22" s="228"/>
      <x:c r="T22" s="228"/>
      <x:c r="U22" s="228"/>
      <x:c r="V22" s="228"/>
      <x:c r="W22" s="228"/>
      <x:c r="X22" s="228"/>
      <x:c r="Y22" s="228"/>
      <x:c r="Z22" s="228"/>
      <x:c r="AA22" s="228"/>
      <x:c r="AB22" s="228"/>
      <x:c r="AC22" s="228"/>
    </x:row>
    <x:row r="23">
      <x:c r="A23" s="289" t="str">
        <x:v>Net debt / (cash)</x:v>
      </x:c>
      <x:c r="B23" s="289" t="str">
        <x:v>INR mn</x:v>
      </x:c>
      <x:c r="C23" s="189" t="str">
        <x:v>Formula: gross debt less cash equivalents</x:v>
      </x:c>
      <x:c r="D23" s="243" t="n">
        <x:f>IF(AND(ISNUMBER(D21),ISNUMBER(D22)),D21-D22,"NA")</x:f>
        <x:v>6353.6</x:v>
      </x:c>
      <x:c r="E23" s="243" t="n">
        <x:f>IF(AND(ISNUMBER(E21),ISNUMBER(E22)),E21-E22,"NA")</x:f>
        <x:v>6293.9</x:v>
      </x:c>
      <x:c r="F23" s="243" t="n">
        <x:f>IF(AND(ISNUMBER(F21),ISNUMBER(F22)),F21-F22,"NA")</x:f>
        <x:v>6865.06</x:v>
      </x:c>
      <x:c r="G23" s="243" t="n">
        <x:f>IF(AND(ISNUMBER(G21),ISNUMBER(G22)),G21-G22,"NA")</x:f>
        <x:v>375.16999999999985</x:v>
      </x:c>
      <x:c r="H23" s="243" t="n">
        <x:f>IF(AND(ISNUMBER(H21),ISNUMBER(H22)),H21-H22,"NA")</x:f>
        <x:v>132.11</x:v>
      </x:c>
      <x:c r="I23" s="243" t="n">
        <x:f>IF(AND(ISNUMBER(I21),ISNUMBER(I22)),I21-I22,"NA")</x:f>
        <x:v>6554.144556992915</x:v>
      </x:c>
      <x:c r="J23" s="243" t="n">
        <x:f>IF(AND(ISNUMBER(J21),ISNUMBER(J22)),J21-J22,"NA")</x:f>
        <x:v>8943.647671494566</x:v>
      </x:c>
      <x:c r="K23" s="243" t="n">
        <x:f>IF(AND(ISNUMBER(K21),ISNUMBER(K22)),K21-K22,"NA")</x:f>
        <x:v>8811.261636889463</x:v>
      </x:c>
      <x:c r="L23" s="243" t="n">
        <x:f>IF(AND(ISNUMBER(L21),ISNUMBER(L22)),L21-L22,"NA")</x:f>
        <x:v>6167.8355411232005</x:v>
      </x:c>
      <x:c r="M23" s="243" t="n">
        <x:f>IF(AND(ISNUMBER(M21),ISNUMBER(M22)),M21-M22,"NA")</x:f>
        <x:v>1126.3515431849046</x:v>
      </x:c>
      <x:c r="N23" s="228"/>
      <x:c r="O23" s="228"/>
      <x:c r="P23" s="228"/>
      <x:c r="Q23" s="228"/>
      <x:c r="R23" s="228"/>
      <x:c r="S23" s="228"/>
      <x:c r="T23" s="228"/>
      <x:c r="U23" s="228"/>
      <x:c r="V23" s="228"/>
      <x:c r="W23" s="228"/>
      <x:c r="X23" s="228"/>
      <x:c r="Y23" s="228"/>
      <x:c r="Z23" s="228"/>
      <x:c r="AA23" s="228"/>
      <x:c r="AB23" s="228"/>
      <x:c r="AC23" s="228"/>
    </x:row>
    <x:row r="24">
      <x:c r="A24" s="288" t="str">
        <x:v>Total equity</x:v>
      </x:c>
      <x:c r="B24" s="288" t="str">
        <x:v>INR mn</x:v>
      </x:c>
      <x:c r="C24" s="182" t="str">
        <x:v>Restated / audited actual; forecast from current model</x:v>
      </x:c>
      <x:c r="D24" s="235" t="n">
        <x:v>8786</x:v>
      </x:c>
      <x:c r="E24" s="235" t="n">
        <x:v>8881</x:v>
      </x:c>
      <x:c r="F24" s="235" t="n">
        <x:v>9751.44</x:v>
      </x:c>
      <x:c r="G24" s="235" t="n">
        <x:v>21283.54</x:v>
      </x:c>
      <x:c r="H24" s="235" t="n">
        <x:v>24836.88</x:v>
      </x:c>
      <x:c r="I24" s="235" t="n">
        <x:v>29297.91111664976</x:v>
      </x:c>
      <x:c r="J24" s="235" t="n">
        <x:v>34570.6449034339</x:v>
      </x:c>
      <x:c r="K24" s="235" t="n">
        <x:v>40159.74995728654</x:v>
      </x:c>
      <x:c r="L24" s="235" t="n">
        <x:v>46843.327461196306</x:v>
      </x:c>
      <x:c r="M24" s="235" t="n">
        <x:v>54824.77981799155</x:v>
      </x:c>
      <x:c r="N24" s="228"/>
      <x:c r="O24" s="228"/>
      <x:c r="P24" s="228"/>
      <x:c r="Q24" s="228"/>
      <x:c r="R24" s="228"/>
      <x:c r="S24" s="228"/>
      <x:c r="T24" s="228"/>
      <x:c r="U24" s="228"/>
      <x:c r="V24" s="228"/>
      <x:c r="W24" s="228"/>
      <x:c r="X24" s="228"/>
      <x:c r="Y24" s="228"/>
      <x:c r="Z24" s="228"/>
      <x:c r="AA24" s="228"/>
      <x:c r="AB24" s="228"/>
      <x:c r="AC24" s="228"/>
    </x:row>
    <x:row r="25">
      <x:c r="A25" s="289" t="str">
        <x:v>Capital employed</x:v>
      </x:c>
      <x:c r="B25" s="289" t="str">
        <x:v>INR mn</x:v>
      </x:c>
      <x:c r="C25" s="189" t="str">
        <x:v>Formula: Equity + Gross Debt – Cash &amp; Cash Equivalents</x:v>
      </x:c>
      <x:c r="D25" s="243" t="n">
        <x:f>IF(AND(ISNUMBER(D24),ISNUMBER(D21),ISNUMBER(D22)),D24+D21-D22,"NA")</x:f>
        <x:v>15139.6</x:v>
      </x:c>
      <x:c r="E25" s="243" t="n">
        <x:f>IF(AND(ISNUMBER(E24),ISNUMBER(E21),ISNUMBER(E22)),E24+E21-E22,"NA")</x:f>
        <x:v>15174.9</x:v>
      </x:c>
      <x:c r="F25" s="243" t="n">
        <x:f>IF(AND(ISNUMBER(F24),ISNUMBER(F21),ISNUMBER(F22)),F24+F21-F22,"NA")</x:f>
        <x:v>16616.5</x:v>
      </x:c>
      <x:c r="G25" s="243" t="n">
        <x:f>IF(AND(ISNUMBER(G24),ISNUMBER(G21),ISNUMBER(G22)),G24+G21-G22,"NA")</x:f>
        <x:v>21658.710000000003</x:v>
      </x:c>
      <x:c r="H25" s="243" t="n">
        <x:f>IF(AND(ISNUMBER(H24),ISNUMBER(H21),ISNUMBER(H22)),H24+H21-H22,"NA")</x:f>
        <x:v>24968.99</x:v>
      </x:c>
      <x:c r="I25" s="243" t="n">
        <x:f>IF(AND(ISNUMBER(I24),ISNUMBER(I21),ISNUMBER(I22)),I24+I21-I22,"NA")</x:f>
        <x:v>35852.05567364267</x:v>
      </x:c>
      <x:c r="J25" s="243" t="n">
        <x:f>IF(AND(ISNUMBER(J24),ISNUMBER(J21),ISNUMBER(J22)),J24+J21-J22,"NA")</x:f>
        <x:v>43514.29257492847</x:v>
      </x:c>
      <x:c r="K25" s="243" t="n">
        <x:f>IF(AND(ISNUMBER(K24),ISNUMBER(K21),ISNUMBER(K22)),K24+K21-K22,"NA")</x:f>
        <x:v>48971.011594176</x:v>
      </x:c>
      <x:c r="L25" s="243" t="n">
        <x:f>IF(AND(ISNUMBER(L24),ISNUMBER(L21),ISNUMBER(L22)),L24+L21-L22,"NA")</x:f>
        <x:v>53011.1630023195</x:v>
      </x:c>
      <x:c r="M25" s="243" t="n">
        <x:f>IF(AND(ISNUMBER(M24),ISNUMBER(M21),ISNUMBER(M22)),M24+M21-M22,"NA")</x:f>
        <x:v>55951.13136117645</x:v>
      </x:c>
      <x:c r="N25" s="228"/>
      <x:c r="O25" s="228"/>
      <x:c r="P25" s="228"/>
      <x:c r="Q25" s="228"/>
      <x:c r="R25" s="228"/>
      <x:c r="S25" s="228"/>
      <x:c r="T25" s="228"/>
      <x:c r="U25" s="228"/>
      <x:c r="V25" s="228"/>
      <x:c r="W25" s="228"/>
      <x:c r="X25" s="228"/>
      <x:c r="Y25" s="228"/>
      <x:c r="Z25" s="228"/>
      <x:c r="AA25" s="228"/>
      <x:c r="AB25" s="228"/>
      <x:c r="AC25" s="228"/>
    </x:row>
    <x:row r="26">
      <x:c r="A26" s="289" t="str">
        <x:v>Average capital employed</x:v>
      </x:c>
      <x:c r="B26" s="289" t="str">
        <x:v>INR mn</x:v>
      </x:c>
      <x:c r="C26" s="189" t="str">
        <x:v>Formula: average opening / closing</x:v>
      </x:c>
      <x:c r="D26" s="243" t="str">
        <x:f>"NA"</x:f>
        <x:v>NA</x:v>
      </x:c>
      <x:c r="E26" s="243" t="n">
        <x:f>IF(AND(ISNUMBER(D25),ISNUMBER(E25)),AVERAGE(D25,E25),"NA")</x:f>
        <x:v>15157.25</x:v>
      </x:c>
      <x:c r="F26" s="243" t="n">
        <x:f>IF(AND(ISNUMBER(E25),ISNUMBER(F25)),AVERAGE(E25,F25),"NA")</x:f>
        <x:v>15895.7</x:v>
      </x:c>
      <x:c r="G26" s="243" t="n">
        <x:f>IF(AND(ISNUMBER(F25),ISNUMBER(G25)),AVERAGE(F25,G25),"NA")</x:f>
        <x:v>19137.605000000003</x:v>
      </x:c>
      <x:c r="H26" s="243" t="n">
        <x:f>IF(AND(ISNUMBER(G25),ISNUMBER(H25)),AVERAGE(G25,H25),"NA")</x:f>
        <x:v>23313.850000000002</x:v>
      </x:c>
      <x:c r="I26" s="243" t="n">
        <x:f>IF(AND(ISNUMBER(H25),ISNUMBER(I25)),AVERAGE(H25,I25),"NA")</x:f>
        <x:v>30410.522836821336</x:v>
      </x:c>
      <x:c r="J26" s="243" t="n">
        <x:f>IF(AND(ISNUMBER(I25),ISNUMBER(J25)),AVERAGE(I25,J25),"NA")</x:f>
        <x:v>39683.17412428557</x:v>
      </x:c>
      <x:c r="K26" s="243" t="n">
        <x:f>IF(AND(ISNUMBER(J25),ISNUMBER(K25)),AVERAGE(J25,K25),"NA")</x:f>
        <x:v>46242.65208455223</x:v>
      </x:c>
      <x:c r="L26" s="243" t="n">
        <x:f>IF(AND(ISNUMBER(K25),ISNUMBER(L25)),AVERAGE(K25,L25),"NA")</x:f>
        <x:v>50991.08729824775</x:v>
      </x:c>
      <x:c r="M26" s="243" t="n">
        <x:f>IF(AND(ISNUMBER(L25),ISNUMBER(M25)),AVERAGE(L25,M25),"NA")</x:f>
        <x:v>54481.147181747976</x:v>
      </x:c>
      <x:c r="N26" s="228"/>
      <x:c r="O26" s="228"/>
      <x:c r="P26" s="228"/>
      <x:c r="Q26" s="228"/>
      <x:c r="R26" s="228"/>
      <x:c r="S26" s="228"/>
      <x:c r="T26" s="228"/>
      <x:c r="U26" s="228"/>
      <x:c r="V26" s="228"/>
      <x:c r="W26" s="228"/>
      <x:c r="X26" s="228"/>
      <x:c r="Y26" s="228"/>
      <x:c r="Z26" s="228"/>
      <x:c r="AA26" s="228"/>
      <x:c r="AB26" s="228"/>
      <x:c r="AC26" s="228"/>
    </x:row>
    <x:row r="27">
      <x:c r="A27" s="289" t="str">
        <x:v>Average net PP&amp;E incl. ROU</x:v>
      </x:c>
      <x:c r="B27" s="289" t="str">
        <x:v>INR mn</x:v>
      </x:c>
      <x:c r="C27" s="189" t="str">
        <x:v>Formula: average opening / closing</x:v>
      </x:c>
      <x:c r="D27" s="243" t="str">
        <x:f>"NA"</x:f>
        <x:v>NA</x:v>
      </x:c>
      <x:c r="E27" s="243" t="n">
        <x:f>IF(AND(ISNUMBER(D17),ISNUMBER(E17)),AVERAGE(D17,E17),"NA")</x:f>
        <x:v>9947.45</x:v>
      </x:c>
      <x:c r="F27" s="243" t="n">
        <x:f>IF(AND(ISNUMBER(E17),ISNUMBER(F17)),AVERAGE(E17,F17),"NA")</x:f>
        <x:v>10957.79</x:v>
      </x:c>
      <x:c r="G27" s="243" t="n">
        <x:f>IF(AND(ISNUMBER(F17),ISNUMBER(G17)),AVERAGE(F17,G17),"NA")</x:f>
        <x:v>13217.119999999999</x:v>
      </x:c>
      <x:c r="H27" s="243" t="n">
        <x:f>IF(AND(ISNUMBER(G17),ISNUMBER(H17)),AVERAGE(G17,H17),"NA")</x:f>
        <x:v>16430.355</x:v>
      </x:c>
      <x:c r="I27" s="243" t="n">
        <x:f>IF(AND(ISNUMBER(H17),ISNUMBER(I17)),AVERAGE(H17,I17),"NA")</x:f>
        <x:v>19477.35625</x:v>
      </x:c>
      <x:c r="J27" s="243" t="n">
        <x:f>IF(AND(ISNUMBER(I17),ISNUMBER(J17)),AVERAGE(I17,J17),"NA")</x:f>
        <x:v>25049.72421875</x:v>
      </x:c>
      <x:c r="K27" s="243" t="n">
        <x:f>IF(AND(ISNUMBER(J17),ISNUMBER(K17)),AVERAGE(J17,K17),"NA")</x:f>
        <x:v>33022.51326171875</x:v>
      </x:c>
      <x:c r="L27" s="243" t="n">
        <x:f>IF(AND(ISNUMBER(K17),ISNUMBER(L17)),AVERAGE(K17,L17),"NA")</x:f>
        <x:v>39372.584415527344</x:v>
      </x:c>
      <x:c r="M27" s="243" t="n">
        <x:f>IF(AND(ISNUMBER(L17),ISNUMBER(M17)),AVERAGE(L17,M17),"NA")</x:f>
        <x:v>43723.78403553467</x:v>
      </x:c>
      <x:c r="N27" s="228"/>
      <x:c r="O27" s="228"/>
      <x:c r="P27" s="228"/>
      <x:c r="Q27" s="228"/>
      <x:c r="R27" s="228"/>
      <x:c r="S27" s="228"/>
      <x:c r="T27" s="228"/>
      <x:c r="U27" s="228"/>
      <x:c r="V27" s="228"/>
      <x:c r="W27" s="228"/>
      <x:c r="X27" s="228"/>
      <x:c r="Y27" s="228"/>
      <x:c r="Z27" s="228"/>
      <x:c r="AA27" s="228"/>
      <x:c r="AB27" s="228"/>
      <x:c r="AC27" s="228"/>
    </x:row>
    <x:row r="28">
      <x:c r="A28" s="289" t="str">
        <x:v>Average (Net PP&amp;E + CWIP)</x:v>
      </x:c>
      <x:c r="B28" s="289" t="str">
        <x:v>INR mn</x:v>
      </x:c>
      <x:c r="C28" s="189" t="str">
        <x:v>Formula</x:v>
      </x:c>
      <x:c r="D28" s="243" t="str">
        <x:f>"NA"</x:f>
        <x:v>NA</x:v>
      </x:c>
      <x:c r="E28" s="243" t="n">
        <x:f>IF(AND(ISNUMBER(D19),ISNUMBER(E19)),AVERAGE(D19,E19),"NA")</x:f>
        <x:v>11645.9</x:v>
      </x:c>
      <x:c r="F28" s="243" t="n">
        <x:f>IF(AND(ISNUMBER(E19),ISNUMBER(F19)),AVERAGE(E19,F19),"NA")</x:f>
        <x:v>12247.265</x:v>
      </x:c>
      <x:c r="G28" s="243" t="n">
        <x:f>IF(AND(ISNUMBER(F19),ISNUMBER(G19)),AVERAGE(F19,G19),"NA")</x:f>
        <x:v>14373.875</x:v>
      </x:c>
      <x:c r="H28" s="243" t="n">
        <x:f>IF(AND(ISNUMBER(G19),ISNUMBER(H19)),AVERAGE(G19,H19),"NA")</x:f>
        <x:v>18404.9</x:v>
      </x:c>
      <x:c r="I28" s="243" t="n">
        <x:f>IF(AND(ISNUMBER(H19),ISNUMBER(I19)),AVERAGE(H19,I19),"NA")</x:f>
        <x:v>26027.12125</x:v>
      </x:c>
      <x:c r="J28" s="243" t="n">
        <x:f>IF(AND(ISNUMBER(I19),ISNUMBER(J19)),AVERAGE(I19,J19),"NA")</x:f>
        <x:v>34786.59921875</x:v>
      </x:c>
      <x:c r="K28" s="243" t="n">
        <x:f>IF(AND(ISNUMBER(J19),ISNUMBER(K19)),AVERAGE(J19,K19),"NA")</x:f>
        <x:v>40774.04451171875</x:v>
      </x:c>
      <x:c r="L28" s="243" t="n">
        <x:f>IF(AND(ISNUMBER(K19),ISNUMBER(L19)),AVERAGE(K19,L19),"NA")</x:f>
        <x:v>44953.45629052735</x:v>
      </x:c>
      <x:c r="M28" s="243" t="n">
        <x:f>IF(AND(ISNUMBER(L19),ISNUMBER(M19)),AVERAGE(L19,M19),"NA")</x:f>
        <x:v>47965.93544178466</x:v>
      </x:c>
      <x:c r="N28" s="228"/>
      <x:c r="O28" s="228"/>
      <x:c r="P28" s="228"/>
      <x:c r="Q28" s="228"/>
      <x:c r="R28" s="228"/>
      <x:c r="S28" s="228"/>
      <x:c r="T28" s="228"/>
      <x:c r="U28" s="228"/>
      <x:c r="V28" s="228"/>
      <x:c r="W28" s="228"/>
      <x:c r="X28" s="228"/>
      <x:c r="Y28" s="228"/>
      <x:c r="Z28" s="228"/>
      <x:c r="AA28" s="228"/>
      <x:c r="AB28" s="228"/>
      <x:c r="AC28" s="228"/>
    </x:row>
    <x:row r="29">
      <x:c r="A29" s="289" t="str">
        <x:v>Average total assets</x:v>
      </x:c>
      <x:c r="B29" s="289" t="str">
        <x:v>INR mn</x:v>
      </x:c>
      <x:c r="C29" s="189" t="str">
        <x:v>Formula</x:v>
      </x:c>
      <x:c r="D29" s="243" t="str">
        <x:f>"NA"</x:f>
        <x:v>NA</x:v>
      </x:c>
      <x:c r="E29" s="243" t="n">
        <x:f>IF(AND(ISNUMBER(D20),ISNUMBER(E20)),AVERAGE(D20,E20),"NA")</x:f>
        <x:v>21754</x:v>
      </x:c>
      <x:c r="F29" s="243" t="n">
        <x:f>IF(AND(ISNUMBER(E20),ISNUMBER(F20)),AVERAGE(E20,F20),"NA")</x:f>
        <x:v>22308.68</x:v>
      </x:c>
      <x:c r="G29" s="243" t="n">
        <x:f>IF(AND(ISNUMBER(F20),ISNUMBER(G20)),AVERAGE(F20,G20),"NA")</x:f>
        <x:v>27175.555</x:v>
      </x:c>
      <x:c r="H29" s="243" t="n">
        <x:f>IF(AND(ISNUMBER(G20),ISNUMBER(H20)),AVERAGE(G20,H20),"NA")</x:f>
        <x:v>33930.575</x:v>
      </x:c>
      <x:c r="I29" s="243" t="n">
        <x:f>IF(AND(ISNUMBER(H20),ISNUMBER(I20)),AVERAGE(H20,I20),"NA")</x:f>
        <x:v>42735.77760663268</x:v>
      </x:c>
      <x:c r="J29" s="243" t="n">
        <x:f>IF(AND(ISNUMBER(I20),ISNUMBER(J20)),AVERAGE(I20,J20),"NA")</x:f>
        <x:v>54631.888851367185</x:v>
      </x:c>
      <x:c r="K29" s="243" t="n">
        <x:f>IF(AND(ISNUMBER(J20),ISNUMBER(K20)),AVERAGE(J20,K20),"NA")</x:f>
        <x:v>64383.37479051025</x:v>
      </x:c>
      <x:c r="L29" s="243" t="n">
        <x:f>IF(AND(ISNUMBER(K20),ISNUMBER(L20)),AVERAGE(K20,L20),"NA")</x:f>
        <x:v>72273.4702984278</x:v>
      </x:c>
      <x:c r="M29" s="243" t="n">
        <x:f>IF(AND(ISNUMBER(L20),ISNUMBER(M20)),AVERAGE(L20,M20),"NA")</x:f>
        <x:v>80049.2756853894</x:v>
      </x:c>
      <x:c r="N29" s="228"/>
      <x:c r="O29" s="228"/>
      <x:c r="P29" s="228"/>
      <x:c r="Q29" s="228"/>
      <x:c r="R29" s="228"/>
      <x:c r="S29" s="228"/>
      <x:c r="T29" s="228"/>
      <x:c r="U29" s="228"/>
      <x:c r="V29" s="228"/>
      <x:c r="W29" s="228"/>
      <x:c r="X29" s="228"/>
      <x:c r="Y29" s="228"/>
      <x:c r="Z29" s="228"/>
      <x:c r="AA29" s="228"/>
      <x:c r="AB29" s="228"/>
      <x:c r="AC29" s="228"/>
    </x:row>
    <x:row r="30">
      <x:c r="A30" s="289" t="str">
        <x:v>Fixed Asset Turnover</x:v>
      </x:c>
      <x:c r="B30" s="289" t="str">
        <x:v>x</x:v>
      </x:c>
      <x:c r="C30" s="189" t="str">
        <x:v>Revenue / Average Net PP&amp;E incl. ROU</x:v>
      </x:c>
      <x:c r="D30" s="352" t="str">
        <x:f>IF(AND(ISNUMBER(D6),ISNUMBER(D27),D27&lt;&gt;0),D6/D27,"NA")</x:f>
        <x:v>NA</x:v>
      </x:c>
      <x:c r="E30" s="352" t="n">
        <x:f>IF(AND(ISNUMBER(E6),ISNUMBER(E27),E27&lt;&gt;0),E6/E27,"NA")</x:f>
        <x:v>1.223568351688121</x:v>
      </x:c>
      <x:c r="F30" s="352" t="n">
        <x:f>IF(AND(ISNUMBER(F6),ISNUMBER(F27),F27&lt;&gt;0),F6/F27,"NA")</x:f>
        <x:v>1.3371108590327063</x:v>
      </x:c>
      <x:c r="G30" s="352" t="n">
        <x:f>IF(AND(ISNUMBER(G6),ISNUMBER(G27),G27&lt;&gt;0),G6/G27,"NA")</x:f>
        <x:v>1.2821023036788652</x:v>
      </x:c>
      <x:c r="H30" s="352" t="n">
        <x:f>IF(AND(ISNUMBER(H6),ISNUMBER(H27),H27&lt;&gt;0),H6/H27,"NA")</x:f>
        <x:v>1.3341160309682902</x:v>
      </x:c>
      <x:c r="I30" s="352" t="n">
        <x:f>IF(AND(ISNUMBER(I6),ISNUMBER(I27),I27&lt;&gt;0),I6/I27,"NA")</x:f>
        <x:v>1.352232513649002</x:v>
      </x:c>
      <x:c r="J30" s="352" t="n">
        <x:f>IF(AND(ISNUMBER(J6),ISNUMBER(J27),J27&lt;&gt;0),J6/J27,"NA")</x:f>
        <x:v>1.2677551512608465</x:v>
      </x:c>
      <x:c r="K30" s="352" t="n">
        <x:f>IF(AND(ISNUMBER(K6),ISNUMBER(K27),K27&lt;&gt;0),K6/K27,"NA")</x:f>
        <x:v>1.126382573956288</x:v>
      </x:c>
      <x:c r="L30" s="352" t="n">
        <x:f>IF(AND(ISNUMBER(L6),ISNUMBER(L27),L27&lt;&gt;0),L6/L27,"NA")</x:f>
        <x:v>1.083794368700219</x:v>
      </x:c>
      <x:c r="M30" s="352" t="n">
        <x:f>IF(AND(ISNUMBER(M6),ISNUMBER(M27),M27&lt;&gt;0),M6/M27,"NA")</x:f>
        <x:v>1.1018634834260945</x:v>
      </x:c>
      <x:c r="N30" s="228"/>
      <x:c r="O30" s="228"/>
      <x:c r="P30" s="228"/>
      <x:c r="Q30" s="228"/>
      <x:c r="R30" s="228"/>
      <x:c r="S30" s="228"/>
      <x:c r="T30" s="228"/>
      <x:c r="U30" s="228"/>
      <x:c r="V30" s="228"/>
      <x:c r="W30" s="228"/>
      <x:c r="X30" s="228"/>
      <x:c r="Y30" s="228"/>
      <x:c r="Z30" s="228"/>
      <x:c r="AA30" s="228"/>
      <x:c r="AB30" s="228"/>
      <x:c r="AC30" s="228"/>
    </x:row>
    <x:row r="31">
      <x:c r="A31" s="289" t="str">
        <x:v>Invested Asset Turnover</x:v>
      </x:c>
      <x:c r="B31" s="289" t="str">
        <x:v>x</x:v>
      </x:c>
      <x:c r="C31" s="189" t="str">
        <x:v>Revenue / Average (Net PP&amp;E + CWIP)</x:v>
      </x:c>
      <x:c r="D31" s="352" t="str">
        <x:f>IF(AND(ISNUMBER(D6),ISNUMBER(D28),D28&lt;&gt;0),D6/D28,"NA")</x:f>
        <x:v>NA</x:v>
      </x:c>
      <x:c r="E31" s="352" t="n">
        <x:f>IF(AND(ISNUMBER(E6),ISNUMBER(E28),E28&lt;&gt;0),E6/E28,"NA")</x:f>
        <x:v>1.0451218883899056</x:v>
      </x:c>
      <x:c r="F31" s="352" t="n">
        <x:f>IF(AND(ISNUMBER(F6),ISNUMBER(F28),F28&lt;&gt;0),F6/F28,"NA")</x:f>
        <x:v>1.1963307726255619</x:v>
      </x:c>
      <x:c r="G31" s="352" t="n">
        <x:f>IF(AND(ISNUMBER(G6),ISNUMBER(G28),G28&lt;&gt;0),G6/G28,"NA")</x:f>
        <x:v>1.1789235679314034</x:v>
      </x:c>
      <x:c r="H31" s="352" t="n">
        <x:f>IF(AND(ISNUMBER(H6),ISNUMBER(H28),H28&lt;&gt;0),H6/H28,"NA")</x:f>
        <x:v>1.1909871827611125</x:v>
      </x:c>
      <x:c r="I31" s="352" t="n">
        <x:f>IF(AND(ISNUMBER(I6),ISNUMBER(I28),I28&lt;&gt;0),I6/I28,"NA")</x:f>
        <x:v>1.0119411266497482</x:v>
      </x:c>
      <x:c r="J31" s="352" t="n">
        <x:f>IF(AND(ISNUMBER(J6),ISNUMBER(J28),J28&lt;&gt;0),J6/J28,"NA")</x:f>
        <x:v>0.9129066258039648</x:v>
      </x:c>
      <x:c r="K31" s="352" t="n">
        <x:f>IF(AND(ISNUMBER(K6),ISNUMBER(K28),K28&lt;&gt;0),K6/K28,"NA")</x:f>
        <x:v>0.9122466002986296</x:v>
      </x:c>
      <x:c r="L31" s="352" t="n">
        <x:f>IF(AND(ISNUMBER(L6),ISNUMBER(L28),L28&lt;&gt;0),L6/L28,"NA")</x:f>
        <x:v>0.9492437020846914</x:v>
      </x:c>
      <x:c r="M31" s="352" t="n">
        <x:f>IF(AND(ISNUMBER(M6),ISNUMBER(M28),M28&lt;&gt;0),M6/M28,"NA")</x:f>
        <x:v>1.0044136644522814</x:v>
      </x:c>
      <x:c r="N31" s="228"/>
      <x:c r="O31" s="228"/>
      <x:c r="P31" s="228"/>
      <x:c r="Q31" s="228"/>
      <x:c r="R31" s="228"/>
      <x:c r="S31" s="228"/>
      <x:c r="T31" s="228"/>
      <x:c r="U31" s="228"/>
      <x:c r="V31" s="228"/>
      <x:c r="W31" s="228"/>
      <x:c r="X31" s="228"/>
      <x:c r="Y31" s="228"/>
      <x:c r="Z31" s="228"/>
      <x:c r="AA31" s="228"/>
      <x:c r="AB31" s="228"/>
      <x:c r="AC31" s="228"/>
    </x:row>
    <x:row r="32">
      <x:c r="A32" s="289" t="str">
        <x:v>Total Asset Turnover</x:v>
      </x:c>
      <x:c r="B32" s="289" t="str">
        <x:v>x</x:v>
      </x:c>
      <x:c r="C32" s="189" t="str">
        <x:v>Revenue / Average Total Assets</x:v>
      </x:c>
      <x:c r="D32" s="352" t="str">
        <x:f>IF(AND(ISNUMBER(D6),ISNUMBER(D29),D29&lt;&gt;0),D6/D29,"NA")</x:f>
        <x:v>NA</x:v>
      </x:c>
      <x:c r="E32" s="352" t="n">
        <x:f>IF(AND(ISNUMBER(E6),ISNUMBER(E29),E29&lt;&gt;0),E6/E29,"NA")</x:f>
        <x:v>0.5595010113082651</x:v>
      </x:c>
      <x:c r="F32" s="352" t="n">
        <x:f>IF(AND(ISNUMBER(F6),ISNUMBER(F29),F29&lt;&gt;0),F6/F29,"NA")</x:f>
        <x:v>0.6567748517617358</x:v>
      </x:c>
      <x:c r="G32" s="352" t="n">
        <x:f>IF(AND(ISNUMBER(G6),ISNUMBER(G29),G29&lt;&gt;0),G6/G29,"NA")</x:f>
        <x:v>0.6235640817639235</x:v>
      </x:c>
      <x:c r="H32" s="352" t="n">
        <x:f>IF(AND(ISNUMBER(H6),ISNUMBER(H29),H29&lt;&gt;0),H6/H29,"NA")</x:f>
        <x:v>0.646025008417924</x:v>
      </x:c>
      <x:c r="I32" s="352" t="n">
        <x:f>IF(AND(ISNUMBER(I6),ISNUMBER(I29),I29&lt;&gt;0),I6/I29,"NA")</x:f>
        <x:v>0.616296599154122</x:v>
      </x:c>
      <x:c r="J32" s="352" t="n">
        <x:f>IF(AND(ISNUMBER(J6),ISNUMBER(J29),J29&lt;&gt;0),J6/J29,"NA")</x:f>
        <x:v>0.5812890160613433</x:v>
      </x:c>
      <x:c r="K32" s="352" t="n">
        <x:f>IF(AND(ISNUMBER(K6),ISNUMBER(K29),K29&lt;&gt;0),K6/K29,"NA")</x:f>
        <x:v>0.5777265265647881</x:v>
      </x:c>
      <x:c r="L32" s="352" t="n">
        <x:f>IF(AND(ISNUMBER(L6),ISNUMBER(L29),L29&lt;&gt;0),L6/L29,"NA")</x:f>
        <x:v>0.5904211475459039</x:v>
      </x:c>
      <x:c r="M32" s="352" t="n">
        <x:f>IF(AND(ISNUMBER(M6),ISNUMBER(M29),M29&lt;&gt;0),M6/M29,"NA")</x:f>
        <x:v>0.6018498053038334</x:v>
      </x:c>
      <x:c r="N32" s="228"/>
      <x:c r="O32" s="228"/>
      <x:c r="P32" s="228"/>
      <x:c r="Q32" s="228"/>
      <x:c r="R32" s="228"/>
      <x:c r="S32" s="228"/>
      <x:c r="T32" s="228"/>
      <x:c r="U32" s="228"/>
      <x:c r="V32" s="228"/>
      <x:c r="W32" s="228"/>
      <x:c r="X32" s="228"/>
      <x:c r="Y32" s="228"/>
      <x:c r="Z32" s="228"/>
      <x:c r="AA32" s="228"/>
      <x:c r="AB32" s="228"/>
      <x:c r="AC32" s="228"/>
    </x:row>
    <x:row r="33">
      <x:c r="A33" s="289" t="str">
        <x:v>ROCE</x:v>
      </x:c>
      <x:c r="B33" s="289" t="str">
        <x:v>%</x:v>
      </x:c>
      <x:c r="C33" s="189" t="str">
        <x:v>EBIT / Average Capital Employed</x:v>
      </x:c>
      <x:c r="D33" s="242" t="str">
        <x:f>IF(AND(ISNUMBER(D9),ISNUMBER(D26),D26&lt;&gt;0),D9/D26,"NA")</x:f>
        <x:v>NA</x:v>
      </x:c>
      <x:c r="E33" s="242" t="n">
        <x:f>IF(AND(ISNUMBER(E9),ISNUMBER(E26),E26&lt;&gt;0),E9/E26,"NA")</x:f>
        <x:v>0.06255290372593973</x:v>
      </x:c>
      <x:c r="F33" s="242" t="n">
        <x:f>IF(AND(ISNUMBER(F9),ISNUMBER(F26),F26&lt;&gt;0),F9/F26,"NA")</x:f>
        <x:v>0.1136653308756456</x:v>
      </x:c>
      <x:c r="G33" s="242" t="n">
        <x:f>IF(AND(ISNUMBER(G9),ISNUMBER(G26),G26&lt;&gt;0),G9/G26,"NA")</x:f>
        <x:v>0.14966710829280883</x:v>
      </x:c>
      <x:c r="H33" s="242" t="n">
        <x:f>IF(AND(ISNUMBER(H9),ISNUMBER(H26),H26&lt;&gt;0),H9/H26,"NA")</x:f>
        <x:v>0.2118912148787094</x:v>
      </x:c>
      <x:c r="I33" s="242" t="n">
        <x:f>IF(AND(ISNUMBER(I9),ISNUMBER(I26),I26&lt;&gt;0),I9/I26,"NA")</x:f>
        <x:v>0.20106022282934938</x:v>
      </x:c>
      <x:c r="J33" s="242" t="n">
        <x:f>IF(AND(ISNUMBER(J9),ISNUMBER(J26),J26&lt;&gt;0),J9/J26,"NA")</x:f>
        <x:v>0.19148427650085495</x:v>
      </x:c>
      <x:c r="K33" s="242" t="n">
        <x:f>IF(AND(ISNUMBER(K9),ISNUMBER(K26),K26&lt;&gt;0),K9/K26,"NA")</x:f>
        <x:v>0.19359607623841357</x:v>
      </x:c>
      <x:c r="L33" s="242" t="n">
        <x:f>IF(AND(ISNUMBER(L9),ISNUMBER(L26),L26&lt;&gt;0),L9/L26,"NA")</x:f>
        <x:v>0.20549687792208793</x:v>
      </x:c>
      <x:c r="M33" s="242" t="n">
        <x:f>IF(AND(ISNUMBER(M9),ISNUMBER(M26),M26&lt;&gt;0),M9/M26,"NA")</x:f>
        <x:v>0.22391389153598876</x:v>
      </x:c>
      <x:c r="N33" s="228"/>
      <x:c r="O33" s="228"/>
      <x:c r="P33" s="228"/>
      <x:c r="Q33" s="228"/>
      <x:c r="R33" s="228"/>
      <x:c r="S33" s="228"/>
      <x:c r="T33" s="228"/>
      <x:c r="U33" s="228"/>
      <x:c r="V33" s="228"/>
      <x:c r="W33" s="228"/>
      <x:c r="X33" s="228"/>
      <x:c r="Y33" s="228"/>
      <x:c r="Z33" s="228"/>
      <x:c r="AA33" s="228"/>
      <x:c r="AB33" s="228"/>
      <x:c r="AC33" s="228"/>
    </x:row>
    <x:row r="34">
      <x:c r="A34" s="289" t="str">
        <x:v>ROA</x:v>
      </x:c>
      <x:c r="B34" s="289" t="str">
        <x:v>%</x:v>
      </x:c>
      <x:c r="C34" s="189" t="str">
        <x:v>PAT / Average Total Assets</x:v>
      </x:c>
      <x:c r="D34" s="242" t="str">
        <x:f>IF(AND(ISNUMBER(D10),ISNUMBER(D29),D29&lt;&gt;0),D10/D29,"NA")</x:f>
        <x:v>NA</x:v>
      </x:c>
      <x:c r="E34" s="242" t="n">
        <x:f>IF(AND(ISNUMBER(E10),ISNUMBER(E29),E29&lt;&gt;0),E10/E29,"NA")</x:f>
        <x:v>0.004591891146455824</x:v>
      </x:c>
      <x:c r="F34" s="242" t="n">
        <x:f>IF(AND(ISNUMBER(F10),ISNUMBER(F29),F29&lt;&gt;0),F10/F29,"NA")</x:f>
        <x:v>0.037119632358346616</x:v>
      </x:c>
      <x:c r="G34" s="242" t="n">
        <x:f>IF(AND(ISNUMBER(G10),ISNUMBER(G29),G29&lt;&gt;0),G10/G29,"NA")</x:f>
        <x:v>0.06260479316797761</x:v>
      </x:c>
      <x:c r="H34" s="242" t="n">
        <x:f>IF(AND(ISNUMBER(H10),ISNUMBER(H29),H29&lt;&gt;0),H10/H29,"NA")</x:f>
        <x:v>0.10285708391325524</x:v>
      </x:c>
      <x:c r="I34" s="242" t="n">
        <x:f>IF(AND(ISNUMBER(I10),ISNUMBER(I29),I29&lt;&gt;0),I10/I29,"NA")</x:f>
        <x:v>0.10245289755458808</x:v>
      </x:c>
      <x:c r="J34" s="242" t="n">
        <x:f>IF(AND(ISNUMBER(J10),ISNUMBER(J29),J29&lt;&gt;0),J10/J29,"NA")</x:f>
        <x:v>0.09472669754270556</x:v>
      </x:c>
      <x:c r="K34" s="242" t="n">
        <x:f>IF(AND(ISNUMBER(K10),ISNUMBER(K29),K29&lt;&gt;0),K10/K29,"NA")</x:f>
        <x:v>0.09462952019773567</x:v>
      </x:c>
      <x:c r="L34" s="242" t="n">
        <x:f>IF(AND(ISNUMBER(L10),ISNUMBER(L29),L29&lt;&gt;0),L10/L29,"NA")</x:f>
        <x:v>0.10099863751874891</x:v>
      </x:c>
      <x:c r="M34" s="242" t="n">
        <x:f>IF(AND(ISNUMBER(M10),ISNUMBER(M29),M29&lt;&gt;0),M10/M29,"NA")</x:f>
        <x:v>0.10908816722956932</x:v>
      </x:c>
      <x:c r="N34" s="228"/>
      <x:c r="O34" s="228"/>
      <x:c r="P34" s="228"/>
      <x:c r="Q34" s="228"/>
      <x:c r="R34" s="228"/>
      <x:c r="S34" s="228"/>
      <x:c r="T34" s="228"/>
      <x:c r="U34" s="228"/>
      <x:c r="V34" s="228"/>
      <x:c r="W34" s="228"/>
      <x:c r="X34" s="228"/>
      <x:c r="Y34" s="228"/>
      <x:c r="Z34" s="228"/>
      <x:c r="AA34" s="228"/>
      <x:c r="AB34" s="228"/>
      <x:c r="AC34" s="228"/>
    </x:row>
    <x:row r="35">
      <x:c r="A35" s="289" t="str">
        <x:v>EBITDA / Average Net PP&amp;E</x:v>
      </x:c>
      <x:c r="B35" s="289" t="str">
        <x:v>x</x:v>
      </x:c>
      <x:c r="C35" s="189" t="str">
        <x:v>Formula</x:v>
      </x:c>
      <x:c r="D35" s="352" t="str">
        <x:f>IF(AND(ISNUMBER(D8),ISNUMBER(D27),D27&lt;&gt;0),D8/D27,"NA")</x:f>
        <x:v>NA</x:v>
      </x:c>
      <x:c r="E35" s="352" t="n">
        <x:f>IF(AND(ISNUMBER(E8),ISNUMBER(E27),E27&lt;&gt;0),E8/E27,"NA")</x:f>
        <x:v>0.18296146248536055</x:v>
      </x:c>
      <x:c r="F35" s="352" t="n">
        <x:f>IF(AND(ISNUMBER(F8),ISNUMBER(F27),F27&lt;&gt;0),F8/F27,"NA")</x:f>
        <x:v>0.2738827811082344</x:v>
      </x:c>
      <x:c r="G35" s="352" t="n">
        <x:f>IF(AND(ISNUMBER(G8),ISNUMBER(G27),G27&lt;&gt;0),G8/G27,"NA")</x:f>
        <x:v>0.3215526529228758</x:v>
      </x:c>
      <x:c r="H35" s="352" t="n">
        <x:f>IF(AND(ISNUMBER(H8),ISNUMBER(H27),H27&lt;&gt;0),H8/H27,"NA")</x:f>
        <x:v>0.4023041498494707</x:v>
      </x:c>
      <x:c r="I35" s="352" t="n">
        <x:f>IF(AND(ISNUMBER(I8),ISNUMBER(I27),I27&lt;&gt;0),I8/I27,"NA")</x:f>
        <x:v>0.3923419533864261</x:v>
      </x:c>
      <x:c r="J35" s="352" t="n">
        <x:f>IF(AND(ISNUMBER(J8),ISNUMBER(J27),J27&lt;&gt;0),J8/J27,"NA")</x:f>
        <x:v>0.3816660960199327</x:v>
      </x:c>
      <x:c r="K35" s="352" t="n">
        <x:f>IF(AND(ISNUMBER(K8),ISNUMBER(K27),K27&lt;&gt;0),K8/K27,"NA")</x:f>
        <x:v>0.3493246791534336</x:v>
      </x:c>
      <x:c r="L35" s="352" t="n">
        <x:f>IF(AND(ISNUMBER(L8),ISNUMBER(L27),L27&lt;&gt;0),L8/L27,"NA")</x:f>
        <x:v>0.34431325841837773</x:v>
      </x:c>
      <x:c r="M35" s="352" t="n">
        <x:f>IF(AND(ISNUMBER(M8),ISNUMBER(M27),M27&lt;&gt;0),M8/M27,"NA")</x:f>
        <x:v>0.35715421553596177</x:v>
      </x:c>
      <x:c r="N35" s="228"/>
      <x:c r="O35" s="228"/>
      <x:c r="P35" s="228"/>
      <x:c r="Q35" s="228"/>
      <x:c r="R35" s="228"/>
      <x:c r="S35" s="228"/>
      <x:c r="T35" s="228"/>
      <x:c r="U35" s="228"/>
      <x:c r="V35" s="228"/>
      <x:c r="W35" s="228"/>
      <x:c r="X35" s="228"/>
      <x:c r="Y35" s="228"/>
      <x:c r="Z35" s="228"/>
      <x:c r="AA35" s="228"/>
      <x:c r="AB35" s="228"/>
      <x:c r="AC35" s="228"/>
    </x:row>
    <x:row r="36">
      <x:c r="A36" s="289" t="str">
        <x:v>EBIT / Average Net PP&amp;E</x:v>
      </x:c>
      <x:c r="B36" s="289" t="str">
        <x:v>x</x:v>
      </x:c>
      <x:c r="C36" s="189" t="str">
        <x:v>Formula</x:v>
      </x:c>
      <x:c r="D36" s="352" t="str">
        <x:f>IF(AND(ISNUMBER(D9),ISNUMBER(D27),D27&lt;&gt;0),D9/D27,"NA")</x:f>
        <x:v>NA</x:v>
      </x:c>
      <x:c r="E36" s="352" t="n">
        <x:f>IF(AND(ISNUMBER(E9),ISNUMBER(E27),E27&lt;&gt;0),E9/E27,"NA")</x:f>
        <x:v>0.09531387441002467</x:v>
      </x:c>
      <x:c r="F36" s="352" t="n">
        <x:f>IF(AND(ISNUMBER(F9),ISNUMBER(F27),F27&lt;&gt;0),F9/F27,"NA")</x:f>
        <x:v>0.16488635025858314</x:v>
      </x:c>
      <x:c r="G36" s="352" t="n">
        <x:f>IF(AND(ISNUMBER(G9),ISNUMBER(G27),G27&lt;&gt;0),G9/G27,"NA")</x:f>
        <x:v>0.2167090863970366</x:v>
      </x:c>
      <x:c r="H36" s="352" t="n">
        <x:f>IF(AND(ISNUMBER(H9),ISNUMBER(H27),H27&lt;&gt;0),H9/H27,"NA")</x:f>
        <x:v>0.30066301062880263</x:v>
      </x:c>
      <x:c r="I36" s="352" t="n">
        <x:f>IF(AND(ISNUMBER(I9),ISNUMBER(I27),I27&lt;&gt;0),I9/I27,"NA")</x:f>
        <x:v>0.3139207610852379</x:v>
      </x:c>
      <x:c r="J36" s="352" t="n">
        <x:f>IF(AND(ISNUMBER(J9),ISNUMBER(J27),J27&lt;&gt;0),J9/J27,"NA")</x:f>
        <x:v>0.30334481210609715</x:v>
      </x:c>
      <x:c r="K36" s="352" t="n">
        <x:f>IF(AND(ISNUMBER(K9),ISNUMBER(K27),K27&lt;&gt;0),K9/K27,"NA")</x:f>
        <x:v>0.271099777520733</x:v>
      </x:c>
      <x:c r="L36" s="352" t="n">
        <x:f>IF(AND(ISNUMBER(L9),ISNUMBER(L27),L27&lt;&gt;0),L9/L27,"NA")</x:f>
        <x:v>0.26613719666088625</x:v>
      </x:c>
      <x:c r="M36" s="352" t="n">
        <x:f>IF(AND(ISNUMBER(M9),ISNUMBER(M27),M27&lt;&gt;0),M9/M27,"NA")</x:f>
        <x:v>0.2790034291381519</x:v>
      </x:c>
      <x:c r="N36" s="228"/>
      <x:c r="O36" s="228"/>
      <x:c r="P36" s="228"/>
      <x:c r="Q36" s="228"/>
      <x:c r="R36" s="228"/>
      <x:c r="S36" s="228"/>
      <x:c r="T36" s="228"/>
      <x:c r="U36" s="228"/>
      <x:c r="V36" s="228"/>
      <x:c r="W36" s="228"/>
      <x:c r="X36" s="228"/>
      <x:c r="Y36" s="228"/>
      <x:c r="Z36" s="228"/>
      <x:c r="AA36" s="228"/>
      <x:c r="AB36" s="228"/>
      <x:c r="AC36" s="228"/>
    </x:row>
    <x:row r="37">
      <x:c r="A37" s="289" t="str">
        <x:v>CWIP / (Net PP&amp;E + CWIP)</x:v>
      </x:c>
      <x:c r="B37" s="289" t="str">
        <x:v>%</x:v>
      </x:c>
      <x:c r="C37" s="189" t="str">
        <x:v>Formula</x:v>
      </x:c>
      <x:c r="D37" s="242" t="n">
        <x:f>IF(AND(ISNUMBER(D18),ISNUMBER(D19),D19&lt;&gt;0),D18/D19,"NA")</x:f>
        <x:v>0.16369535608012564</x:v>
      </x:c>
      <x:c r="E37" s="242" t="n">
        <x:f>IF(AND(ISNUMBER(E18),ISNUMBER(E19),E19&lt;&gt;0),E18/E19,"NA")</x:f>
        <x:v>0.1283478822599427</x:v>
      </x:c>
      <x:c r="F37" s="242" t="n">
        <x:f>IF(AND(ISNUMBER(F18),ISNUMBER(F19),F19&lt;&gt;0),F18/F19,"NA")</x:f>
        <x:v>0.08397337550266583</x:v>
      </x:c>
      <x:c r="G37" s="242" t="n">
        <x:f>IF(AND(ISNUMBER(G18),ISNUMBER(G19),G19&lt;&gt;0),G18/G19,"NA")</x:f>
        <x:v>0.0776970081382834</x:v>
      </x:c>
      <x:c r="H37" s="242" t="n">
        <x:f>IF(AND(ISNUMBER(H18),ISNUMBER(H19),H19&lt;&gt;0),H18/H19,"NA")</x:f>
        <x:v>0.13007751177394036</x:v>
      </x:c>
      <x:c r="I37" s="242" t="n">
        <x:f>IF(AND(ISNUMBER(I18),ISNUMBER(I19),I19&lt;&gt;0),I18/I19,"NA")</x:f>
        <x:v>0.33250633245435335</x:v>
      </x:c>
      <x:c r="J37" s="242" t="n">
        <x:f>IF(AND(ISNUMBER(J18),ISNUMBER(J19),J19&lt;&gt;0),J18/J19,"NA")</x:f>
        <x:v>0.23697727218130962</x:v>
      </x:c>
      <x:c r="K37" s="242" t="n">
        <x:f>IF(AND(ISNUMBER(K18),ISNUMBER(K19),K19&lt;&gt;0),K18/K19,"NA")</x:f>
        <x:v>0.14858212132040302</x:v>
      </x:c>
      <x:c r="L37" s="242" t="n">
        <x:f>IF(AND(ISNUMBER(L18),ISNUMBER(L19),L19&lt;&gt;0),L18/L19,"NA")</x:f>
        <x:v>0.10151030890974118</x:v>
      </x:c>
      <x:c r="M37" s="242" t="n">
        <x:f>IF(AND(ISNUMBER(M18),ISNUMBER(M19),M19&lt;&gt;0),M18/M19,"NA")</x:f>
        <x:v>0.07605944282659138</x:v>
      </x:c>
      <x:c r="N37" s="228"/>
      <x:c r="O37" s="228"/>
      <x:c r="P37" s="228"/>
      <x:c r="Q37" s="228"/>
      <x:c r="R37" s="228"/>
      <x:c r="S37" s="228"/>
      <x:c r="T37" s="228"/>
      <x:c r="U37" s="228"/>
      <x:c r="V37" s="228"/>
      <x:c r="W37" s="228"/>
      <x:c r="X37" s="228"/>
      <x:c r="Y37" s="228"/>
      <x:c r="Z37" s="228"/>
      <x:c r="AA37" s="228"/>
      <x:c r="AB37" s="228"/>
      <x:c r="AC37" s="228"/>
    </x:row>
    <x:row r="38">
      <x:c r="A38" s="289" t="str">
        <x:v>D&amp;A / Average Net PP&amp;E</x:v>
      </x:c>
      <x:c r="B38" s="289" t="str">
        <x:v>%</x:v>
      </x:c>
      <x:c r="C38" s="189" t="str">
        <x:v>Formula</x:v>
      </x:c>
      <x:c r="D38" s="242" t="str">
        <x:f>IF(AND(ISNUMBER(D46),ISNUMBER(D27),D27&lt;&gt;0),D46/D27,"NA")</x:f>
        <x:v>NA</x:v>
      </x:c>
      <x:c r="E38" s="242" t="n">
        <x:f>IF(AND(ISNUMBER(E46),ISNUMBER(E27),E27&lt;&gt;0),E46/E27,"NA")</x:f>
        <x:v>0.09995747653921357</x:v>
      </x:c>
      <x:c r="F38" s="242" t="n">
        <x:f>IF(AND(ISNUMBER(F46),ISNUMBER(F27),F27&lt;&gt;0),F46/F27,"NA")</x:f>
        <x:v>0.10899643084965123</x:v>
      </x:c>
      <x:c r="G38" s="242" t="n">
        <x:f>IF(AND(ISNUMBER(G46),ISNUMBER(G27),G27&lt;&gt;0),G46/G27,"NA")</x:f>
        <x:v>0.10484356652583922</x:v>
      </x:c>
      <x:c r="H38" s="242" t="n">
        <x:f>IF(AND(ISNUMBER(H46),ISNUMBER(H27),H27&lt;&gt;0),H46/H27,"NA")</x:f>
        <x:v>0.10164113922066809</x:v>
      </x:c>
      <x:c r="I38" s="242" t="n">
        <x:f>IF(AND(ISNUMBER(I46),ISNUMBER(I27),I27&lt;&gt;0),I46/I27,"NA")</x:f>
        <x:v>0.0784211923011882</x:v>
      </x:c>
      <x:c r="J38" s="242" t="n">
        <x:f>IF(AND(ISNUMBER(J46),ISNUMBER(J27),J27&lt;&gt;0),J46/J27,"NA")</x:f>
        <x:v>0.0783212839138355</x:v>
      </x:c>
      <x:c r="K38" s="242" t="n">
        <x:f>IF(AND(ISNUMBER(K46),ISNUMBER(K27),K27&lt;&gt;0),K46/K27,"NA")</x:f>
        <x:v>0.0782249016327006</x:v>
      </x:c>
      <x:c r="L38" s="242" t="n">
        <x:f>IF(AND(ISNUMBER(L46),ISNUMBER(L27),L27&lt;&gt;0),L46/L27,"NA")</x:f>
        <x:v>0.07817606175749148</x:v>
      </x:c>
      <x:c r="M38" s="242" t="n">
        <x:f>IF(AND(ISNUMBER(M46),ISNUMBER(M27),M27&lt;&gt;0),M46/M27,"NA")</x:f>
        <x:v>0.07815078639780987</x:v>
      </x:c>
      <x:c r="N38" s="228"/>
      <x:c r="O38" s="228"/>
      <x:c r="P38" s="228"/>
      <x:c r="Q38" s="228"/>
      <x:c r="R38" s="228"/>
      <x:c r="S38" s="228"/>
      <x:c r="T38" s="228"/>
      <x:c r="U38" s="228"/>
      <x:c r="V38" s="228"/>
      <x:c r="W38" s="228"/>
      <x:c r="X38" s="228"/>
      <x:c r="Y38" s="228"/>
      <x:c r="Z38" s="228"/>
      <x:c r="AA38" s="228"/>
      <x:c r="AB38" s="228"/>
      <x:c r="AC38" s="228"/>
    </x:row>
    <x:row r="39">
      <x:c r="A39" s="289" t="str">
        <x:v>Capex / D&amp;A</x:v>
      </x:c>
      <x:c r="B39" s="289" t="str">
        <x:v>x</x:v>
      </x:c>
      <x:c r="C39" s="189" t="str">
        <x:v>Formula</x:v>
      </x:c>
      <x:c r="D39" s="352" t="str">
        <x:f>IF(AND(ISNUMBER(D11),ISNUMBER(D46),D46&lt;&gt;0),D11/D46,"NA")</x:f>
        <x:v>NA</x:v>
      </x:c>
      <x:c r="E39" s="352" t="str">
        <x:f>IF(AND(ISNUMBER(E11),ISNUMBER(E46),E46&lt;&gt;0),E11/E46,"NA")</x:f>
        <x:v>NA</x:v>
      </x:c>
      <x:c r="F39" s="352" t="n">
        <x:f>IF(AND(ISNUMBER(F11),ISNUMBER(F46),F46&lt;&gt;0),F11/F46,"NA")</x:f>
        <x:v>1.5212331290398207</x:v>
      </x:c>
      <x:c r="G39" s="352" t="n">
        <x:f>IF(AND(ISNUMBER(G11),ISNUMBER(G46),G46&lt;&gt;0),G11/G46,"NA")</x:f>
        <x:v>2.664876996240249</x:v>
      </x:c>
      <x:c r="H39" s="352" t="n">
        <x:f>IF(AND(ISNUMBER(H11),ISNUMBER(H46),H46&lt;&gt;0),H11/H46,"NA")</x:f>
        <x:v>3.5506646706586826</x:v>
      </x:c>
      <x:c r="I39" s="352" t="n">
        <x:f>IF(AND(ISNUMBER(I11),ISNUMBER(I46),I46&lt;&gt;0),I11/I46,"NA")</x:f>
        <x:v>7.856295265763738</x:v>
      </x:c>
      <x:c r="J39" s="352" t="n">
        <x:f>IF(AND(ISNUMBER(J11),ISNUMBER(J46),J46&lt;&gt;0),J11/J46,"NA")</x:f>
        <x:v>4.587327666603219</x:v>
      </x:c>
      <x:c r="K39" s="352" t="n">
        <x:f>IF(AND(ISNUMBER(K11),ISNUMBER(K46),K46&lt;&gt;0),K11/K46,"NA")</x:f>
        <x:v>2.9033949321332186</x:v>
      </x:c>
      <x:c r="L39" s="352" t="n">
        <x:f>IF(AND(ISNUMBER(L11),ISNUMBER(L46),L46&lt;&gt;0),L11/L46,"NA")</x:f>
        <x:v>2.111765280923698</x:v>
      </x:c>
      <x:c r="M39" s="352" t="n">
        <x:f>IF(AND(ISNUMBER(M11),ISNUMBER(M46),M46&lt;&gt;0),M11/M46,"NA")</x:f>
        <x:v>1.7559015304165158</x:v>
      </x:c>
      <x:c r="N39" s="228"/>
      <x:c r="O39" s="228"/>
      <x:c r="P39" s="228"/>
      <x:c r="Q39" s="228"/>
      <x:c r="R39" s="228"/>
      <x:c r="S39" s="228"/>
      <x:c r="T39" s="228"/>
      <x:c r="U39" s="228"/>
      <x:c r="V39" s="228"/>
      <x:c r="W39" s="228"/>
      <x:c r="X39" s="228"/>
      <x:c r="Y39" s="228"/>
      <x:c r="Z39" s="228"/>
      <x:c r="AA39" s="228"/>
      <x:c r="AB39" s="228"/>
      <x:c r="AC39" s="228"/>
    </x:row>
    <x:row r="40">
      <x:c r="A40" s="289" t="str">
        <x:v>Incremental Revenue / Incremental Net PP&amp;E</x:v>
      </x:c>
      <x:c r="B40" s="289" t="str">
        <x:v>x</x:v>
      </x:c>
      <x:c r="C40" s="189" t="str">
        <x:v>YoY incremental revenue / YoY incremental PP&amp;E</x:v>
      </x:c>
      <x:c r="D40" s="352" t="str">
        <x:f>"NA"</x:f>
        <x:v>NA</x:v>
      </x:c>
      <x:c r="E40" s="353" t="str">
        <x:v>NA</x:v>
      </x:c>
      <x:c r="F40" s="352" t="n">
        <x:f>IF(AND(ISNUMBER(F6),ISNUMBER(E6),ISNUMBER(F17),ISNUMBER(E17),(F17-E17)&lt;&gt;0),(F6-E6)/(F17-E17),"NA")</x:f>
        <x:v>1.7644261548748732</x:v>
      </x:c>
      <x:c r="G40" s="352" t="n">
        <x:f>IF(AND(ISNUMBER(G6),ISNUMBER(F6),ISNUMBER(G17),ISNUMBER(F17),(G17-F17)&lt;&gt;0),(G6-F6)/(G17-F17),"NA")</x:f>
        <x:v>0.7369124412119968</x:v>
      </x:c>
      <x:c r="H40" s="352" t="n">
        <x:f>IF(AND(ISNUMBER(H6),ISNUMBER(G6),ISNUMBER(H17),ISNUMBER(G17),(H17-G17)&lt;&gt;0),(H6-G6)/(H17-G17),"NA")</x:f>
        <x:v>1.5011814980127283</x:v>
      </x:c>
      <x:c r="I40" s="352" t="n">
        <x:f>IF(AND(ISNUMBER(I6),ISNUMBER(H6),ISNUMBER(I17),ISNUMBER(H17),(I17-H17)&lt;&gt;0),(I6-H6)/(I17-H17),"NA")</x:f>
        <x:v>1.5889420728667438</x:v>
      </x:c>
      <x:c r="J40" s="352" t="n">
        <x:f>IF(AND(ISNUMBER(J6),ISNUMBER(I6),ISNUMBER(J17),ISNUMBER(I17),(J17-I17)&lt;&gt;0),(J6-I6)/(J17-I17),"NA")</x:f>
        <x:v>0.647870991037259</x:v>
      </x:c>
      <x:c r="K40" s="352" t="n">
        <x:f>IF(AND(ISNUMBER(K6),ISNUMBER(J6),ISNUMBER(K17),ISNUMBER(J17),(K17-J17)&lt;&gt;0),(K6-J6)/(K17-J17),"NA")</x:f>
        <x:v>0.7174362058102767</x:v>
      </x:c>
      <x:c r="L40" s="352" t="n">
        <x:f>IF(AND(ISNUMBER(L6),ISNUMBER(K6),ISNUMBER(L17),ISNUMBER(K17),(L17-K17)&lt;&gt;0),(L6-K6)/(L17-K17),"NA")</x:f>
        <x:v>1.0697249381244722</x:v>
      </x:c>
      <x:c r="M40" s="352" t="n">
        <x:f>IF(AND(ISNUMBER(M6),ISNUMBER(L6),ISNUMBER(M17),ISNUMBER(L17),(M17-L17)&lt;&gt;0),(M6-L6)/(M17-L17),"NA")</x:f>
        <x:v>1.5364414460631066</x:v>
      </x:c>
      <x:c r="N40" s="228"/>
      <x:c r="O40" s="228"/>
      <x:c r="P40" s="228"/>
      <x:c r="Q40" s="228"/>
      <x:c r="R40" s="228"/>
      <x:c r="S40" s="228"/>
      <x:c r="T40" s="228"/>
      <x:c r="U40" s="228"/>
      <x:c r="V40" s="228"/>
      <x:c r="W40" s="228"/>
      <x:c r="X40" s="228"/>
      <x:c r="Y40" s="228"/>
      <x:c r="Z40" s="228"/>
      <x:c r="AA40" s="228"/>
      <x:c r="AB40" s="228"/>
      <x:c r="AC40" s="228"/>
    </x:row>
    <x:row r="41">
      <x:c r="A41" s="289" t="str">
        <x:v>Incremental EBITDA / Incremental Capital Employed</x:v>
      </x:c>
      <x:c r="B41" s="289" t="str">
        <x:v>x</x:v>
      </x:c>
      <x:c r="C41" s="189" t="str">
        <x:v>YoY incremental EBITDA / YoY incremental capital employed</x:v>
      </x:c>
      <x:c r="D41" s="352" t="str">
        <x:f>"NA"</x:f>
        <x:v>NA</x:v>
      </x:c>
      <x:c r="E41" s="353" t="str">
        <x:v>NA</x:v>
      </x:c>
      <x:c r="F41" s="352" t="n">
        <x:f>IF(AND(ISNUMBER(F8),ISNUMBER(E8),ISNUMBER(F25),ISNUMBER(E25),(F25-E25)&lt;&gt;0),(F8-E8)/(F25-E25),"NA")</x:f>
        <x:v>0.8193326859045503</x:v>
      </x:c>
      <x:c r="G41" s="352" t="n">
        <x:f>IF(AND(ISNUMBER(G8),ISNUMBER(F8),ISNUMBER(G25),ISNUMBER(F25),(G25-F25)&lt;&gt;0),(G8-F8)/(G25-F25),"NA")</x:f>
        <x:v>0.24767909309608271</x:v>
      </x:c>
      <x:c r="H41" s="352" t="n">
        <x:f>IF(AND(ISNUMBER(H8),ISNUMBER(G8),ISNUMBER(H25),ISNUMBER(G25),(H25-G25)&lt;&gt;0),(H8-G8)/(H25-G25),"NA")</x:f>
        <x:v>0.712930628224803</x:v>
      </x:c>
      <x:c r="I41" s="352" t="n">
        <x:f>IF(AND(ISNUMBER(I8),ISNUMBER(H8),ISNUMBER(I25),ISNUMBER(H25),(I25-H25)&lt;&gt;0),(I8-H8)/(I25-H25),"NA")</x:f>
        <x:v>0.09480637431299878</x:v>
      </x:c>
      <x:c r="J41" s="352" t="n">
        <x:f>IF(AND(ISNUMBER(J8),ISNUMBER(I8),ISNUMBER(J25),ISNUMBER(I25),(J25-I25)&lt;&gt;0),(J8-I8)/(J25-I25),"NA")</x:f>
        <x:v>0.2504290164528788</x:v>
      </x:c>
      <x:c r="K41" s="352" t="n">
        <x:f>IF(AND(ISNUMBER(K8),ISNUMBER(J8),ISNUMBER(K25),ISNUMBER(J25),(K25-J25)&lt;&gt;0),(K8-J8)/(K25-J25),"NA")</x:f>
        <x:v>0.36192964931442956</x:v>
      </x:c>
      <x:c r="L41" s="352" t="n">
        <x:f>IF(AND(ISNUMBER(L8),ISNUMBER(K8),ISNUMBER(L25),ISNUMBER(K25),(L25-K25)&lt;&gt;0),(L8-K8)/(L25-K25),"NA")</x:f>
        <x:v>0.5002099620324846</x:v>
      </x:c>
      <x:c r="M41" s="352" t="n">
        <x:f>IF(AND(ISNUMBER(M8),ISNUMBER(L8),ISNUMBER(M25),ISNUMBER(L25),(M25-L25)&lt;&gt;0),(M8-L8)/(M25-L25),"NA")</x:f>
        <x:v>0.7005622862598145</x:v>
      </x:c>
      <x:c r="N41" s="228"/>
      <x:c r="O41" s="228"/>
      <x:c r="P41" s="228"/>
      <x:c r="Q41" s="228"/>
      <x:c r="R41" s="228"/>
      <x:c r="S41" s="228"/>
      <x:c r="T41" s="228"/>
      <x:c r="U41" s="228"/>
      <x:c r="V41" s="228"/>
      <x:c r="W41" s="228"/>
      <x:c r="X41" s="228"/>
      <x:c r="Y41" s="228"/>
      <x:c r="Z41" s="228"/>
      <x:c r="AA41" s="228"/>
      <x:c r="AB41" s="228"/>
      <x:c r="AC41" s="228"/>
    </x:row>
    <x:row r="42">
      <x:c r="A42" s="289" t="str">
        <x:v>Incremental Revenue / Growth Capex – 1Y lag</x:v>
      </x:c>
      <x:c r="B42" s="289" t="str">
        <x:v>x</x:v>
      </x:c>
      <x:c r="C42" s="189" t="str">
        <x:v>YoY incremental revenue / prior-year growth capex</x:v>
      </x:c>
      <x:c r="D42" s="352" t="str">
        <x:f>"NA"</x:f>
        <x:v>NA</x:v>
      </x:c>
      <x:c r="E42" s="352" t="str">
        <x:f>IF(AND(ISNUMBER(E6),ISNUMBER(D6),ISNUMBER(D16),D16&lt;&gt;0),(E6-D6)/D16,"NA")</x:f>
        <x:v>NA</x:v>
      </x:c>
      <x:c r="F42" s="352" t="str">
        <x:f>IF(AND(ISNUMBER(F6),ISNUMBER(E6),ISNUMBER(E16),E16&lt;&gt;0),(F6-E6)/E16,"NA")</x:f>
        <x:v>NA</x:v>
      </x:c>
      <x:c r="G42" s="352" t="str">
        <x:f>IF(AND(ISNUMBER(G6),ISNUMBER(F6),ISNUMBER(F16),F16&lt;&gt;0),(G6-F6)/F16,"NA")</x:f>
        <x:v>NA</x:v>
      </x:c>
      <x:c r="H42" s="352" t="str">
        <x:f>IF(AND(ISNUMBER(H6),ISNUMBER(G6),ISNUMBER(G16),G16&lt;&gt;0),(H6-G6)/G16,"NA")</x:f>
        <x:v>NA</x:v>
      </x:c>
      <x:c r="I42" s="352" t="str">
        <x:f>IF(AND(ISNUMBER(I6),ISNUMBER(H6),ISNUMBER(H16),H16&lt;&gt;0),(I6-H6)/H16,"NA")</x:f>
        <x:v>NA</x:v>
      </x:c>
      <x:c r="J42" s="352" t="n">
        <x:f>IF(AND(ISNUMBER(J6),ISNUMBER(I6),ISNUMBER(I16),I16&lt;&gt;0),(J6-I6)/I16,"NA")</x:f>
        <x:v>0.4778008750840315</x:v>
      </x:c>
      <x:c r="K42" s="352" t="n">
        <x:f>IF(AND(ISNUMBER(K6),ISNUMBER(J6),ISNUMBER(J16),J16&lt;&gt;0),(K6-J6)/J16,"NA")</x:f>
        <x:v>0.6628093523651395</x:v>
      </x:c>
      <x:c r="L42" s="352" t="n">
        <x:f>IF(AND(ISNUMBER(L6),ISNUMBER(K6),ISNUMBER(K16),K16&lt;&gt;0),(L6-K6)/K16,"NA")</x:f>
        <x:v>0.8334426849640211</x:v>
      </x:c>
      <x:c r="M42" s="352" t="n">
        <x:f>IF(AND(ISNUMBER(M6),ISNUMBER(L6),ISNUMBER(L16),L16&lt;&gt;0),(M6-L6)/L16,"NA")</x:f>
        <x:v>1.0133706805446416</x:v>
      </x:c>
      <x:c r="N42" s="228"/>
      <x:c r="O42" s="228"/>
      <x:c r="P42" s="228"/>
      <x:c r="Q42" s="228"/>
      <x:c r="R42" s="228"/>
      <x:c r="S42" s="228"/>
      <x:c r="T42" s="228"/>
      <x:c r="U42" s="228"/>
      <x:c r="V42" s="228"/>
      <x:c r="W42" s="228"/>
      <x:c r="X42" s="228"/>
      <x:c r="Y42" s="228"/>
      <x:c r="Z42" s="228"/>
      <x:c r="AA42" s="228"/>
      <x:c r="AB42" s="228"/>
      <x:c r="AC42" s="228"/>
    </x:row>
    <x:row r="43">
      <x:c r="A43" s="289" t="str">
        <x:v>Incremental Revenue / Growth Capex – 2Y lag</x:v>
      </x:c>
      <x:c r="B43" s="289" t="str">
        <x:v>x</x:v>
      </x:c>
      <x:c r="C43" s="189" t="str">
        <x:v>YoY incremental revenue / growth capex two years prior</x:v>
      </x:c>
      <x:c r="D43" s="352" t="str">
        <x:f>"NA"</x:f>
        <x:v>NA</x:v>
      </x:c>
      <x:c r="E43" s="352" t="str">
        <x:f>"NA"</x:f>
        <x:v>NA</x:v>
      </x:c>
      <x:c r="F43" s="352" t="str">
        <x:f>IF(AND(ISNUMBER(F6),ISNUMBER(E6),ISNUMBER(D16),D16&lt;&gt;0),(F6-E6)/D16,"NA")</x:f>
        <x:v>NA</x:v>
      </x:c>
      <x:c r="G43" s="352" t="str">
        <x:f>IF(AND(ISNUMBER(G6),ISNUMBER(F6),ISNUMBER(E16),E16&lt;&gt;0),(G6-F6)/E16,"NA")</x:f>
        <x:v>NA</x:v>
      </x:c>
      <x:c r="H43" s="352" t="str">
        <x:f>IF(AND(ISNUMBER(H6),ISNUMBER(G6),ISNUMBER(F16),F16&lt;&gt;0),(H6-G6)/F16,"NA")</x:f>
        <x:v>NA</x:v>
      </x:c>
      <x:c r="I43" s="352" t="str">
        <x:f>IF(AND(ISNUMBER(I6),ISNUMBER(H6),ISNUMBER(G16),G16&lt;&gt;0),(I6-H6)/G16,"NA")</x:f>
        <x:v>NA</x:v>
      </x:c>
      <x:c r="J43" s="352" t="str">
        <x:f>IF(AND(ISNUMBER(J6),ISNUMBER(I6),ISNUMBER(H16),H16&lt;&gt;0),(J6-I6)/H16,"NA")</x:f>
        <x:v>NA</x:v>
      </x:c>
      <x:c r="K43" s="352" t="n">
        <x:f>IF(AND(ISNUMBER(K6),ISNUMBER(J6),ISNUMBER(I16),I16&lt;&gt;0),(K6-J6)/I16,"NA")</x:f>
        <x:v>0.47956995033805117</x:v>
      </x:c>
      <x:c r="L43" s="352" t="n">
        <x:f>IF(AND(ISNUMBER(L6),ISNUMBER(K6),ISNUMBER(J16),J16&lt;&gt;0),(L6-K6)/J16,"NA")</x:f>
        <x:v>0.6672859373150293</x:v>
      </x:c>
      <x:c r="M43" s="352" t="n">
        <x:f>IF(AND(ISNUMBER(M6),ISNUMBER(L6),ISNUMBER(K16),K16&lt;&gt;0),(M6-L6)/K16,"NA")</x:f>
        <x:v>0.8380170340241324</x:v>
      </x:c>
      <x:c r="N43" s="228"/>
      <x:c r="O43" s="228"/>
      <x:c r="P43" s="228"/>
      <x:c r="Q43" s="228"/>
      <x:c r="R43" s="228"/>
      <x:c r="S43" s="228"/>
      <x:c r="T43" s="228"/>
      <x:c r="U43" s="228"/>
      <x:c r="V43" s="228"/>
      <x:c r="W43" s="228"/>
      <x:c r="X43" s="228"/>
      <x:c r="Y43" s="228"/>
      <x:c r="Z43" s="228"/>
      <x:c r="AA43" s="228"/>
      <x:c r="AB43" s="228"/>
      <x:c r="AC43" s="228"/>
    </x:row>
    <x:row r="44">
      <x:c r="A44" s="288" t="str">
        <x:v>Company-reported ROCE</x:v>
      </x:c>
      <x:c r="B44" s="288" t="str">
        <x:v>%</x:v>
      </x:c>
      <x:c r="C44" s="182" t="str">
        <x:v>Company 5-year KPI trend; definition differs from our formula</x:v>
      </x:c>
      <x:c r="D44" s="246" t="n">
        <x:v>0.032</x:v>
      </x:c>
      <x:c r="E44" s="246" t="n">
        <x:v>0.051</x:v>
      </x:c>
      <x:c r="F44" s="246" t="n">
        <x:v>0.103</x:v>
      </x:c>
      <x:c r="G44" s="246" t="n">
        <x:v>0.123</x:v>
      </x:c>
      <x:c r="H44" s="246" t="n">
        <x:v>0.182</x:v>
      </x:c>
      <x:c r="I44" s="246"/>
      <x:c r="J44" s="246"/>
      <x:c r="K44" s="246"/>
      <x:c r="L44" s="246"/>
      <x:c r="M44" s="246"/>
      <x:c r="N44" s="228"/>
      <x:c r="O44" s="228"/>
      <x:c r="P44" s="228"/>
      <x:c r="Q44" s="228"/>
      <x:c r="R44" s="228"/>
      <x:c r="S44" s="228"/>
      <x:c r="T44" s="228"/>
      <x:c r="U44" s="228"/>
      <x:c r="V44" s="228"/>
      <x:c r="W44" s="228"/>
      <x:c r="X44" s="228"/>
      <x:c r="Y44" s="228"/>
      <x:c r="Z44" s="228"/>
      <x:c r="AA44" s="228"/>
      <x:c r="AB44" s="228"/>
      <x:c r="AC44" s="228"/>
    </x:row>
    <x:row r="45">
      <x:c r="A45" s="288" t="str">
        <x:v>Company-reported Net Fixed Asset Turnover</x:v>
      </x:c>
      <x:c r="B45" s="288" t="str">
        <x:v>x</x:v>
      </x:c>
      <x:c r="C45" s="182" t="str">
        <x:v>Company 5-year KPI trend; definition differs from our denominator</x:v>
      </x:c>
      <x:c r="D45" s="354" t="n">
        <x:v>0.9</x:v>
      </x:c>
      <x:c r="E45" s="354" t="n">
        <x:v>1.2</x:v>
      </x:c>
      <x:c r="F45" s="354" t="n">
        <x:v>1.2</x:v>
      </x:c>
      <x:c r="G45" s="354" t="n">
        <x:v>1.1</x:v>
      </x:c>
      <x:c r="H45" s="354" t="n">
        <x:v>1.2</x:v>
      </x:c>
      <x:c r="I45" s="354"/>
      <x:c r="J45" s="354"/>
      <x:c r="K45" s="354"/>
      <x:c r="L45" s="354"/>
      <x:c r="M45" s="354"/>
      <x:c r="N45" s="228"/>
      <x:c r="O45" s="228"/>
      <x:c r="P45" s="228"/>
      <x:c r="Q45" s="228"/>
      <x:c r="R45" s="228"/>
      <x:c r="S45" s="228"/>
      <x:c r="T45" s="228"/>
      <x:c r="U45" s="228"/>
      <x:c r="V45" s="228"/>
      <x:c r="W45" s="228"/>
      <x:c r="X45" s="228"/>
      <x:c r="Y45" s="228"/>
      <x:c r="Z45" s="228"/>
      <x:c r="AA45" s="228"/>
      <x:c r="AB45" s="228"/>
      <x:c r="AC45" s="228"/>
    </x:row>
    <x:row r="46">
      <x:c r="A46" s="288" t="str">
        <x:v>Depreciation &amp; amortisation</x:v>
      </x:c>
      <x:c r="B46" s="288" t="str">
        <x:v>INR mn</x:v>
      </x:c>
      <x:c r="C46" s="182" t="str">
        <x:v>Restated / audited actual; forecast from current model</x:v>
      </x:c>
      <x:c r="D46" s="235" t="n">
        <x:v>901.602</x:v>
      </x:c>
      <x:c r="E46" s="235" t="n">
        <x:v>994.322</x:v>
      </x:c>
      <x:c r="F46" s="235" t="n">
        <x:v>1194.36</x:v>
      </x:c>
      <x:c r="G46" s="235" t="n">
        <x:v>1385.73</x:v>
      </x:c>
      <x:c r="H46" s="235" t="n">
        <x:v>1670</x:v>
      </x:c>
      <x:c r="I46" s="235" t="n">
        <x:v>1527.4375</x:v>
      </x:c>
      <x:c r="J46" s="235" t="n">
        <x:v>1961.9265625</x:v>
      </x:c>
      <x:c r="K46" s="235" t="n">
        <x:v>2583.1828515625</x:v>
      </x:c>
      <x:c r="L46" s="235" t="n">
        <x:v>3077.9935908203124</x:v>
      </x:c>
      <x:c r="M46" s="235" t="n">
        <x:v>3417.048106665039</x:v>
      </x:c>
      <x:c r="N46" s="228"/>
      <x:c r="O46" s="228"/>
      <x:c r="P46" s="228"/>
      <x:c r="Q46" s="228"/>
      <x:c r="R46" s="228"/>
      <x:c r="S46" s="228"/>
      <x:c r="T46" s="228"/>
      <x:c r="U46" s="228"/>
      <x:c r="V46" s="228"/>
      <x:c r="W46" s="228"/>
      <x:c r="X46" s="228"/>
      <x:c r="Y46" s="228"/>
      <x:c r="Z46" s="228"/>
      <x:c r="AA46" s="228"/>
      <x:c r="AB46" s="228"/>
      <x:c r="AC46" s="228"/>
    </x:row>
    <x:row r="47">
      <x:c r="A47" s="282"/>
      <x:c r="B47" s="282"/>
      <x:c r="C47" s="282"/>
      <x:c r="D47" s="228"/>
      <x:c r="E47" s="228"/>
      <x:c r="F47" s="228"/>
      <x:c r="G47" s="228"/>
      <x:c r="H47" s="228"/>
      <x:c r="I47" s="228"/>
      <x:c r="J47" s="228"/>
      <x:c r="K47" s="228"/>
      <x:c r="L47" s="228"/>
      <x:c r="M47" s="228"/>
      <x:c r="N47" s="228"/>
      <x:c r="O47" s="228"/>
      <x:c r="P47" s="228"/>
      <x:c r="Q47" s="228"/>
      <x:c r="R47" s="228"/>
      <x:c r="S47" s="228"/>
      <x:c r="T47" s="228"/>
      <x:c r="U47" s="228"/>
      <x:c r="V47" s="228"/>
      <x:c r="W47" s="228"/>
      <x:c r="X47" s="228"/>
      <x:c r="Y47" s="228"/>
      <x:c r="Z47" s="228"/>
      <x:c r="AA47" s="228"/>
      <x:c r="AB47" s="228"/>
      <x:c r="AC47" s="228"/>
    </x:row>
    <x:row r="48">
      <x:c r="A48" s="282"/>
      <x:c r="B48" s="282"/>
      <x:c r="C48" s="282"/>
      <x:c r="D48" s="228"/>
      <x:c r="E48" s="228"/>
      <x:c r="F48" s="228"/>
      <x:c r="G48" s="228"/>
      <x:c r="H48" s="228"/>
      <x:c r="I48" s="228"/>
      <x:c r="J48" s="228"/>
      <x:c r="K48" s="228"/>
      <x:c r="L48" s="228"/>
      <x:c r="M48" s="228"/>
      <x:c r="N48" s="228"/>
      <x:c r="O48" s="228"/>
      <x:c r="P48" s="228"/>
      <x:c r="Q48" s="228"/>
      <x:c r="R48" s="228"/>
      <x:c r="S48" s="228"/>
      <x:c r="T48" s="228"/>
      <x:c r="U48" s="228"/>
      <x:c r="V48" s="228"/>
      <x:c r="W48" s="228"/>
      <x:c r="X48" s="228"/>
      <x:c r="Y48" s="228"/>
      <x:c r="Z48" s="228"/>
      <x:c r="AA48" s="228"/>
      <x:c r="AB48" s="228"/>
      <x:c r="AC48" s="228"/>
    </x:row>
    <x:row r="49" ht="20" customHeight="1">
      <x:c r="A49" s="283" t="str">
        <x:v>B. Capex Project / Capability Register</x:v>
      </x:c>
      <x:c r="B49" s="283" t="str">
        <x:v>B. Capex Project / Capability Register</x:v>
      </x:c>
      <x:c r="C49" s="283" t="str">
        <x:v>B. Capex Project / Capability Register</x:v>
      </x:c>
      <x:c r="D49" s="283" t="str">
        <x:v>B. Capex Project / Capability Register</x:v>
      </x:c>
      <x:c r="E49" s="283" t="str">
        <x:v>B. Capex Project / Capability Register</x:v>
      </x:c>
      <x:c r="F49" s="283" t="str">
        <x:v>B. Capex Project / Capability Register</x:v>
      </x:c>
      <x:c r="G49" s="283" t="str">
        <x:v>B. Capex Project / Capability Register</x:v>
      </x:c>
      <x:c r="H49" s="283" t="str">
        <x:v>B. Capex Project / Capability Register</x:v>
      </x:c>
      <x:c r="I49" s="283" t="str">
        <x:v>B. Capex Project / Capability Register</x:v>
      </x:c>
      <x:c r="J49" s="283" t="str">
        <x:v>B. Capex Project / Capability Register</x:v>
      </x:c>
      <x:c r="K49" s="283" t="str">
        <x:v>B. Capex Project / Capability Register</x:v>
      </x:c>
      <x:c r="L49" s="283" t="str">
        <x:v>B. Capex Project / Capability Register</x:v>
      </x:c>
      <x:c r="M49" s="283" t="str">
        <x:v>B. Capex Project / Capability Register</x:v>
      </x:c>
      <x:c r="N49" s="283" t="str">
        <x:v>B. Capex Project / Capability Register</x:v>
      </x:c>
      <x:c r="O49" s="283" t="str">
        <x:v>B. Capex Project / Capability Register</x:v>
      </x:c>
      <x:c r="P49" s="283" t="str">
        <x:v>B. Capex Project / Capability Register</x:v>
      </x:c>
      <x:c r="Q49" s="283" t="str">
        <x:v>B. Capex Project / Capability Register</x:v>
      </x:c>
      <x:c r="R49" s="283" t="str">
        <x:v>B. Capex Project / Capability Register</x:v>
      </x:c>
      <x:c r="S49" s="283" t="str">
        <x:v>B. Capex Project / Capability Register</x:v>
      </x:c>
      <x:c r="T49" s="283" t="str">
        <x:v>B. Capex Project / Capability Register</x:v>
      </x:c>
      <x:c r="U49" s="283" t="str">
        <x:v>B. Capex Project / Capability Register</x:v>
      </x:c>
      <x:c r="V49" s="283" t="str">
        <x:v>B. Capex Project / Capability Register</x:v>
      </x:c>
      <x:c r="W49" s="283" t="str">
        <x:v>B. Capex Project / Capability Register</x:v>
      </x:c>
      <x:c r="X49" s="283" t="str">
        <x:v>B. Capex Project / Capability Register</x:v>
      </x:c>
      <x:c r="Y49" s="283" t="str">
        <x:v>B. Capex Project / Capability Register</x:v>
      </x:c>
      <x:c r="Z49" s="283" t="str">
        <x:v>B. Capex Project / Capability Register</x:v>
      </x:c>
      <x:c r="AA49" s="283" t="str">
        <x:v>B. Capex Project / Capability Register</x:v>
      </x:c>
      <x:c r="AB49" s="283" t="str">
        <x:v>B. Capex Project / Capability Register</x:v>
      </x:c>
      <x:c r="AC49" s="283" t="str">
        <x:v>B. Capex Project / Capability Register</x:v>
      </x:c>
    </x:row>
    <x:row r="50" ht="45" customHeight="1">
      <x:c r="A50" s="24" t="str">
        <x:v>Announcement date</x:v>
      </x:c>
      <x:c r="B50" s="24" t="str">
        <x:v>Announcement quarter</x:v>
      </x:c>
      <x:c r="C50" s="24" t="str">
        <x:v>Site / location</x:v>
      </x:c>
      <x:c r="D50" s="24" t="str">
        <x:v>Business segment</x:v>
      </x:c>
      <x:c r="E50" s="24" t="str">
        <x:v>Capex category</x:v>
      </x:c>
      <x:c r="F50" s="24" t="str">
        <x:v>Capability</x:v>
      </x:c>
      <x:c r="G50" s="24" t="str">
        <x:v>Description</x:v>
      </x:c>
      <x:c r="H50" s="24" t="str">
        <x:v>Maintenance vs growth</x:v>
      </x:c>
      <x:c r="I50" s="24" t="str">
        <x:v>Capacity vs capability</x:v>
      </x:c>
      <x:c r="J50" s="24" t="str">
        <x:v>Announced investment</x:v>
      </x:c>
      <x:c r="K50" s="24" t="str">
        <x:v>Revised investment</x:v>
      </x:c>
      <x:c r="L50" s="24" t="str">
        <x:v>Spend to date</x:v>
      </x:c>
      <x:c r="M50" s="24" t="str">
        <x:v>Remaining spend</x:v>
      </x:c>
      <x:c r="N50" s="24" t="str">
        <x:v>Capacity added</x:v>
      </x:c>
      <x:c r="O50" s="24" t="str">
        <x:v>Capacity unit</x:v>
      </x:c>
      <x:c r="P50" s="24" t="str">
        <x:v>Start of construction</x:v>
      </x:c>
      <x:c r="Q50" s="24" t="str">
        <x:v>Expected commissioning</x:v>
      </x:c>
      <x:c r="R50" s="24" t="str">
        <x:v>Actual commissioning</x:v>
      </x:c>
      <x:c r="S50" s="24" t="str">
        <x:v>Qualification / validation period</x:v>
      </x:c>
      <x:c r="T50" s="24" t="str">
        <x:v>Expected revenue contribution start</x:v>
      </x:c>
      <x:c r="U50" s="24" t="str">
        <x:v>Expected steady-state utilisation year</x:v>
      </x:c>
      <x:c r="V50" s="24" t="str">
        <x:v>Current status</x:v>
      </x:c>
      <x:c r="W50" s="24" t="str">
        <x:v>Customer / molecule pipeline support</x:v>
      </x:c>
      <x:c r="X50" s="24" t="str">
        <x:v>Management rationale</x:v>
      </x:c>
      <x:c r="Y50" s="24" t="str">
        <x:v>Analyst interpretation</x:v>
      </x:c>
      <x:c r="Z50" s="24" t="str">
        <x:v>Major execution risk</x:v>
      </x:c>
      <x:c r="AA50" s="24" t="str">
        <x:v>Source</x:v>
      </x:c>
      <x:c r="AB50" s="24" t="str">
        <x:v>Page / slide</x:v>
      </x:c>
      <x:c r="AC50" s="24" t="str">
        <x:v>Confidence</x:v>
      </x:c>
    </x:row>
    <x:row r="51" ht="72" customHeight="1">
      <x:c r="A51" s="196" t="str">
        <x:v>Nov-2024</x:v>
      </x:c>
      <x:c r="B51" s="196" t="str">
        <x:v>Q3 FY25</x:v>
      </x:c>
      <x:c r="C51" s="196" t="str">
        <x:v>Bidar, Unit IV</x:v>
      </x:c>
      <x:c r="D51" s="196" t="str">
        <x:v>CDMO</x:v>
      </x:c>
      <x:c r="E51" s="196" t="str">
        <x:v>Manufacturing capacity</x:v>
      </x:c>
      <x:c r="F51" s="196" t="str">
        <x:v>Multi-purpose API capacity</x:v>
      </x:c>
      <x:c r="G51" s="196" t="str">
        <x:v>+100 KL manufacturing capacity added in Nov-24</x:v>
      </x:c>
      <x:c r="H51" s="196" t="str">
        <x:v>Growth</x:v>
      </x:c>
      <x:c r="I51" s="196" t="str">
        <x:v>Capacity capex</x:v>
      </x:c>
      <x:c r="J51" s="196" t="str">
        <x:v>Not Disclosed</x:v>
      </x:c>
      <x:c r="K51" s="196" t="str">
        <x:v>Not Disclosed</x:v>
      </x:c>
      <x:c r="L51" s="196" t="str">
        <x:v>Not Disclosed</x:v>
      </x:c>
      <x:c r="M51" s="196" t="str">
        <x:v>Not Disclosed</x:v>
      </x:c>
      <x:c r="N51" s="196" t="n">
        <x:v>100</x:v>
      </x:c>
      <x:c r="O51" s="196" t="str">
        <x:v>KL</x:v>
      </x:c>
      <x:c r="P51" s="196" t="str">
        <x:v>Not Disclosed</x:v>
      </x:c>
      <x:c r="Q51" s="196" t="str">
        <x:v>Nov-2024</x:v>
      </x:c>
      <x:c r="R51" s="196" t="str">
        <x:v>Nov-2024</x:v>
      </x:c>
      <x:c r="S51" s="196" t="str">
        <x:v>Customer / campaign specific; not disclosed</x:v>
      </x:c>
      <x:c r="T51" s="196" t="str">
        <x:v>Post-commissioning; not separately disclosed</x:v>
      </x:c>
      <x:c r="U51" s="196" t="str">
        <x:v>Not Disclosed</x:v>
      </x:c>
      <x:c r="V51" s="196" t="str">
        <x:v>Commissioned</x:v>
      </x:c>
      <x:c r="W51" s="196" t="str">
        <x:v>Existing CDMO demand; no project-specific commitment disclosed</x:v>
      </x:c>
      <x:c r="X51" s="196" t="str">
        <x:v>Expand manufacturing capacity</x:v>
      </x:c>
      <x:c r="Y51" s="196" t="str">
        <x:v>Adds near-term volume ceiling; monetisation should be tested against utilisation after commissioning</x:v>
      </x:c>
      <x:c r="Z51" s="196" t="str">
        <x:v>Under-absorption / campaign timing</x:v>
      </x:c>
      <x:c r="AA51" s="313" t="str">
        <x:v>FY25 Q3 Investor Presentation</x:v>
      </x:c>
      <x:c r="AB51" s="313" t="str">
        <x:v>Slide 7</x:v>
      </x:c>
      <x:c r="AC51" s="313" t="str">
        <x:v>High</x:v>
      </x:c>
    </x:row>
    <x:row r="52" ht="72" customHeight="1">
      <x:c r="A52" s="196" t="str">
        <x:v>Feb-2025</x:v>
      </x:c>
      <x:c r="B52" s="196" t="str">
        <x:v>Q3 FY25</x:v>
      </x:c>
      <x:c r="C52" s="196" t="str">
        <x:v>Hyderabad R&amp;D campus</x:v>
      </x:c>
      <x:c r="D52" s="196" t="str">
        <x:v>CRO / Discovery</x:v>
      </x:c>
      <x:c r="E52" s="196" t="str">
        <x:v>Chemistry laboratories</x:v>
      </x:c>
      <x:c r="F52" s="196" t="str">
        <x:v>Discovery chemistry capacity</x:v>
      </x:c>
      <x:c r="G52" s="196" t="str">
        <x:v>Discovery R&amp;D lab space for chemistry expanded by 15%</x:v>
      </x:c>
      <x:c r="H52" s="196" t="str">
        <x:v>Growth</x:v>
      </x:c>
      <x:c r="I52" s="196" t="str">
        <x:v>Capacity capex</x:v>
      </x:c>
      <x:c r="J52" s="196" t="str">
        <x:v>Not Disclosed</x:v>
      </x:c>
      <x:c r="K52" s="196" t="str">
        <x:v>Not Disclosed</x:v>
      </x:c>
      <x:c r="L52" s="196" t="str">
        <x:v>Not Disclosed</x:v>
      </x:c>
      <x:c r="M52" s="196" t="str">
        <x:v>Not Disclosed</x:v>
      </x:c>
      <x:c r="N52" s="196" t="n">
        <x:v>15</x:v>
      </x:c>
      <x:c r="O52" s="196" t="str">
        <x:v>% lab space</x:v>
      </x:c>
      <x:c r="P52" s="196" t="str">
        <x:v>Not Disclosed</x:v>
      </x:c>
      <x:c r="Q52" s="196" t="str">
        <x:v>By 9M FY25</x:v>
      </x:c>
      <x:c r="R52" s="196" t="str">
        <x:v>By 9M FY25</x:v>
      </x:c>
      <x:c r="S52" s="196" t="str">
        <x:v>Scientist hiring / onboarding</x:v>
      </x:c>
      <x:c r="T52" s="196" t="str">
        <x:v>As scientists become billable</x:v>
      </x:c>
      <x:c r="U52" s="196" t="str">
        <x:v>Not Disclosed</x:v>
      </x:c>
      <x:c r="V52" s="196" t="str">
        <x:v>Completed</x:v>
      </x:c>
      <x:c r="W52" s="196" t="str">
        <x:v>No customer-specific backing disclosed</x:v>
      </x:c>
      <x:c r="X52" s="196" t="str">
        <x:v>Support higher discovery throughput</x:v>
      </x:c>
      <x:c r="Y52" s="196" t="str">
        <x:v>Useful only if scientist hiring and utilisation follow; not a direct revenue proxy</x:v>
      </x:c>
      <x:c r="Z52" s="196" t="str">
        <x:v>Hiring / utilisation lag</x:v>
      </x:c>
      <x:c r="AA52" s="313" t="str">
        <x:v>FY25 Q3 Investor Presentation</x:v>
      </x:c>
      <x:c r="AB52" s="313" t="str">
        <x:v>Slide 7</x:v>
      </x:c>
      <x:c r="AC52" s="313" t="str">
        <x:v>High</x:v>
      </x:c>
    </x:row>
    <x:row r="53" ht="72" customHeight="1">
      <x:c r="A53" s="196" t="str">
        <x:v>May-2025</x:v>
      </x:c>
      <x:c r="B53" s="196" t="str">
        <x:v>Q4 FY25</x:v>
      </x:c>
      <x:c r="C53" s="196" t="str">
        <x:v>Hyderabad R&amp;D campus</x:v>
      </x:c>
      <x:c r="D53" s="196" t="str">
        <x:v>CRO / Discovery</x:v>
      </x:c>
      <x:c r="E53" s="196" t="str">
        <x:v>New modality</x:v>
      </x:c>
      <x:c r="F53" s="196" t="str">
        <x:v>Peptide Research Centre</x:v>
      </x:c>
      <x:c r="G53" s="196" t="str">
        <x:v>Centre for complex peptide synthesis and conjugation</x:v>
      </x:c>
      <x:c r="H53" s="196" t="str">
        <x:v>Growth</x:v>
      </x:c>
      <x:c r="I53" s="196" t="str">
        <x:v>Capability capex</x:v>
      </x:c>
      <x:c r="J53" s="196" t="str">
        <x:v>Not Disclosed</x:v>
      </x:c>
      <x:c r="K53" s="196" t="str">
        <x:v>Not Disclosed</x:v>
      </x:c>
      <x:c r="L53" s="196" t="str">
        <x:v>Not Disclosed</x:v>
      </x:c>
      <x:c r="M53" s="196" t="str">
        <x:v>Not Disclosed</x:v>
      </x:c>
      <x:c r="N53" s="196" t="str">
        <x:v>NA</x:v>
      </x:c>
      <x:c r="O53" s="196" t="str">
        <x:v>Capability</x:v>
      </x:c>
      <x:c r="P53" s="196" t="str">
        <x:v>FY25</x:v>
      </x:c>
      <x:c r="Q53" s="196" t="str">
        <x:v>FY25</x:v>
      </x:c>
      <x:c r="R53" s="196" t="str">
        <x:v>FY25</x:v>
      </x:c>
      <x:c r="S53" s="196" t="str">
        <x:v>Project validation / client adoption</x:v>
      </x:c>
      <x:c r="T53" s="196" t="str">
        <x:v>Discovery projects; project-based</x:v>
      </x:c>
      <x:c r="U53" s="196" t="str">
        <x:v>NA</x:v>
      </x:c>
      <x:c r="V53" s="196" t="str">
        <x:v>Operational</x:v>
      </x:c>
      <x:c r="W53" s="196" t="str">
        <x:v>Demand for complex peptides; no customer commitments disclosed</x:v>
      </x:c>
      <x:c r="X53" s="196" t="str">
        <x:v>Build new-modality discovery capability</x:v>
      </x:c>
      <x:c r="Y53" s="196" t="str">
        <x:v>Capability expansion creates option value; do not assign KL economics</x:v>
      </x:c>
      <x:c r="Z53" s="196" t="str">
        <x:v>Project wins / conversion to development work</x:v>
      </x:c>
      <x:c r="AA53" s="313" t="str">
        <x:v>FY25 Q4 Investor Presentation</x:v>
      </x:c>
      <x:c r="AB53" s="313" t="str">
        <x:v>MD message / slide 3</x:v>
      </x:c>
      <x:c r="AC53" s="313" t="str">
        <x:v>High</x:v>
      </x:c>
    </x:row>
    <x:row r="54" ht="72" customHeight="1">
      <x:c r="A54" s="196" t="str">
        <x:v>Aug-2025</x:v>
      </x:c>
      <x:c r="B54" s="196" t="str">
        <x:v>Q1 FY26</x:v>
      </x:c>
      <x:c r="C54" s="196" t="str">
        <x:v>Bidar, PB-11 Phase II</x:v>
      </x:c>
      <x:c r="D54" s="196" t="str">
        <x:v>CDMO</x:v>
      </x:c>
      <x:c r="E54" s="196" t="str">
        <x:v>Manufacturing capacity</x:v>
      </x:c>
      <x:c r="F54" s="196" t="str">
        <x:v>Multi-purpose API capacity</x:v>
      </x:c>
      <x:c r="G54" s="196" t="str">
        <x:v>+~91 KL commissioned; total manufacturing capacity ~700 KL</x:v>
      </x:c>
      <x:c r="H54" s="196" t="str">
        <x:v>Growth</x:v>
      </x:c>
      <x:c r="I54" s="196" t="str">
        <x:v>Capacity capex</x:v>
      </x:c>
      <x:c r="J54" s="196" t="str">
        <x:v>Not Disclosed</x:v>
      </x:c>
      <x:c r="K54" s="196" t="str">
        <x:v>Not Disclosed</x:v>
      </x:c>
      <x:c r="L54" s="196" t="str">
        <x:v>Not Disclosed</x:v>
      </x:c>
      <x:c r="M54" s="196" t="str">
        <x:v>Not Disclosed</x:v>
      </x:c>
      <x:c r="N54" s="196" t="n">
        <x:v>91</x:v>
      </x:c>
      <x:c r="O54" s="196" t="str">
        <x:v>KL</x:v>
      </x:c>
      <x:c r="P54" s="196" t="str">
        <x:v>Pre-Q1 FY26</x:v>
      </x:c>
      <x:c r="Q54" s="196" t="str">
        <x:v>Q1 FY26</x:v>
      </x:c>
      <x:c r="R54" s="196" t="str">
        <x:v>Q1 FY26</x:v>
      </x:c>
      <x:c r="S54" s="196" t="str">
        <x:v>Customer qualification / campaigns not separately disclosed</x:v>
      </x:c>
      <x:c r="T54" s="196" t="str">
        <x:v>FY26 onward; not separately disclosed</x:v>
      </x:c>
      <x:c r="U54" s="196" t="str">
        <x:v>Not Disclosed</x:v>
      </x:c>
      <x:c r="V54" s="196" t="str">
        <x:v>Commissioned</x:v>
      </x:c>
      <x:c r="W54" s="196" t="str">
        <x:v>Strong CDMO demand; project-level commitments ND</x:v>
      </x:c>
      <x:c r="X54" s="196" t="str">
        <x:v>Increase manufacturing scale</x:v>
      </x:c>
      <x:c r="Y54" s="196" t="str">
        <x:v>Track revenue and utilisation after the +91 KL rather than assume immediate full absorption</x:v>
      </x:c>
      <x:c r="Z54" s="196" t="str">
        <x:v>Qualification / product campaign timing</x:v>
      </x:c>
      <x:c r="AA54" s="313" t="str">
        <x:v>FY26 Q1 Investor Presentation</x:v>
      </x:c>
      <x:c r="AB54" s="313" t="str">
        <x:v>Slide 7</x:v>
      </x:c>
      <x:c r="AC54" s="313" t="str">
        <x:v>High</x:v>
      </x:c>
    </x:row>
    <x:row r="55" ht="72" customHeight="1">
      <x:c r="A55" s="196" t="str">
        <x:v>Aug-2025</x:v>
      </x:c>
      <x:c r="B55" s="196" t="str">
        <x:v>Q1 FY26</x:v>
      </x:c>
      <x:c r="C55" s="196" t="str">
        <x:v>Hyderabad R&amp;D campus</x:v>
      </x:c>
      <x:c r="D55" s="196" t="str">
        <x:v>CRO / Discovery</x:v>
      </x:c>
      <x:c r="E55" s="196" t="str">
        <x:v>Biology laboratories</x:v>
      </x:c>
      <x:c r="F55" s="196" t="str">
        <x:v>Integrated Discovery biology</x:v>
      </x:c>
      <x:c r="G55" s="196" t="str">
        <x:v>10,300 sq ft biology facility with multiple laboratories</x:v>
      </x:c>
      <x:c r="H55" s="196" t="str">
        <x:v>Growth</x:v>
      </x:c>
      <x:c r="I55" s="196" t="str">
        <x:v>Capability + capacity</x:v>
      </x:c>
      <x:c r="J55" s="196" t="str">
        <x:v>Not Disclosed</x:v>
      </x:c>
      <x:c r="K55" s="196" t="str">
        <x:v>Not Disclosed</x:v>
      </x:c>
      <x:c r="L55" s="196" t="str">
        <x:v>Not Disclosed</x:v>
      </x:c>
      <x:c r="M55" s="196" t="str">
        <x:v>Not Disclosed</x:v>
      </x:c>
      <x:c r="N55" s="196" t="n">
        <x:v>10300</x:v>
      </x:c>
      <x:c r="O55" s="196" t="str">
        <x:v>sq ft</x:v>
      </x:c>
      <x:c r="P55" s="196" t="str">
        <x:v>Pre-Q1 FY26</x:v>
      </x:c>
      <x:c r="Q55" s="196" t="str">
        <x:v>Q1 FY26</x:v>
      </x:c>
      <x:c r="R55" s="196" t="str">
        <x:v>Q1 FY26</x:v>
      </x:c>
      <x:c r="S55" s="196" t="str">
        <x:v>Client onboarding / assay transfer</x:v>
      </x:c>
      <x:c r="T55" s="196" t="str">
        <x:v>FY26 onward; project-based</x:v>
      </x:c>
      <x:c r="U55" s="196" t="str">
        <x:v>Not Disclosed</x:v>
      </x:c>
      <x:c r="V55" s="196" t="str">
        <x:v>Operational</x:v>
      </x:c>
      <x:c r="W55" s="196" t="str">
        <x:v>Supports integrated discovery; no project-level commitments disclosed</x:v>
      </x:c>
      <x:c r="X55" s="196" t="str">
        <x:v>Strengthen integrated Discovery platform</x:v>
      </x:c>
      <x:c r="Y55" s="196" t="str">
        <x:v>Should support integrated programme mix and CRO wallet share; revenue depends on scientist/assay utilisation</x:v>
      </x:c>
      <x:c r="Z55" s="196" t="str">
        <x:v>Utilisation / cross-sell execution</x:v>
      </x:c>
      <x:c r="AA55" s="313" t="str">
        <x:v>FY26 Q1 Investor Presentation</x:v>
      </x:c>
      <x:c r="AB55" s="313" t="str">
        <x:v>Slide 7</x:v>
      </x:c>
      <x:c r="AC55" s="313" t="str">
        <x:v>High</x:v>
      </x:c>
    </x:row>
    <x:row r="56" ht="72" customHeight="1">
      <x:c r="A56" s="196" t="str">
        <x:v>Nov-2025</x:v>
      </x:c>
      <x:c r="B56" s="196" t="str">
        <x:v>Q2 FY26</x:v>
      </x:c>
      <x:c r="C56" s="196" t="str">
        <x:v>Hyderabad R&amp;D campus</x:v>
      </x:c>
      <x:c r="D56" s="196" t="str">
        <x:v>CRO / Discovery</x:v>
      </x:c>
      <x:c r="E56" s="196" t="str">
        <x:v>Biology laboratories</x:v>
      </x:c>
      <x:c r="F56" s="196" t="str">
        <x:v>Vivarium / in-vivo capacity</x:v>
      </x:c>
      <x:c r="G56" s="196" t="str">
        <x:v>Phase 2 adds 12,000 sq ft; total vivarium ~27,000 sq ft</x:v>
      </x:c>
      <x:c r="H56" s="196" t="str">
        <x:v>Growth</x:v>
      </x:c>
      <x:c r="I56" s="196" t="str">
        <x:v>Capacity + capability</x:v>
      </x:c>
      <x:c r="J56" s="196" t="str">
        <x:v>Not Disclosed</x:v>
      </x:c>
      <x:c r="K56" s="196" t="str">
        <x:v>Not Disclosed</x:v>
      </x:c>
      <x:c r="L56" s="196" t="str">
        <x:v>Not Disclosed</x:v>
      </x:c>
      <x:c r="M56" s="196" t="str">
        <x:v>Not Disclosed</x:v>
      </x:c>
      <x:c r="N56" s="196" t="n">
        <x:v>12000</x:v>
      </x:c>
      <x:c r="O56" s="196" t="str">
        <x:v>sq ft added</x:v>
      </x:c>
      <x:c r="P56" s="196" t="str">
        <x:v>FY26</x:v>
      </x:c>
      <x:c r="Q56" s="196" t="str">
        <x:v>Q2 FY26</x:v>
      </x:c>
      <x:c r="R56" s="196" t="str">
        <x:v>Q2 FY26</x:v>
      </x:c>
      <x:c r="S56" s="196" t="str">
        <x:v>Study-specific validation</x:v>
      </x:c>
      <x:c r="T56" s="196" t="str">
        <x:v>FY26 onward; project-based</x:v>
      </x:c>
      <x:c r="U56" s="196" t="str">
        <x:v>Not Disclosed</x:v>
      </x:c>
      <x:c r="V56" s="196" t="str">
        <x:v>Completed</x:v>
      </x:c>
      <x:c r="W56" s="196" t="str">
        <x:v>Integrated discovery demand; no customer commitment disclosed</x:v>
      </x:c>
      <x:c r="X56" s="196" t="str">
        <x:v>Expand in-vivo / biology capability</x:v>
      </x:c>
      <x:c r="Y56" s="196" t="str">
        <x:v>Can deepen integrated programmes, but revenue follows project volumes rather than floor area</x:v>
      </x:c>
      <x:c r="Z56" s="196" t="str">
        <x:v>Study demand / animal capacity utilisation</x:v>
      </x:c>
      <x:c r="AA56" s="313" t="str">
        <x:v>FY26 Q2 Investor Presentation</x:v>
      </x:c>
      <x:c r="AB56" s="313" t="str">
        <x:v>Business Highlights</x:v>
      </x:c>
      <x:c r="AC56" s="313" t="str">
        <x:v>High</x:v>
      </x:c>
    </x:row>
    <x:row r="57" ht="72" customHeight="1">
      <x:c r="A57" s="196" t="str">
        <x:v>Aug-2025</x:v>
      </x:c>
      <x:c r="B57" s="196" t="str">
        <x:v>Q1 FY26</x:v>
      </x:c>
      <x:c r="C57" s="196" t="str">
        <x:v>Hyderabad, U8 MedChem block</x:v>
      </x:c>
      <x:c r="D57" s="196" t="str">
        <x:v>CRO / Discovery</x:v>
      </x:c>
      <x:c r="E57" s="196" t="str">
        <x:v>Medicinal chemistry infrastructure</x:v>
      </x:c>
      <x:c r="F57" s="196" t="str">
        <x:v>Medicinal Chemistry</x:v>
      </x:c>
      <x:c r="G57" s="196" t="str">
        <x:v>New block with 200 fume hood capacity</x:v>
      </x:c>
      <x:c r="H57" s="196" t="str">
        <x:v>Growth</x:v>
      </x:c>
      <x:c r="I57" s="196" t="str">
        <x:v>Capacity capex</x:v>
      </x:c>
      <x:c r="J57" s="196" t="str">
        <x:v>Not Disclosed</x:v>
      </x:c>
      <x:c r="K57" s="196" t="str">
        <x:v>Not Disclosed</x:v>
      </x:c>
      <x:c r="L57" s="196" t="str">
        <x:v>Not Disclosed</x:v>
      </x:c>
      <x:c r="M57" s="196" t="str">
        <x:v>Not Disclosed</x:v>
      </x:c>
      <x:c r="N57" s="196" t="n">
        <x:v>200</x:v>
      </x:c>
      <x:c r="O57" s="196" t="str">
        <x:v>fume hoods</x:v>
      </x:c>
      <x:c r="P57" s="196" t="str">
        <x:v>FY26</x:v>
      </x:c>
      <x:c r="Q57" s="196" t="str">
        <x:v>Q4 FY26</x:v>
      </x:c>
      <x:c r="R57" s="196" t="str">
        <x:v>Q4 FY26</x:v>
      </x:c>
      <x:c r="S57" s="196" t="str">
        <x:v>Scientist hiring / onboarding</x:v>
      </x:c>
      <x:c r="T57" s="196" t="str">
        <x:v>FY27 onward as billable teams ramp</x:v>
      </x:c>
      <x:c r="U57" s="196" t="str">
        <x:v>FY28E (analyst watch)</x:v>
      </x:c>
      <x:c r="V57" s="196" t="str">
        <x:v>Opened / commissioned</x:v>
      </x:c>
      <x:c r="W57" s="196" t="str">
        <x:v>Dedicated R&amp;D team model gaining traction; no project commitments disclosed</x:v>
      </x:c>
      <x:c r="X57" s="196" t="str">
        <x:v>Scale Medicinal Chemistry capacity</x:v>
      </x:c>
      <x:c r="Y57" s="196" t="str">
        <x:v>Clear CRO capacity addition; model should translate through billable FTEs, utilisation and revenue/FTE</x:v>
      </x:c>
      <x:c r="Z57" s="196" t="str">
        <x:v>Hiring pace / bench time</x:v>
      </x:c>
      <x:c r="AA57" s="313" t="str">
        <x:v>FY26 Q4 Investor Presentation</x:v>
      </x:c>
      <x:c r="AB57" s="313" t="str">
        <x:v>Growth Journey slide 16</x:v>
      </x:c>
      <x:c r="AC57" s="313" t="str">
        <x:v>High</x:v>
      </x:c>
    </x:row>
    <x:row r="58" ht="72" customHeight="1">
      <x:c r="A58" s="196" t="str">
        <x:v>Aug-2025</x:v>
      </x:c>
      <x:c r="B58" s="196" t="str">
        <x:v>Q1 FY26</x:v>
      </x:c>
      <x:c r="C58" s="196" t="str">
        <x:v>Hyderabad, Unit 2</x:v>
      </x:c>
      <x:c r="D58" s="196" t="str">
        <x:v>CDMO / CMC R&amp;D</x:v>
      </x:c>
      <x:c r="E58" s="196" t="str">
        <x:v>Process R&amp;D</x:v>
      </x:c>
      <x:c r="F58" s="196" t="str">
        <x:v>CMC Process R&amp;D</x:v>
      </x:c>
      <x:c r="G58" s="196" t="str">
        <x:v>~100k sq ft centre; ~140 process chemistry fume hoods, 25k sq ft analytical lab, kilo lab, peptides/amidites, formulations; ~2x PRD capacity</x:v>
      </x:c>
      <x:c r="H58" s="196" t="str">
        <x:v>Growth</x:v>
      </x:c>
      <x:c r="I58" s="196" t="str">
        <x:v>Capacity + capability</x:v>
      </x:c>
      <x:c r="J58" s="196" t="str">
        <x:v>Not Disclosed</x:v>
      </x:c>
      <x:c r="K58" s="196" t="str">
        <x:v>Not Disclosed</x:v>
      </x:c>
      <x:c r="L58" s="196" t="str">
        <x:v>Not Disclosed</x:v>
      </x:c>
      <x:c r="M58" s="196" t="str">
        <x:v>Not Disclosed</x:v>
      </x:c>
      <x:c r="N58" s="196" t="n">
        <x:v>140</x:v>
      </x:c>
      <x:c r="O58" s="196" t="str">
        <x:v>process chemistry fume hoods</x:v>
      </x:c>
      <x:c r="P58" s="196" t="str">
        <x:v>Q1 FY26</x:v>
      </x:c>
      <x:c r="Q58" s="196" t="str">
        <x:v>Sep-2026</x:v>
      </x:c>
      <x:c r="R58" s="196" t="str">
        <x:v>NA</x:v>
      </x:c>
      <x:c r="S58" s="196" t="str">
        <x:v>Service-specific; not publicly disclosed</x:v>
      </x:c>
      <x:c r="T58" s="196" t="str">
        <x:v>FY27/FY28; not guided</x:v>
      </x:c>
      <x:c r="U58" s="196" t="str">
        <x:v>Not Disclosed</x:v>
      </x:c>
      <x:c r="V58" s="196" t="str">
        <x:v>Structure complete / commissioning targeted Sep-26</x:v>
      </x:c>
      <x:c r="W58" s="196" t="str">
        <x:v>Supports early-to-late CMC programmes; project-level demand backing ND</x:v>
      </x:c>
      <x:c r="X58" s="196" t="str">
        <x:v>Handle more complex molecules and expand PRD capacity</x:v>
      </x:c>
      <x:c r="Y58" s="196" t="str">
        <x:v>Important bridge from Discovery to CMC; revenue should follow programme transfer and FTE/DPC wins, not building area</x:v>
      </x:c>
      <x:c r="Z58" s="196" t="str">
        <x:v>Commissioning / talent / programme conversion</x:v>
      </x:c>
      <x:c r="AA58" s="313" t="str">
        <x:v>FY26 Q3 Investor Presentation</x:v>
      </x:c>
      <x:c r="AB58" s="313" t="str">
        <x:v>Slide 28</x:v>
      </x:c>
      <x:c r="AC58" s="313" t="str">
        <x:v>High</x:v>
      </x:c>
    </x:row>
    <x:row r="59" ht="72" customHeight="1">
      <x:c r="A59" s="196" t="str">
        <x:v>Nov-2025</x:v>
      </x:c>
      <x:c r="B59" s="196" t="str">
        <x:v>Q2 FY26</x:v>
      </x:c>
      <x:c r="C59" s="196" t="str">
        <x:v>Hyderabad R&amp;D / CMC</x:v>
      </x:c>
      <x:c r="D59" s="196" t="str">
        <x:v>CRO + CMC</x:v>
      </x:c>
      <x:c r="E59" s="196" t="str">
        <x:v>High containment</x:v>
      </x:c>
      <x:c r="F59" s="196" t="str">
        <x:v>OEB6 / ADC chemistry</x:v>
      </x:c>
      <x:c r="G59" s="196" t="str">
        <x:v>OEB6 labs for Discovery and process development; designed to expand work in next-gen ADCs</x:v>
      </x:c>
      <x:c r="H59" s="196" t="str">
        <x:v>Growth</x:v>
      </x:c>
      <x:c r="I59" s="196" t="str">
        <x:v>Capability capex</x:v>
      </x:c>
      <x:c r="J59" s="196" t="str">
        <x:v>Not Disclosed</x:v>
      </x:c>
      <x:c r="K59" s="196" t="str">
        <x:v>Not Disclosed</x:v>
      </x:c>
      <x:c r="L59" s="196" t="str">
        <x:v>Not Disclosed</x:v>
      </x:c>
      <x:c r="M59" s="196" t="str">
        <x:v>Not Disclosed</x:v>
      </x:c>
      <x:c r="N59" s="196" t="str">
        <x:v>NA</x:v>
      </x:c>
      <x:c r="O59" s="196" t="str">
        <x:v>OEB6 capability</x:v>
      </x:c>
      <x:c r="P59" s="196" t="str">
        <x:v>FY26</x:v>
      </x:c>
      <x:c r="Q59" s="196" t="str">
        <x:v>Discovery phase 1 complete; CMC Oct-2026</x:v>
      </x:c>
      <x:c r="R59" s="196" t="str">
        <x:v>Discovery phase 1 complete</x:v>
      </x:c>
      <x:c r="S59" s="196" t="str">
        <x:v>Customer / molecule-specific validation</x:v>
      </x:c>
      <x:c r="T59" s="196" t="str">
        <x:v>Project-based after validation</x:v>
      </x:c>
      <x:c r="U59" s="196" t="str">
        <x:v>NA</x:v>
      </x:c>
      <x:c r="V59" s="196" t="str">
        <x:v>Discovery phase 1 complete; CMC under build</x:v>
      </x:c>
      <x:c r="W59" s="196" t="str">
        <x:v>Large-pharma ADC chemistry work disclosed; no revenue commitment</x:v>
      </x:c>
      <x:c r="X59" s="196" t="str">
        <x:v>Support more potent / complex ADC-related chemistry</x:v>
      </x:c>
      <x:c r="Y59" s="196" t="str">
        <x:v>Capability-led optionality with better revenue visibility than pure speculative build because active large-pharma work exists</x:v>
      </x:c>
      <x:c r="Z59" s="196" t="str">
        <x:v>Containment validation / project conversion</x:v>
      </x:c>
      <x:c r="AA59" s="313" t="str">
        <x:v>FY26 Q3 Investor Presentation</x:v>
      </x:c>
      <x:c r="AB59" s="313" t="str">
        <x:v>Slide 6</x:v>
      </x:c>
      <x:c r="AC59" s="313" t="str">
        <x:v>High</x:v>
      </x:c>
    </x:row>
    <x:row r="60" ht="72" customHeight="1">
      <x:c r="A60" s="196" t="str">
        <x:v>Nov-2025</x:v>
      </x:c>
      <x:c r="B60" s="196" t="str">
        <x:v>Q2 FY26</x:v>
      </x:c>
      <x:c r="C60" s="196" t="str">
        <x:v>Hyderabad</x:v>
      </x:c>
      <x:c r="D60" s="196" t="str">
        <x:v>CDMO / CMC R&amp;D</x:v>
      </x:c>
      <x:c r="E60" s="196" t="str">
        <x:v>New modality</x:v>
      </x:c>
      <x:c r="F60" s="196" t="str">
        <x:v>Peptide process &amp; pilot</x:v>
      </x:c>
      <x:c r="G60" s="196" t="str">
        <x:v>Process and pilot plants to extend peptide work from Discovery into process development and scale-up</x:v>
      </x:c>
      <x:c r="H60" s="196" t="str">
        <x:v>Growth</x:v>
      </x:c>
      <x:c r="I60" s="196" t="str">
        <x:v>Capability capex</x:v>
      </x:c>
      <x:c r="J60" s="196" t="str">
        <x:v>Not Disclosed</x:v>
      </x:c>
      <x:c r="K60" s="196" t="str">
        <x:v>Not Disclosed</x:v>
      </x:c>
      <x:c r="L60" s="196" t="str">
        <x:v>Not Disclosed</x:v>
      </x:c>
      <x:c r="M60" s="196" t="str">
        <x:v>Not Disclosed</x:v>
      </x:c>
      <x:c r="N60" s="196" t="str">
        <x:v>NA</x:v>
      </x:c>
      <x:c r="O60" s="196" t="str">
        <x:v>Capability</x:v>
      </x:c>
      <x:c r="P60" s="196" t="str">
        <x:v>FY26</x:v>
      </x:c>
      <x:c r="Q60" s="196" t="str">
        <x:v>Sep-2026</x:v>
      </x:c>
      <x:c r="R60" s="196" t="str">
        <x:v>NA</x:v>
      </x:c>
      <x:c r="S60" s="196" t="str">
        <x:v>Client validation / programme transfer</x:v>
      </x:c>
      <x:c r="T60" s="196" t="str">
        <x:v>FY27/FY28; project-based</x:v>
      </x:c>
      <x:c r="U60" s="196" t="str">
        <x:v>NA</x:v>
      </x:c>
      <x:c r="V60" s="196" t="str">
        <x:v>Under construction</x:v>
      </x:c>
      <x:c r="W60" s="196" t="str">
        <x:v>Follows existing peptide discovery capability; no specific customer commitment disclosed</x:v>
      </x:c>
      <x:c r="X60" s="196" t="str">
        <x:v>Follow the molecule into development / scale-up</x:v>
      </x:c>
      <x:c r="Y60" s="196" t="str">
        <x:v>Strategically attractive adjacency; numerical capacity economics should wait for project wins</x:v>
      </x:c>
      <x:c r="Z60" s="196" t="str">
        <x:v>Conversion of discovery work into CMC / scale-up</x:v>
      </x:c>
      <x:c r="AA60" s="313" t="str">
        <x:v>FY26 Q3 Investor Presentation</x:v>
      </x:c>
      <x:c r="AB60" s="313" t="str">
        <x:v>Slide 6</x:v>
      </x:c>
      <x:c r="AC60" s="313" t="str">
        <x:v>High</x:v>
      </x:c>
    </x:row>
    <x:row r="61" ht="72" customHeight="1">
      <x:c r="A61" s="196" t="str">
        <x:v>Feb-2026</x:v>
      </x:c>
      <x:c r="B61" s="196" t="str">
        <x:v>Q3 FY26</x:v>
      </x:c>
      <x:c r="C61" s="196" t="str">
        <x:v>Bidar manufacturing site</x:v>
      </x:c>
      <x:c r="D61" s="196" t="str">
        <x:v>CDMO</x:v>
      </x:c>
      <x:c r="E61" s="196" t="str">
        <x:v>Manufacturing capacity</x:v>
      </x:c>
      <x:c r="F61" s="196" t="str">
        <x:v>Multi-purpose API capacity</x:v>
      </x:c>
      <x:c r="G61" s="196" t="str">
        <x:v>~450 KL expansion; first 225 KL block targeted Q2 FY27, second 225 KL by FY27-end</x:v>
      </x:c>
      <x:c r="H61" s="196" t="str">
        <x:v>Growth</x:v>
      </x:c>
      <x:c r="I61" s="196" t="str">
        <x:v>Capacity capex</x:v>
      </x:c>
      <x:c r="J61" s="196" t="str">
        <x:v>Not Disclosed</x:v>
      </x:c>
      <x:c r="K61" s="196" t="str">
        <x:v>Not Disclosed</x:v>
      </x:c>
      <x:c r="L61" s="196" t="str">
        <x:v>Not Disclosed</x:v>
      </x:c>
      <x:c r="M61" s="196" t="str">
        <x:v>Not Disclosed</x:v>
      </x:c>
      <x:c r="N61" s="196" t="n">
        <x:v>450</x:v>
      </x:c>
      <x:c r="O61" s="196" t="str">
        <x:v>KL</x:v>
      </x:c>
      <x:c r="P61" s="196" t="str">
        <x:v>FY26</x:v>
      </x:c>
      <x:c r="Q61" s="196" t="str">
        <x:v>225 KL Q2 FY27; 2nd by FY27-end</x:v>
      </x:c>
      <x:c r="R61" s="196" t="str">
        <x:v>NA</x:v>
      </x:c>
      <x:c r="S61" s="196" t="str">
        <x:v>Customer / regulatory qualification after commissioning</x:v>
      </x:c>
      <x:c r="T61" s="196" t="str">
        <x:v>FY27/FY28 ramp; not separately guided</x:v>
      </x:c>
      <x:c r="U61" s="196" t="str">
        <x:v>FY29E+ (analyst watch)</x:v>
      </x:c>
      <x:c r="V61" s="196" t="str">
        <x:v>Under construction</x:v>
      </x:c>
      <x:c r="W61" s="196" t="str">
        <x:v>Management says capex aligned with customer demand; project-level commitments ND</x:v>
      </x:c>
      <x:c r="X61" s="196" t="str">
        <x:v>Scale manufacturing for long-term demand</x:v>
      </x:c>
      <x:c r="Y61" s="196" t="str">
        <x:v>Single most important FY28–FY31 asset-turn driver; model revenue only needs a modest portion of theoretical capacity ceiling</x:v>
      </x:c>
      <x:c r="Z61" s="196" t="str">
        <x:v>Commissioning delay / slow qualification / under-utilisation</x:v>
      </x:c>
      <x:c r="AA61" s="313" t="str">
        <x:v>FY26 Q3 Investor Presentation</x:v>
      </x:c>
      <x:c r="AB61" s="313" t="str">
        <x:v>Slide 6</x:v>
      </x:c>
      <x:c r="AC61" s="313" t="str">
        <x:v>High</x:v>
      </x:c>
    </x:row>
    <x:row r="62" ht="72" customHeight="1">
      <x:c r="A62" s="196" t="str">
        <x:v>Feb-2026</x:v>
      </x:c>
      <x:c r="B62" s="196" t="str">
        <x:v>Q3 FY26</x:v>
      </x:c>
      <x:c r="C62" s="196" t="str">
        <x:v>Bidar</x:v>
      </x:c>
      <x:c r="D62" s="196" t="str">
        <x:v>CDMO</x:v>
      </x:c>
      <x:c r="E62" s="196" t="str">
        <x:v>Manufacturing capacity</x:v>
      </x:c>
      <x:c r="F62" s="196" t="str">
        <x:v>Animal health</x:v>
      </x:c>
      <x:c r="G62" s="196" t="str">
        <x:v>Phase I animal-health expansion; validation for commercial launch after completion</x:v>
      </x:c>
      <x:c r="H62" s="196" t="str">
        <x:v>Growth</x:v>
      </x:c>
      <x:c r="I62" s="196" t="str">
        <x:v>Capacity + capability</x:v>
      </x:c>
      <x:c r="J62" s="196" t="str">
        <x:v>Not Disclosed</x:v>
      </x:c>
      <x:c r="K62" s="196" t="str">
        <x:v>Not Disclosed</x:v>
      </x:c>
      <x:c r="L62" s="196" t="str">
        <x:v>Not Disclosed</x:v>
      </x:c>
      <x:c r="M62" s="196" t="str">
        <x:v>Not Disclosed</x:v>
      </x:c>
      <x:c r="N62" s="196" t="str">
        <x:v>NA</x:v>
      </x:c>
      <x:c r="O62" s="196" t="str">
        <x:v>Capability / campaign</x:v>
      </x:c>
      <x:c r="P62" s="196" t="str">
        <x:v>FY26</x:v>
      </x:c>
      <x:c r="Q62" s="196" t="str">
        <x:v>Mar-2027</x:v>
      </x:c>
      <x:c r="R62" s="196" t="str">
        <x:v>NA</x:v>
      </x:c>
      <x:c r="S62" s="196" t="str">
        <x:v>Commercial validation after completion</x:v>
      </x:c>
      <x:c r="T62" s="196" t="str">
        <x:v>Post-validation FY27/FY28</x:v>
      </x:c>
      <x:c r="U62" s="196" t="str">
        <x:v>NA</x:v>
      </x:c>
      <x:c r="V62" s="196" t="str">
        <x:v>Under construction</x:v>
      </x:c>
      <x:c r="W62" s="196" t="str">
        <x:v>Commercial-launch intent disclosed; customer/molecule identity ND</x:v>
      </x:c>
      <x:c r="X62" s="196" t="str">
        <x:v>Support animal-health commercial supply</x:v>
      </x:c>
      <x:c r="Y62" s="196" t="str">
        <x:v>More demand-linked than generic shell capacity, but timing depends on validation and launch</x:v>
      </x:c>
      <x:c r="Z62" s="196" t="str">
        <x:v>Validation / launch timing</x:v>
      </x:c>
      <x:c r="AA62" s="313" t="str">
        <x:v>FY26 Q3 Investor Presentation</x:v>
      </x:c>
      <x:c r="AB62" s="313" t="str">
        <x:v>Slide 6</x:v>
      </x:c>
      <x:c r="AC62" s="313" t="str">
        <x:v>High</x:v>
      </x:c>
    </x:row>
    <x:row r="63" ht="72" customHeight="1">
      <x:c r="A63" s="196" t="str">
        <x:v>May-2026</x:v>
      </x:c>
      <x:c r="B63" s="196" t="str">
        <x:v>Q4 FY26</x:v>
      </x:c>
      <x:c r="C63" s="196" t="str">
        <x:v>Choutuppal / Hyderabad region</x:v>
      </x:c>
      <x:c r="D63" s="196" t="str">
        <x:v>CDMO</x:v>
      </x:c>
      <x:c r="E63" s="196" t="str">
        <x:v>Manufacturing capacity</x:v>
      </x:c>
      <x:c r="F63" s="196" t="str">
        <x:v>Greenfield / second manufacturing site</x:v>
      </x:c>
      <x:c r="G63" s="196" t="str">
        <x:v>Land acquired and development of a second manufacturing site; intended to diversify footprint and reduce concentration</x:v>
      </x:c>
      <x:c r="H63" s="196" t="str">
        <x:v>Growth</x:v>
      </x:c>
      <x:c r="I63" s="196" t="str">
        <x:v>Capacity capex</x:v>
      </x:c>
      <x:c r="J63" s="196" t="str">
        <x:v>Not Disclosed</x:v>
      </x:c>
      <x:c r="K63" s="196" t="str">
        <x:v>Not Disclosed</x:v>
      </x:c>
      <x:c r="L63" s="196" t="str">
        <x:v>Not Disclosed</x:v>
      </x:c>
      <x:c r="M63" s="196" t="str">
        <x:v>Not Disclosed</x:v>
      </x:c>
      <x:c r="N63" s="196" t="str">
        <x:v>Not Disclosed</x:v>
      </x:c>
      <x:c r="O63" s="196" t="str">
        <x:v>KL</x:v>
      </x:c>
      <x:c r="P63" s="196" t="str">
        <x:v>FY26/FY27</x:v>
      </x:c>
      <x:c r="Q63" s="196" t="str">
        <x:v>Not Disclosed</x:v>
      </x:c>
      <x:c r="R63" s="196" t="str">
        <x:v>NA</x:v>
      </x:c>
      <x:c r="S63" s="196" t="str">
        <x:v>Not Disclosed</x:v>
      </x:c>
      <x:c r="T63" s="196" t="str">
        <x:v>Not Disclosed</x:v>
      </x:c>
      <x:c r="U63" s="196" t="str">
        <x:v>Not Disclosed</x:v>
      </x:c>
      <x:c r="V63" s="196" t="str">
        <x:v>Early development / land acquired</x:v>
      </x:c>
      <x:c r="W63" s="196" t="str">
        <x:v>Management links capex to long-term customer demand; no project-level commitments disclosed</x:v>
      </x:c>
      <x:c r="X63" s="196" t="str">
        <x:v>Diversify manufacturing footprint and add future scale</x:v>
      </x:c>
      <x:c r="Y63" s="196" t="str">
        <x:v>Strategic capacity option; exclude from explicit revenue forecast until size / timing / customer qualification are disclosed</x:v>
      </x:c>
      <x:c r="Z63" s="196" t="str">
        <x:v>Scope creep / timing / demand visibility</x:v>
      </x:c>
      <x:c r="AA63" s="313" t="str">
        <x:v>FY26 Q4 Investor Presentation</x:v>
      </x:c>
      <x:c r="AB63" s="313" t="str">
        <x:v>Slides 16 &amp; 29</x:v>
      </x:c>
      <x:c r="AC63" s="313" t="str">
        <x:v>Medium</x:v>
      </x:c>
    </x:row>
    <x:row r="64" ht="72" customHeight="1">
      <x:c r="A64" s="196" t="str">
        <x:v>May-2026</x:v>
      </x:c>
      <x:c r="B64" s="196" t="str">
        <x:v>Q4 FY26</x:v>
      </x:c>
      <x:c r="C64" s="196" t="str">
        <x:v>Hyderabad R&amp;D campus</x:v>
      </x:c>
      <x:c r="D64" s="196" t="str">
        <x:v>CRO / Discovery</x:v>
      </x:c>
      <x:c r="E64" s="196" t="str">
        <x:v>New technology</x:v>
      </x:c>
      <x:c r="F64" s="196" t="str">
        <x:v>HTE / advanced biology / organoids / automation</x:v>
      </x:c>
      <x:c r="G64" s="196" t="str">
        <x:v>HTE platform established; continued investment in organoids and automation across DMPK / biology</x:v>
      </x:c>
      <x:c r="H64" s="196" t="str">
        <x:v>Growth</x:v>
      </x:c>
      <x:c r="I64" s="196" t="str">
        <x:v>Capability capex</x:v>
      </x:c>
      <x:c r="J64" s="196" t="str">
        <x:v>Not Disclosed</x:v>
      </x:c>
      <x:c r="K64" s="196" t="str">
        <x:v>Not Disclosed</x:v>
      </x:c>
      <x:c r="L64" s="196" t="str">
        <x:v>Not Disclosed</x:v>
      </x:c>
      <x:c r="M64" s="196" t="str">
        <x:v>Not Disclosed</x:v>
      </x:c>
      <x:c r="N64" s="196" t="str">
        <x:v>NA</x:v>
      </x:c>
      <x:c r="O64" s="196" t="str">
        <x:v>Technology platform</x:v>
      </x:c>
      <x:c r="P64" s="196" t="str">
        <x:v>FY26</x:v>
      </x:c>
      <x:c r="Q64" s="196" t="str">
        <x:v>Ongoing</x:v>
      </x:c>
      <x:c r="R64" s="196" t="str">
        <x:v>HTE established</x:v>
      </x:c>
      <x:c r="S64" s="196" t="str">
        <x:v>Project-based</x:v>
      </x:c>
      <x:c r="T64" s="196" t="str">
        <x:v>NA</x:v>
      </x:c>
      <x:c r="U64" s="196" t="str">
        <x:v>Operational / scaling</x:v>
      </x:c>
      <x:c r="V64" s="196" t="str">
        <x:v>Aligned to evolving customer pipelines; no specific commitments disclosed</x:v>
      </x:c>
      <x:c r="W64" s="196" t="str">
        <x:v>Increase speed, differentiation and scientific depth</x:v>
      </x:c>
      <x:c r="X64" s="196" t="str">
        <x:v>Capability investment may improve win rates / productivity before it shows as standalone revenue</x:v>
      </x:c>
      <x:c r="Y64" s="196" t="str">
        <x:v>Capability investment may improve win rates / productivity before it shows as standalone revenue</x:v>
      </x:c>
      <x:c r="Z64" s="196" t="str">
        <x:v>Adoption / monetisation evidence</x:v>
      </x:c>
      <x:c r="AA64" s="196" t="str">
        <x:v>FY26 Q4 Investor Presentation</x:v>
      </x:c>
      <x:c r="AB64" s="196" t="str">
        <x:v>Slide 8</x:v>
      </x:c>
      <x:c r="AC64" s="196" t="str">
        <x:v>High</x:v>
      </x:c>
    </x:row>
    <x:row r="65">
      <x:c r="A65" s="282"/>
      <x:c r="B65" s="282"/>
      <x:c r="C65" s="282"/>
      <x:c r="D65" s="228"/>
      <x:c r="E65" s="228"/>
      <x:c r="F65" s="228"/>
      <x:c r="G65" s="228"/>
      <x:c r="H65" s="228"/>
      <x:c r="I65" s="228"/>
      <x:c r="J65" s="228"/>
      <x:c r="K65" s="228"/>
      <x:c r="L65" s="228"/>
      <x:c r="M65" s="228"/>
      <x:c r="N65" s="228"/>
      <x:c r="O65" s="228"/>
      <x:c r="P65" s="228"/>
      <x:c r="Q65" s="228"/>
      <x:c r="R65" s="228"/>
      <x:c r="S65" s="228"/>
      <x:c r="T65" s="228"/>
      <x:c r="U65" s="228"/>
      <x:c r="V65" s="228"/>
      <x:c r="W65" s="228"/>
      <x:c r="X65" s="228"/>
      <x:c r="Y65" s="228"/>
      <x:c r="Z65" s="228"/>
      <x:c r="AA65" s="228"/>
      <x:c r="AB65" s="228"/>
      <x:c r="AC65" s="228"/>
    </x:row>
    <x:row r="66">
      <x:c r="A66" s="282"/>
      <x:c r="B66" s="282"/>
      <x:c r="C66" s="282"/>
      <x:c r="D66" s="228"/>
      <x:c r="E66" s="228"/>
      <x:c r="F66" s="228"/>
      <x:c r="G66" s="228"/>
      <x:c r="H66" s="228"/>
      <x:c r="I66" s="228"/>
      <x:c r="J66" s="228"/>
      <x:c r="K66" s="228"/>
      <x:c r="L66" s="228"/>
      <x:c r="M66" s="228"/>
      <x:c r="N66" s="228"/>
      <x:c r="O66" s="228"/>
      <x:c r="P66" s="228"/>
      <x:c r="Q66" s="228"/>
      <x:c r="R66" s="228"/>
      <x:c r="S66" s="228"/>
      <x:c r="T66" s="228"/>
      <x:c r="U66" s="228"/>
      <x:c r="V66" s="228"/>
      <x:c r="W66" s="228"/>
      <x:c r="X66" s="228"/>
      <x:c r="Y66" s="228"/>
      <x:c r="Z66" s="228"/>
      <x:c r="AA66" s="228"/>
      <x:c r="AB66" s="228"/>
      <x:c r="AC66" s="228"/>
    </x:row>
    <x:row r="67" ht="20" customHeight="1">
      <x:c r="A67" s="283" t="str">
        <x:v>C. Capex Cohort → Revenue Monetisation</x:v>
      </x:c>
      <x:c r="B67" s="283" t="str">
        <x:v>C. Capex Cohort → Revenue Monetisation</x:v>
      </x:c>
      <x:c r="C67" s="283" t="str">
        <x:v>C. Capex Cohort → Revenue Monetisation</x:v>
      </x:c>
      <x:c r="D67" s="229" t="str">
        <x:v>C. Capex Cohort → Revenue Monetisation</x:v>
      </x:c>
      <x:c r="E67" s="229" t="str">
        <x:v>C. Capex Cohort → Revenue Monetisation</x:v>
      </x:c>
      <x:c r="F67" s="229" t="str">
        <x:v>C. Capex Cohort → Revenue Monetisation</x:v>
      </x:c>
      <x:c r="G67" s="229" t="str">
        <x:v>C. Capex Cohort → Revenue Monetisation</x:v>
      </x:c>
      <x:c r="H67" s="229" t="str">
        <x:v>C. Capex Cohort → Revenue Monetisation</x:v>
      </x:c>
      <x:c r="I67" s="229" t="str">
        <x:v>C. Capex Cohort → Revenue Monetisation</x:v>
      </x:c>
      <x:c r="J67" s="229" t="str">
        <x:v>C. Capex Cohort → Revenue Monetisation</x:v>
      </x:c>
      <x:c r="K67" s="229" t="str">
        <x:v>C. Capex Cohort → Revenue Monetisation</x:v>
      </x:c>
      <x:c r="L67" s="229" t="str">
        <x:v>C. Capex Cohort → Revenue Monetisation</x:v>
      </x:c>
      <x:c r="M67" s="229" t="str">
        <x:v>C. Capex Cohort → Revenue Monetisation</x:v>
      </x:c>
      <x:c r="N67" s="228"/>
      <x:c r="O67" s="228"/>
      <x:c r="P67" s="228"/>
      <x:c r="Q67" s="228"/>
      <x:c r="R67" s="228"/>
      <x:c r="S67" s="228"/>
      <x:c r="T67" s="228"/>
      <x:c r="U67" s="228"/>
      <x:c r="V67" s="228"/>
      <x:c r="W67" s="228"/>
      <x:c r="X67" s="228"/>
      <x:c r="Y67" s="228"/>
      <x:c r="Z67" s="228"/>
      <x:c r="AA67" s="228"/>
      <x:c r="AB67" s="228"/>
      <x:c r="AC67" s="228"/>
    </x:row>
    <x:row r="68" ht="36" customHeight="1">
      <x:c r="A68" s="24" t="str">
        <x:v>CRO / Discovery capex bridge</x:v>
      </x:c>
      <x:c r="B68" s="24" t="str">
        <x:v>Units</x:v>
      </x:c>
      <x:c r="C68" s="24" t="str">
        <x:v>Classification</x:v>
      </x:c>
      <x:c r="D68" s="230" t="str">
        <x:v>FY26A</x:v>
      </x:c>
      <x:c r="E68" s="230" t="str">
        <x:v>FY27E</x:v>
      </x:c>
      <x:c r="F68" s="230" t="str">
        <x:v>FY28E</x:v>
      </x:c>
      <x:c r="G68" s="230" t="str">
        <x:v>FY29E</x:v>
      </x:c>
      <x:c r="H68" s="230" t="str">
        <x:v>FY30E</x:v>
      </x:c>
      <x:c r="I68" s="230" t="str">
        <x:v>FY31E</x:v>
      </x:c>
      <x:c r="J68" s="228"/>
      <x:c r="K68" s="24" t="str">
        <x:v>450 KL manufacturing cohort</x:v>
      </x:c>
      <x:c r="L68" s="24" t="str">
        <x:v>Units</x:v>
      </x:c>
      <x:c r="M68" s="24" t="str">
        <x:v>Classification</x:v>
      </x:c>
      <x:c r="N68" s="24" t="str">
        <x:v>FY26A</x:v>
      </x:c>
      <x:c r="O68" s="24" t="str">
        <x:v>FY27E</x:v>
      </x:c>
      <x:c r="P68" s="24" t="str">
        <x:v>FY28E</x:v>
      </x:c>
      <x:c r="Q68" s="24" t="str">
        <x:v>FY29E</x:v>
      </x:c>
      <x:c r="R68" s="24" t="str">
        <x:v>FY30E</x:v>
      </x:c>
      <x:c r="S68" s="24" t="str">
        <x:v>FY31E</x:v>
      </x:c>
      <x:c r="T68" s="228"/>
      <x:c r="U68" s="228"/>
      <x:c r="V68" s="228"/>
      <x:c r="W68" s="228"/>
      <x:c r="X68" s="228"/>
      <x:c r="Y68" s="228"/>
      <x:c r="Z68" s="228"/>
      <x:c r="AA68" s="228"/>
      <x:c r="AB68" s="228"/>
      <x:c r="AC68" s="228"/>
    </x:row>
    <x:row r="69">
      <x:c r="A69" s="314" t="str">
        <x:v>CRO / R&amp;D growth capex</x:v>
      </x:c>
      <x:c r="B69" s="314" t="str">
        <x:v>INR mn</x:v>
      </x:c>
      <x:c r="C69" s="314" t="str">
        <x:v>Current model</x:v>
      </x:c>
      <x:c r="D69" s="357" t="str">
        <x:v>NA</x:v>
      </x:c>
      <x:c r="E69" s="357" t="n">
        <x:v>2640</x:v>
      </x:c>
      <x:c r="F69" s="357" t="n">
        <x:v>1980</x:v>
      </x:c>
      <x:c r="G69" s="357" t="n">
        <x:v>1650</x:v>
      </x:c>
      <x:c r="H69" s="357" t="n">
        <x:v>1430</x:v>
      </x:c>
      <x:c r="I69" s="357" t="n">
        <x:v>1320</x:v>
      </x:c>
      <x:c r="J69" s="228"/>
      <x:c r="K69" s="316" t="str">
        <x:v>CDMO / manufacturing growth capex</x:v>
      </x:c>
      <x:c r="L69" s="316" t="str">
        <x:v>INR mn</x:v>
      </x:c>
      <x:c r="M69" s="316" t="str">
        <x:v>Current model</x:v>
      </x:c>
      <x:c r="N69" s="317" t="str">
        <x:v>NA</x:v>
      </x:c>
      <x:c r="O69" s="317" t="n">
        <x:v>8701.55</x:v>
      </x:c>
      <x:c r="P69" s="317" t="n">
        <x:v>6226.08</x:v>
      </x:c>
      <x:c r="Q69" s="317" t="n">
        <x:v>4920.1</x:v>
      </x:c>
      <x:c r="R69" s="317" t="n">
        <x:v>4003.21</x:v>
      </x:c>
      <x:c r="S69" s="317" t="n">
        <x:v>3475.56</x:v>
      </x:c>
      <x:c r="T69" s="228"/>
      <x:c r="U69" s="228"/>
      <x:c r="V69" s="228"/>
      <x:c r="W69" s="228"/>
      <x:c r="X69" s="228"/>
      <x:c r="Y69" s="228"/>
      <x:c r="Z69" s="228"/>
      <x:c r="AA69" s="228"/>
      <x:c r="AB69" s="228"/>
      <x:c r="AC69" s="228"/>
    </x:row>
    <x:row r="70">
      <x:c r="A70" s="314" t="str">
        <x:v>Opening billable scientific capacity</x:v>
      </x:c>
      <x:c r="B70" s="314" t="str">
        <x:v>FTE</x:v>
      </x:c>
      <x:c r="C70" s="314" t="str">
        <x:v>Current model estimate</x:v>
      </x:c>
      <x:c r="D70" s="357" t="n">
        <x:v>2050</x:v>
      </x:c>
      <x:c r="E70" s="357" t="n">
        <x:v>2400</x:v>
      </x:c>
      <x:c r="F70" s="357" t="n">
        <x:v>2820</x:v>
      </x:c>
      <x:c r="G70" s="357" t="n">
        <x:v>3200</x:v>
      </x:c>
      <x:c r="H70" s="357" t="n">
        <x:v>3550</x:v>
      </x:c>
      <x:c r="I70" s="357" t="n">
        <x:v>3870</x:v>
      </x:c>
      <x:c r="J70" s="228"/>
      <x:c r="K70" s="316" t="str">
        <x:v>Company CWIP</x:v>
      </x:c>
      <x:c r="L70" s="316" t="str">
        <x:v>INR mn</x:v>
      </x:c>
      <x:c r="M70" s="316" t="str">
        <x:v>Reported / model</x:v>
      </x:c>
      <x:c r="N70" s="317" t="n">
        <x:v>2704.53</x:v>
      </x:c>
      <x:c r="O70" s="317" t="n">
        <x:v>10395</x:v>
      </x:c>
      <x:c r="P70" s="317" t="n">
        <x:v>9078.75</x:v>
      </x:c>
      <x:c r="Q70" s="317" t="n">
        <x:v>6424.3125</x:v>
      </x:c>
      <x:c r="R70" s="317" t="n">
        <x:v>4737.43125</x:v>
      </x:c>
      <x:c r="S70" s="317" t="n">
        <x:v>3746.87156</x:v>
      </x:c>
      <x:c r="T70" s="228"/>
      <x:c r="U70" s="228"/>
      <x:c r="V70" s="228"/>
      <x:c r="W70" s="228"/>
      <x:c r="X70" s="228"/>
      <x:c r="Y70" s="228"/>
      <x:c r="Z70" s="228"/>
      <x:c r="AA70" s="228"/>
      <x:c r="AB70" s="228"/>
      <x:c r="AC70" s="228"/>
    </x:row>
    <x:row r="71">
      <x:c r="A71" s="314" t="str">
        <x:v>Net billable capacity additions</x:v>
      </x:c>
      <x:c r="B71" s="314" t="str">
        <x:v>FTE</x:v>
      </x:c>
      <x:c r="C71" s="314" t="str">
        <x:v>Current model assumption</x:v>
      </x:c>
      <x:c r="D71" s="357" t="n">
        <x:v>350</x:v>
      </x:c>
      <x:c r="E71" s="357" t="n">
        <x:v>420</x:v>
      </x:c>
      <x:c r="F71" s="357" t="n">
        <x:v>380</x:v>
      </x:c>
      <x:c r="G71" s="357" t="n">
        <x:v>350</x:v>
      </x:c>
      <x:c r="H71" s="357" t="n">
        <x:v>320</x:v>
      </x:c>
      <x:c r="I71" s="357" t="n">
        <x:v>300</x:v>
      </x:c>
      <x:c r="J71" s="228"/>
      <x:c r="K71" s="316" t="str">
        <x:v>Capacity commissioned during year</x:v>
      </x:c>
      <x:c r="L71" s="316" t="str">
        <x:v>KL</x:v>
      </x:c>
      <x:c r="M71" s="316" t="str">
        <x:v>Project cohort</x:v>
      </x:c>
      <x:c r="N71" s="317" t="n">
        <x:v>0</x:v>
      </x:c>
      <x:c r="O71" s="317" t="n">
        <x:v>450</x:v>
      </x:c>
      <x:c r="P71" s="317" t="n">
        <x:v>0</x:v>
      </x:c>
      <x:c r="Q71" s="317" t="n">
        <x:v>0</x:v>
      </x:c>
      <x:c r="R71" s="317" t="n">
        <x:v>0</x:v>
      </x:c>
      <x:c r="S71" s="317" t="n">
        <x:v>0</x:v>
      </x:c>
      <x:c r="T71" s="228"/>
      <x:c r="U71" s="228"/>
      <x:c r="V71" s="228"/>
      <x:c r="W71" s="228"/>
      <x:c r="X71" s="228"/>
      <x:c r="Y71" s="228"/>
      <x:c r="Z71" s="228"/>
      <x:c r="AA71" s="228"/>
      <x:c r="AB71" s="228"/>
      <x:c r="AC71" s="228"/>
    </x:row>
    <x:row r="72">
      <x:c r="A72" s="314" t="str">
        <x:v>Average billable scientific capacity</x:v>
      </x:c>
      <x:c r="B72" s="314" t="str">
        <x:v>FTE</x:v>
      </x:c>
      <x:c r="C72" s="314" t="str">
        <x:v>Formula / model</x:v>
      </x:c>
      <x:c r="D72" s="357" t="n">
        <x:v>2225</x:v>
      </x:c>
      <x:c r="E72" s="357" t="n">
        <x:v>2610</x:v>
      </x:c>
      <x:c r="F72" s="357" t="n">
        <x:v>3010</x:v>
      </x:c>
      <x:c r="G72" s="357" t="n">
        <x:v>3375</x:v>
      </x:c>
      <x:c r="H72" s="357" t="n">
        <x:v>3710</x:v>
      </x:c>
      <x:c r="I72" s="357" t="n">
        <x:v>4020</x:v>
      </x:c>
      <x:c r="J72" s="228"/>
      <x:c r="K72" s="316" t="str">
        <x:v>Usable / qualified capacity</x:v>
      </x:c>
      <x:c r="L72" s="316" t="str">
        <x:v>KL</x:v>
      </x:c>
      <x:c r="M72" s="316" t="str">
        <x:v>Analyst assumption</x:v>
      </x:c>
      <x:c r="N72" s="317" t="n">
        <x:v>0</x:v>
      </x:c>
      <x:c r="O72" s="317" t="n">
        <x:v>112.5</x:v>
      </x:c>
      <x:c r="P72" s="317" t="n">
        <x:v>450</x:v>
      </x:c>
      <x:c r="Q72" s="317" t="n">
        <x:v>450</x:v>
      </x:c>
      <x:c r="R72" s="317" t="n">
        <x:v>450</x:v>
      </x:c>
      <x:c r="S72" s="317" t="n">
        <x:v>450</x:v>
      </x:c>
      <x:c r="T72" s="228"/>
      <x:c r="U72" s="228"/>
      <x:c r="V72" s="228"/>
      <x:c r="W72" s="228"/>
      <x:c r="X72" s="228"/>
      <x:c r="Y72" s="228"/>
      <x:c r="Z72" s="228"/>
      <x:c r="AA72" s="228"/>
      <x:c r="AB72" s="228"/>
      <x:c r="AC72" s="228"/>
    </x:row>
    <x:row r="73">
      <x:c r="A73" s="314" t="str">
        <x:v>Utilisation</x:v>
      </x:c>
      <x:c r="B73" s="314" t="str">
        <x:v>%</x:v>
      </x:c>
      <x:c r="C73" s="314" t="str">
        <x:v>Current model assumption</x:v>
      </x:c>
      <x:c r="D73" s="360" t="n">
        <x:v>0.93</x:v>
      </x:c>
      <x:c r="E73" s="360" t="n">
        <x:v>0.9</x:v>
      </x:c>
      <x:c r="F73" s="360" t="n">
        <x:v>0.915</x:v>
      </x:c>
      <x:c r="G73" s="360" t="n">
        <x:v>0.925</x:v>
      </x:c>
      <x:c r="H73" s="360" t="n">
        <x:v>0.93</x:v>
      </x:c>
      <x:c r="I73" s="360" t="n">
        <x:v>0.935</x:v>
      </x:c>
      <x:c r="J73" s="228"/>
      <x:c r="K73" s="316" t="str">
        <x:v>Utilisation of qualified cohort</x:v>
      </x:c>
      <x:c r="L73" s="316" t="str">
        <x:v>%</x:v>
      </x:c>
      <x:c r="M73" s="316" t="str">
        <x:v>Analyst assumption</x:v>
      </x:c>
      <x:c r="N73" s="319" t="n">
        <x:v>0</x:v>
      </x:c>
      <x:c r="O73" s="319" t="n">
        <x:v>0.3</x:v>
      </x:c>
      <x:c r="P73" s="319" t="n">
        <x:v>0.55</x:v>
      </x:c>
      <x:c r="Q73" s="319" t="n">
        <x:v>0.7</x:v>
      </x:c>
      <x:c r="R73" s="319" t="n">
        <x:v>0.8</x:v>
      </x:c>
      <x:c r="S73" s="319" t="n">
        <x:v>0.85</x:v>
      </x:c>
      <x:c r="T73" s="228"/>
      <x:c r="U73" s="228"/>
      <x:c r="V73" s="228"/>
      <x:c r="W73" s="228"/>
      <x:c r="X73" s="228"/>
      <x:c r="Y73" s="228"/>
      <x:c r="Z73" s="228"/>
      <x:c r="AA73" s="228"/>
      <x:c r="AB73" s="228"/>
      <x:c r="AC73" s="228"/>
    </x:row>
    <x:row r="74">
      <x:c r="A74" s="314" t="str">
        <x:v>Revenue / billable FTE</x:v>
      </x:c>
      <x:c r="B74" s="314" t="str">
        <x:v>INR mn/FTE</x:v>
      </x:c>
      <x:c r="C74" s="314" t="str">
        <x:v>Current model</x:v>
      </x:c>
      <x:c r="D74" s="362" t="n">
        <x:v>3.7453183521</x:v>
      </x:c>
      <x:c r="E74" s="362" t="n">
        <x:v>3.9766931423</x:v>
      </x:c>
      <x:c r="F74" s="362" t="n">
        <x:v>4.1280931952</x:v>
      </x:c>
      <x:c r="G74" s="362" t="n">
        <x:v>4.2885452755</x:v>
      </x:c>
      <x:c r="H74" s="362" t="n">
        <x:v>4.4656202449</x:v>
      </x:c>
      <x:c r="I74" s="362" t="n">
        <x:v>4.6405657274</x:v>
      </x:c>
      <x:c r="J74" s="228"/>
      <x:c r="K74" s="316" t="str">
        <x:v>Revenue / effective KL</x:v>
      </x:c>
      <x:c r="L74" s="316" t="str">
        <x:v>INR mn/KL</x:v>
      </x:c>
      <x:c r="M74" s="316" t="str">
        <x:v>Analytical cross-check</x:v>
      </x:c>
      <x:c r="N74" s="321" t="n">
        <x:v>0</x:v>
      </x:c>
      <x:c r="O74" s="321" t="n">
        <x:v>31.1428571429</x:v>
      </x:c>
      <x:c r="P74" s="321" t="n">
        <x:v>31.1428571429</x:v>
      </x:c>
      <x:c r="Q74" s="321" t="n">
        <x:v>31.1428571429</x:v>
      </x:c>
      <x:c r="R74" s="321" t="n">
        <x:v>31.1428571429</x:v>
      </x:c>
      <x:c r="S74" s="321" t="n">
        <x:v>31.1428571429</x:v>
      </x:c>
      <x:c r="T74" s="228"/>
      <x:c r="U74" s="228"/>
      <x:c r="V74" s="228"/>
      <x:c r="W74" s="228"/>
      <x:c r="X74" s="228"/>
      <x:c r="Y74" s="228"/>
      <x:c r="Z74" s="228"/>
      <x:c r="AA74" s="228"/>
      <x:c r="AB74" s="228"/>
      <x:c r="AC74" s="228"/>
    </x:row>
    <x:row r="75">
      <x:c r="A75" s="314" t="str">
        <x:v>Capacity-supported CRO revenue</x:v>
      </x:c>
      <x:c r="B75" s="314" t="str">
        <x:v>INR mn</x:v>
      </x:c>
      <x:c r="C75" s="314" t="str">
        <x:v>Formula</x:v>
      </x:c>
      <x:c r="D75" s="364" t="n">
        <x:f>IF(AND(ISNUMBER(D72),ISNUMBER(D73),ISNUMBER(D74)),D72*D73*D74,"NA")</x:f>
        <x:v>7750.000000082925</x:v>
      </x:c>
      <x:c r="E75" s="364" t="n">
        <x:f>IF(AND(ISNUMBER(E72),ISNUMBER(E73),ISNUMBER(E74)),E72*E73*E74,"NA")</x:f>
        <x:v>9341.2521912627</x:v>
      </x:c>
      <x:c r="F75" s="364" t="n">
        <x:f>IF(AND(ISNUMBER(F72),ISNUMBER(F73),ISNUMBER(F74)),F72*F73*F74,"NA")</x:f>
        <x:v>11369.387873560081</x:v>
      </x:c>
      <x:c r="G75" s="364" t="n">
        <x:f>IF(AND(ISNUMBER(G72),ISNUMBER(G73),ISNUMBER(G74)),G72*G73*G74,"NA")</x:f>
        <x:v>13388.30228195156</x:v>
      </x:c>
      <x:c r="H75" s="364" t="n">
        <x:f>IF(AND(ISNUMBER(H72),ISNUMBER(H73),ISNUMBER(H74)),H72*H73*H74,"NA")</x:f>
        <x:v>15407.729530978471</x:v>
      </x:c>
      <x:c r="I75" s="364" t="n">
        <x:f>IF(AND(ISNUMBER(I72),ISNUMBER(I73),ISNUMBER(I74)),I72*I73*I74,"NA")</x:f>
        <x:v>17442.494399578383</x:v>
      </x:c>
      <x:c r="J75" s="228"/>
      <x:c r="K75" s="316" t="str">
        <x:v>Incremental revenue capacity ceiling</x:v>
      </x:c>
      <x:c r="L75" s="316" t="str">
        <x:v>INR mn</x:v>
      </x:c>
      <x:c r="M75" s="316" t="str">
        <x:v>Formula</x:v>
      </x:c>
      <x:c r="N75" s="323" t="n">
        <x:f>IFERROR(N72*N73*N74,0)</x:f>
        <x:v>0</x:v>
      </x:c>
      <x:c r="O75" s="323" t="n">
        <x:f>IFERROR(O72*O73*O74,0)</x:f>
        <x:v>1051.071428572875</x:v>
      </x:c>
      <x:c r="P75" s="323" t="n">
        <x:f>IFERROR(P72*P73*P74,0)</x:f>
        <x:v>7707.857142867751</x:v>
      </x:c>
      <x:c r="Q75" s="323" t="n">
        <x:f>IFERROR(Q72*Q73*Q74,0)</x:f>
        <x:v>9810.000000013499</x:v>
      </x:c>
      <x:c r="R75" s="323" t="n">
        <x:f>IFERROR(R72*R73*R74,0)</x:f>
        <x:v>11211.428571444</x:v>
      </x:c>
      <x:c r="S75" s="323" t="n">
        <x:f>IFERROR(S72*S73*S74,0)</x:f>
        <x:v>11912.14285715925</x:v>
      </x:c>
      <x:c r="T75" s="228"/>
      <x:c r="U75" s="228"/>
      <x:c r="V75" s="228"/>
      <x:c r="W75" s="228"/>
      <x:c r="X75" s="228"/>
      <x:c r="Y75" s="228"/>
      <x:c r="Z75" s="228"/>
      <x:c r="AA75" s="228"/>
      <x:c r="AB75" s="228"/>
      <x:c r="AC75" s="228"/>
    </x:row>
    <x:row r="76">
      <x:c r="A76" s="314" t="str">
        <x:v>Same-year revenue from current additions</x:v>
      </x:c>
      <x:c r="B76" s="314" t="str">
        <x:v>INR mn</x:v>
      </x:c>
      <x:c r="C76" s="314" t="str">
        <x:v>Formula: 0.5×adds×util×rev/FTE</x:v>
      </x:c>
      <x:c r="D76" s="364" t="n">
        <x:f>IF(AND(ISNUMBER(D71),ISNUMBER(D73),ISNUMBER(D74)),0.5*D71*D73*D74,"NA")</x:f>
        <x:v>609.550561804275</x:v>
      </x:c>
      <x:c r="E76" s="364" t="n">
        <x:f>IF(AND(ISNUMBER(E71),ISNUMBER(E73),ISNUMBER(E74)),0.5*E71*E73*E74,"NA")</x:f>
        <x:v>751.5950038947</x:v>
      </x:c>
      <x:c r="F76" s="364" t="n">
        <x:f>IF(AND(ISNUMBER(F71),ISNUMBER(F73),ISNUMBER(F74)),0.5*F71*F73*F74,"NA")</x:f>
        <x:v>717.6690019855199</x:v>
      </x:c>
      <x:c r="G76" s="364" t="n">
        <x:f>IF(AND(ISNUMBER(G71),ISNUMBER(G73),ISNUMBER(G74)),0.5*G71*G73*G74,"NA")</x:f>
        <x:v>694.2082664715624</x:v>
      </x:c>
      <x:c r="H76" s="364" t="n">
        <x:f>IF(AND(ISNUMBER(H71),ISNUMBER(H73),ISNUMBER(H74)),0.5*H71*H73*H74,"NA")</x:f>
        <x:v>664.48429244112</x:v>
      </x:c>
      <x:c r="I76" s="364" t="n">
        <x:f>IF(AND(ISNUMBER(I71),ISNUMBER(I73),ISNUMBER(I74)),0.5*I71*I73*I74,"NA")</x:f>
        <x:v>650.83934326785</x:v>
      </x:c>
      <x:c r="J76" s="228"/>
      <x:c r="K76" s="316" t="str">
        <x:v>Current-model new-capacity / campaign adjustment</x:v>
      </x:c>
      <x:c r="L76" s="316" t="str">
        <x:v>INR mn</x:v>
      </x:c>
      <x:c r="M76" s="316" t="str">
        <x:v>Current model</x:v>
      </x:c>
      <x:c r="N76" s="317" t="n">
        <x:v>200</x:v>
      </x:c>
      <x:c r="O76" s="317" t="n">
        <x:v>300</x:v>
      </x:c>
      <x:c r="P76" s="317" t="n">
        <x:v>500</x:v>
      </x:c>
      <x:c r="Q76" s="317" t="n">
        <x:v>700</x:v>
      </x:c>
      <x:c r="R76" s="317" t="n">
        <x:v>900</x:v>
      </x:c>
      <x:c r="S76" s="317" t="n">
        <x:v>1100</x:v>
      </x:c>
      <x:c r="T76" s="228"/>
      <x:c r="U76" s="228"/>
      <x:c r="V76" s="228"/>
      <x:c r="W76" s="228"/>
      <x:c r="X76" s="228"/>
      <x:c r="Y76" s="228"/>
      <x:c r="Z76" s="228"/>
      <x:c r="AA76" s="228"/>
      <x:c r="AB76" s="228"/>
      <x:c r="AC76" s="228"/>
    </x:row>
    <x:row r="77">
      <x:c r="A77" s="314" t="str">
        <x:v>Full-year run-rate from current additions</x:v>
      </x:c>
      <x:c r="B77" s="314" t="str">
        <x:v>INR mn</x:v>
      </x:c>
      <x:c r="C77" s="314" t="str">
        <x:v>Formula: adds×util×rev/FTE</x:v>
      </x:c>
      <x:c r="D77" s="364" t="n">
        <x:f>IF(AND(ISNUMBER(D71),ISNUMBER(D73),ISNUMBER(D74)),D71*D73*D74,"NA")</x:f>
        <x:v>1219.10112360855</x:v>
      </x:c>
      <x:c r="E77" s="364" t="n">
        <x:f>IF(AND(ISNUMBER(E71),ISNUMBER(E73),ISNUMBER(E74)),E71*E73*E74,"NA")</x:f>
        <x:v>1503.1900077894</x:v>
      </x:c>
      <x:c r="F77" s="364" t="n">
        <x:f>IF(AND(ISNUMBER(F71),ISNUMBER(F73),ISNUMBER(F74)),F71*F73*F74,"NA")</x:f>
        <x:v>1435.3380039710398</x:v>
      </x:c>
      <x:c r="G77" s="364" t="n">
        <x:f>IF(AND(ISNUMBER(G71),ISNUMBER(G73),ISNUMBER(G74)),G71*G73*G74,"NA")</x:f>
        <x:v>1388.4165329431248</x:v>
      </x:c>
      <x:c r="H77" s="364" t="n">
        <x:f>IF(AND(ISNUMBER(H71),ISNUMBER(H73),ISNUMBER(H74)),H71*H73*H74,"NA")</x:f>
        <x:v>1328.96858488224</x:v>
      </x:c>
      <x:c r="I77" s="364" t="n">
        <x:f>IF(AND(ISNUMBER(I71),ISNUMBER(I73),ISNUMBER(I74)),I71*I73*I74,"NA")</x:f>
        <x:v>1301.6786865357</x:v>
      </x:c>
      <x:c r="J77" s="228"/>
      <x:c r="K77" s="316" t="str">
        <x:v>Implied utilisation required for model adjustment</x:v>
      </x:c>
      <x:c r="L77" s="316" t="str">
        <x:v>%</x:v>
      </x:c>
      <x:c r="M77" s="316" t="str">
        <x:v>Formula</x:v>
      </x:c>
      <x:c r="N77" s="324" t="n">
        <x:f>IFERROR(N76/(N72*N74),0)</x:f>
        <x:v>0</x:v>
      </x:c>
      <x:c r="O77" s="324" t="n">
        <x:f>IFERROR(O76/(O72*O74),0)</x:f>
        <x:v>0.08562691131486688</x:v>
      </x:c>
      <x:c r="P77" s="324" t="n">
        <x:f>IFERROR(P76/(P72*P74),0)</x:f>
        <x:v>0.03567787971452787</x:v>
      </x:c>
      <x:c r="Q77" s="324" t="n">
        <x:f>IFERROR(Q76/(Q72*Q74),0)</x:f>
        <x:v>0.04994903160033901</x:v>
      </x:c>
      <x:c r="R77" s="324" t="n">
        <x:f>IFERROR(R76/(R72*R74),0)</x:f>
        <x:v>0.06422018348615016</x:v>
      </x:c>
      <x:c r="S77" s="324" t="n">
        <x:f>IFERROR(S76/(S72*S74),0)</x:f>
        <x:v>0.0784913353719613</x:v>
      </x:c>
      <x:c r="T77" s="228"/>
      <x:c r="U77" s="228"/>
      <x:c r="V77" s="228"/>
      <x:c r="W77" s="228"/>
      <x:c r="X77" s="228"/>
      <x:c r="Y77" s="228"/>
      <x:c r="Z77" s="228"/>
      <x:c r="AA77" s="228"/>
      <x:c r="AB77" s="228"/>
      <x:c r="AC77" s="228"/>
    </x:row>
    <x:row r="78">
      <x:c r="A78" s="282"/>
      <x:c r="B78" s="282"/>
      <x:c r="C78" s="282"/>
      <x:c r="D78" s="228"/>
      <x:c r="E78" s="228"/>
      <x:c r="F78" s="228"/>
      <x:c r="G78" s="228"/>
      <x:c r="H78" s="228"/>
      <x:c r="I78" s="228"/>
      <x:c r="J78" s="228"/>
      <x:c r="K78" s="316" t="str">
        <x:v>EBITDA contribution ceiling @ group margin</x:v>
      </x:c>
      <x:c r="L78" s="316" t="str">
        <x:v>INR mn</x:v>
      </x:c>
      <x:c r="M78" s="316" t="str">
        <x:v>Formula</x:v>
      </x:c>
      <x:c r="N78" s="323" t="n">
        <x:f>IFERROR(N75*H8/H6,0)</x:f>
        <x:v>0</x:v>
      </x:c>
      <x:c r="O78" s="323" t="n">
        <x:f>IFERROR(O75*I8/I6,0)</x:f>
        <x:v>304.9619154047232</x:v>
      </x:c>
      <x:c r="P78" s="323" t="n">
        <x:f>IFERROR(P75*J8/J6,0)</x:f>
        <x:v>2320.501511251515</x:v>
      </x:c>
      <x:c r="Q78" s="323" t="n">
        <x:f>IFERROR(Q75*K8/K6,0)</x:f>
        <x:v>3042.372264747845</x:v>
      </x:c>
      <x:c r="R78" s="323" t="n">
        <x:f>IFERROR(R75*L8/L6,0)</x:f>
        <x:v>3561.785901866535</x:v>
      </x:c>
      <x:c r="S78" s="323" t="n">
        <x:f>IFERROR(S75*M8/M6,0)</x:f>
        <x:v>3861.160753120088</x:v>
      </x:c>
      <x:c r="T78" s="228"/>
      <x:c r="U78" s="228"/>
      <x:c r="V78" s="228"/>
      <x:c r="W78" s="228"/>
      <x:c r="X78" s="228"/>
      <x:c r="Y78" s="228"/>
      <x:c r="Z78" s="228"/>
      <x:c r="AA78" s="228"/>
      <x:c r="AB78" s="228"/>
      <x:c r="AC78" s="228"/>
    </x:row>
    <x:row r="79">
      <x:c r="A79" s="282"/>
      <x:c r="B79" s="282"/>
      <x:c r="C79" s="282"/>
      <x:c r="D79" s="228"/>
      <x:c r="E79" s="228"/>
      <x:c r="F79" s="228"/>
      <x:c r="G79" s="228"/>
      <x:c r="H79" s="228"/>
      <x:c r="I79" s="228"/>
      <x:c r="J79" s="228"/>
      <x:c r="K79" s="316" t="str">
        <x:v>Capex-cycle phase</x:v>
      </x:c>
      <x:c r="L79" s="316" t="str">
        <x:v>Text</x:v>
      </x:c>
      <x:c r="M79" s="316" t="str">
        <x:v>Analyst assessment</x:v>
      </x:c>
      <x:c r="N79" s="325" t="str">
        <x:v>Investment</x:v>
      </x:c>
      <x:c r="O79" s="325" t="str">
        <x:v>Commissioning</x:v>
      </x:c>
      <x:c r="P79" s="325" t="str">
        <x:v>Qualification / ramp</x:v>
      </x:c>
      <x:c r="Q79" s="325" t="str">
        <x:v>Ramp</x:v>
      </x:c>
      <x:c r="R79" s="325" t="str">
        <x:v>Ramp / maturity</x:v>
      </x:c>
      <x:c r="S79" s="325" t="str">
        <x:v>Maturity</x:v>
      </x:c>
      <x:c r="T79" s="228"/>
      <x:c r="U79" s="228"/>
      <x:c r="V79" s="228"/>
      <x:c r="W79" s="228"/>
      <x:c r="X79" s="228"/>
      <x:c r="Y79" s="228"/>
      <x:c r="Z79" s="228"/>
      <x:c r="AA79" s="228"/>
      <x:c r="AB79" s="228"/>
      <x:c r="AC79" s="228"/>
    </x:row>
    <x:row r="80">
      <x:c r="A80" s="282"/>
      <x:c r="B80" s="282"/>
      <x:c r="C80" s="282"/>
      <x:c r="D80" s="228"/>
      <x:c r="E80" s="228"/>
      <x:c r="F80" s="228"/>
      <x:c r="G80" s="228"/>
      <x:c r="H80" s="228"/>
      <x:c r="I80" s="228"/>
      <x:c r="J80" s="228"/>
      <x:c r="K80" s="228"/>
      <x:c r="L80" s="228"/>
      <x:c r="M80" s="228"/>
      <x:c r="N80" s="228"/>
      <x:c r="O80" s="228"/>
      <x:c r="P80" s="228"/>
      <x:c r="Q80" s="228"/>
      <x:c r="R80" s="228"/>
      <x:c r="S80" s="228"/>
      <x:c r="T80" s="228"/>
      <x:c r="U80" s="228"/>
      <x:c r="V80" s="228"/>
      <x:c r="W80" s="228"/>
      <x:c r="X80" s="228"/>
      <x:c r="Y80" s="228"/>
      <x:c r="Z80" s="228"/>
      <x:c r="AA80" s="228"/>
      <x:c r="AB80" s="228"/>
      <x:c r="AC80" s="228"/>
    </x:row>
    <x:row r="81">
      <x:c r="A81" s="282"/>
      <x:c r="B81" s="282"/>
      <x:c r="C81" s="282"/>
      <x:c r="D81" s="228"/>
      <x:c r="E81" s="228"/>
      <x:c r="F81" s="228"/>
      <x:c r="G81" s="228"/>
      <x:c r="H81" s="228"/>
      <x:c r="I81" s="228"/>
      <x:c r="J81" s="228"/>
      <x:c r="K81" s="228"/>
      <x:c r="L81" s="228"/>
      <x:c r="M81" s="228"/>
      <x:c r="N81" s="228"/>
      <x:c r="O81" s="228"/>
      <x:c r="P81" s="228"/>
      <x:c r="Q81" s="228"/>
      <x:c r="R81" s="228"/>
      <x:c r="S81" s="228"/>
      <x:c r="T81" s="228"/>
      <x:c r="U81" s="228"/>
      <x:c r="V81" s="228"/>
      <x:c r="W81" s="228"/>
      <x:c r="X81" s="228"/>
      <x:c r="Y81" s="228"/>
      <x:c r="Z81" s="228"/>
      <x:c r="AA81" s="228"/>
      <x:c r="AB81" s="228"/>
      <x:c r="AC81" s="228"/>
    </x:row>
    <x:row r="82" ht="20" customHeight="1">
      <x:c r="A82" s="283" t="str">
        <x:v>Capability Capex — Monetisation Evidence Map</x:v>
      </x:c>
      <x:c r="B82" s="283" t="str">
        <x:v>Capability Capex — Monetisation Evidence Map</x:v>
      </x:c>
      <x:c r="C82" s="283" t="str">
        <x:v>Capability Capex — Monetisation Evidence Map</x:v>
      </x:c>
      <x:c r="D82" s="283" t="str">
        <x:v>Capability Capex — Monetisation Evidence Map</x:v>
      </x:c>
      <x:c r="E82" s="283" t="str">
        <x:v>Capability Capex — Monetisation Evidence Map</x:v>
      </x:c>
      <x:c r="F82" s="283" t="str">
        <x:v>Capability Capex — Monetisation Evidence Map</x:v>
      </x:c>
      <x:c r="G82" s="283" t="str">
        <x:v>Capability Capex — Monetisation Evidence Map</x:v>
      </x:c>
      <x:c r="H82" s="283" t="str">
        <x:v>Capability Capex — Monetisation Evidence Map</x:v>
      </x:c>
      <x:c r="I82" s="283" t="str">
        <x:v>Capability Capex — Monetisation Evidence Map</x:v>
      </x:c>
      <x:c r="J82" s="283" t="str">
        <x:v>Capability Capex — Monetisation Evidence Map</x:v>
      </x:c>
      <x:c r="K82" s="229" t="str">
        <x:v>Capability Capex — Monetisation Evidence Map</x:v>
      </x:c>
      <x:c r="L82" s="229" t="str">
        <x:v>Capability Capex — Monetisation Evidence Map</x:v>
      </x:c>
      <x:c r="M82" s="229" t="str">
        <x:v>Capability Capex — Monetisation Evidence Map</x:v>
      </x:c>
      <x:c r="N82" s="229" t="str">
        <x:v>Capability Capex — Monetisation Evidence Map</x:v>
      </x:c>
      <x:c r="O82" s="229" t="str">
        <x:v>Capability Capex — Monetisation Evidence Map</x:v>
      </x:c>
      <x:c r="P82" s="229" t="str">
        <x:v>Capability Capex — Monetisation Evidence Map</x:v>
      </x:c>
      <x:c r="Q82" s="229" t="str">
        <x:v>Capability Capex — Monetisation Evidence Map</x:v>
      </x:c>
      <x:c r="R82" s="229" t="str">
        <x:v>Capability Capex — Monetisation Evidence Map</x:v>
      </x:c>
      <x:c r="S82" s="229" t="str">
        <x:v>Capability Capex — Monetisation Evidence Map</x:v>
      </x:c>
      <x:c r="T82" s="228"/>
      <x:c r="U82" s="228"/>
      <x:c r="V82" s="228"/>
      <x:c r="W82" s="228"/>
      <x:c r="X82" s="228"/>
      <x:c r="Y82" s="228"/>
      <x:c r="Z82" s="228"/>
      <x:c r="AA82" s="228"/>
      <x:c r="AB82" s="228"/>
      <x:c r="AC82" s="228"/>
    </x:row>
    <x:row r="83" ht="36" customHeight="1">
      <x:c r="A83" s="24" t="str">
        <x:v>Capability / Project</x:v>
      </x:c>
      <x:c r="B83" s="24" t="str">
        <x:v>FY26A Status</x:v>
      </x:c>
      <x:c r="C83" s="24" t="str">
        <x:v>FY27E Milestone</x:v>
      </x:c>
      <x:c r="D83" s="24" t="str">
        <x:v>FY28E</x:v>
      </x:c>
      <x:c r="E83" s="24" t="str">
        <x:v>FY29E</x:v>
      </x:c>
      <x:c r="F83" s="24" t="str">
        <x:v>FY30E</x:v>
      </x:c>
      <x:c r="G83" s="24" t="str">
        <x:v>FY31E</x:v>
      </x:c>
      <x:c r="H83" s="24" t="str">
        <x:v>Revenue logic</x:v>
      </x:c>
      <x:c r="I83" s="24" t="str">
        <x:v>Numerical treatment</x:v>
      </x:c>
      <x:c r="J83" s="24" t="str">
        <x:v>Analyst read</x:v>
      </x:c>
      <x:c r="K83" s="408" t="str">
        <x:v>CWIP Conversion Monitor</x:v>
      </x:c>
      <x:c r="L83" s="408"/>
      <x:c r="M83" s="408"/>
      <x:c r="N83" s="408"/>
      <x:c r="O83" s="408"/>
      <x:c r="P83" s="408"/>
      <x:c r="Q83" s="408"/>
      <x:c r="R83" s="408"/>
      <x:c r="S83" s="408"/>
      <x:c r="T83" s="228"/>
      <x:c r="U83" s="228"/>
      <x:c r="V83" s="228"/>
      <x:c r="W83" s="228"/>
      <x:c r="X83" s="228"/>
      <x:c r="Y83" s="228"/>
      <x:c r="Z83" s="228"/>
      <x:c r="AA83" s="228"/>
      <x:c r="AB83" s="228"/>
      <x:c r="AC83" s="228"/>
    </x:row>
    <x:row r="84" ht="36" customHeight="1">
      <x:c r="A84" s="325" t="str">
        <x:v>U8 Medicinal Chemistry — 200 fume hoods</x:v>
      </x:c>
      <x:c r="B84" s="325" t="str">
        <x:v>Opened in FY26</x:v>
      </x:c>
      <x:c r="C84" s="325" t="str">
        <x:v>Hire / onboard / utilisation ramp</x:v>
      </x:c>
      <x:c r="D84" s="325" t="str">
        <x:v>Ramp</x:v>
      </x:c>
      <x:c r="E84" s="325" t="str">
        <x:v>Utilisation</x:v>
      </x:c>
      <x:c r="F84" s="325" t="str">
        <x:v>Mature</x:v>
      </x:c>
      <x:c r="G84" s="325" t="str">
        <x:v>Mature</x:v>
      </x:c>
      <x:c r="H84" s="326" t="str">
        <x:v>New lab capacity → billable scientists → utilisation → revenue/FTE</x:v>
      </x:c>
      <x:c r="I84" s="326" t="str">
        <x:v>Captured in CRO scientist-capacity model</x:v>
      </x:c>
      <x:c r="J84" s="326" t="str">
        <x:v>Positive — physical CRO capacity now available</x:v>
      </x:c>
      <x:c r="K84" s="24" t="str">
        <x:v>Metric</x:v>
      </x:c>
      <x:c r="L84" s="24" t="str">
        <x:v>Units</x:v>
      </x:c>
      <x:c r="M84" s="24" t="str">
        <x:v>Classification</x:v>
      </x:c>
      <x:c r="N84" s="24" t="str">
        <x:v>FY26A</x:v>
      </x:c>
      <x:c r="O84" s="24" t="str">
        <x:v>FY27E</x:v>
      </x:c>
      <x:c r="P84" s="24" t="str">
        <x:v>FY28E</x:v>
      </x:c>
      <x:c r="Q84" s="24" t="str">
        <x:v>FY29E</x:v>
      </x:c>
      <x:c r="R84" s="24" t="str">
        <x:v>FY30E</x:v>
      </x:c>
      <x:c r="S84" s="24" t="str">
        <x:v>FY31E</x:v>
      </x:c>
      <x:c r="T84" s="228"/>
      <x:c r="U84" s="228"/>
      <x:c r="V84" s="228"/>
      <x:c r="W84" s="228"/>
      <x:c r="X84" s="228"/>
      <x:c r="Y84" s="228"/>
      <x:c r="Z84" s="228"/>
      <x:c r="AA84" s="228"/>
      <x:c r="AB84" s="228"/>
      <x:c r="AC84" s="228"/>
    </x:row>
    <x:row r="85" ht="54" customHeight="1">
      <x:c r="A85" s="325" t="str">
        <x:v>CMC Process R&amp;D Center</x:v>
      </x:c>
      <x:c r="B85" s="325" t="str">
        <x:v>Construction; structure completed</x:v>
      </x:c>
      <x:c r="C85" s="325" t="str">
        <x:v>Commission Sep-26</x:v>
      </x:c>
      <x:c r="D85" s="325" t="str">
        <x:v>Programme ramp</x:v>
      </x:c>
      <x:c r="E85" s="325" t="str">
        <x:v>Ramp</x:v>
      </x:c>
      <x:c r="F85" s="325" t="str">
        <x:v>Mature</x:v>
      </x:c>
      <x:c r="G85" s="325" t="str">
        <x:v>Mature</x:v>
      </x:c>
      <x:c r="H85" s="326" t="str">
        <x:v>Process capacity / complex chemistry → CMC FTE/DPC wins → development revenue</x:v>
      </x:c>
      <x:c r="I85" s="326" t="str">
        <x:v>Qualitative until programme wins disclosed</x:v>
      </x:c>
      <x:c r="J85" s="326" t="str">
        <x:v>Positive, but revenue lags commissioning</x:v>
      </x:c>
      <x:c r="K85" s="316" t="str">
        <x:v>Opening CWIP</x:v>
      </x:c>
      <x:c r="L85" s="316" t="str">
        <x:v>INR mn</x:v>
      </x:c>
      <x:c r="M85" s="316" t="str">
        <x:v>Formula / historical</x:v>
      </x:c>
      <x:c r="N85" s="317" t="n">
        <x:v>1244.56</x:v>
      </x:c>
      <x:c r="O85" s="317" t="n">
        <x:v>2704.53</x:v>
      </x:c>
      <x:c r="P85" s="317" t="n">
        <x:v>10395</x:v>
      </x:c>
      <x:c r="Q85" s="317" t="n">
        <x:v>9078.75</x:v>
      </x:c>
      <x:c r="R85" s="317" t="n">
        <x:v>6424.3125</x:v>
      </x:c>
      <x:c r="S85" s="317" t="n">
        <x:v>4737.43125</x:v>
      </x:c>
      <x:c r="T85" s="228"/>
      <x:c r="U85" s="228"/>
      <x:c r="V85" s="228"/>
      <x:c r="W85" s="228"/>
      <x:c r="X85" s="228"/>
      <x:c r="Y85" s="228"/>
      <x:c r="Z85" s="228"/>
      <x:c r="AA85" s="228"/>
      <x:c r="AB85" s="228"/>
      <x:c r="AC85" s="228"/>
    </x:row>
    <x:row r="86" ht="54" customHeight="1">
      <x:c r="A86" s="325" t="str">
        <x:v>Peptide process + pilot plants</x:v>
      </x:c>
      <x:c r="B86" s="325" t="str">
        <x:v>Under construction</x:v>
      </x:c>
      <x:c r="C86" s="325" t="str">
        <x:v>Commission Sep-26</x:v>
      </x:c>
      <x:c r="D86" s="325" t="str">
        <x:v>Customer qualification / projects</x:v>
      </x:c>
      <x:c r="E86" s="325" t="str">
        <x:v>Project ramp</x:v>
      </x:c>
      <x:c r="F86" s="325" t="str">
        <x:v>Potential scale-up</x:v>
      </x:c>
      <x:c r="G86" s="325" t="str">
        <x:v>Potential commercial conversion</x:v>
      </x:c>
      <x:c r="H86" s="326" t="str">
        <x:v>Discovery peptide work → process development → pilot scale → later manufacturing</x:v>
      </x:c>
      <x:c r="I86" s="326" t="str">
        <x:v>No standalone revenue assumed</x:v>
      </x:c>
      <x:c r="J86" s="326" t="str">
        <x:v>Watch — capability expansion, not immediate volume</x:v>
      </x:c>
      <x:c r="K86" s="316" t="str">
        <x:v>Cash / model capex (context)</x:v>
      </x:c>
      <x:c r="L86" s="316" t="str">
        <x:v>INR mn</x:v>
      </x:c>
      <x:c r="M86" s="316" t="str">
        <x:v>Reported / current model</x:v>
      </x:c>
      <x:c r="N86" s="317" t="n">
        <x:v>5929.61</x:v>
      </x:c>
      <x:c r="O86" s="317" t="n">
        <x:v>12000</x:v>
      </x:c>
      <x:c r="P86" s="317" t="n">
        <x:v>9000</x:v>
      </x:c>
      <x:c r="Q86" s="317" t="n">
        <x:v>7500</x:v>
      </x:c>
      <x:c r="R86" s="317" t="n">
        <x:v>6500</x:v>
      </x:c>
      <x:c r="S86" s="317" t="n">
        <x:v>6000</x:v>
      </x:c>
      <x:c r="T86" s="228"/>
      <x:c r="U86" s="228"/>
      <x:c r="V86" s="228"/>
      <x:c r="W86" s="228"/>
      <x:c r="X86" s="228"/>
      <x:c r="Y86" s="228"/>
      <x:c r="Z86" s="228"/>
      <x:c r="AA86" s="228"/>
      <x:c r="AB86" s="228"/>
      <x:c r="AC86" s="228"/>
    </x:row>
    <x:row r="87" ht="54" customHeight="1">
      <x:c r="A87" s="325" t="str">
        <x:v>OEB-6 / ADC capability</x:v>
      </x:c>
      <x:c r="B87" s="325" t="str">
        <x:v>Discovery phase 1 completed</x:v>
      </x:c>
      <x:c r="C87" s="325" t="str">
        <x:v>CMC/process lab expected Oct-26</x:v>
      </x:c>
      <x:c r="D87" s="325" t="str">
        <x:v>Validation / ADC projects</x:v>
      </x:c>
      <x:c r="E87" s="325" t="str">
        <x:v>Project ramp</x:v>
      </x:c>
      <x:c r="F87" s="325" t="str">
        <x:v>Potential late-stage conversion</x:v>
      </x:c>
      <x:c r="G87" s="325" t="str">
        <x:v>Potential commercial conversion</x:v>
      </x:c>
      <x:c r="H87" s="326" t="str">
        <x:v>High-containment capability → ADC chemistry/bioconjugation projects → late-stage work</x:v>
      </x:c>
      <x:c r="I87" s="326" t="str">
        <x:v>No standalone revenue assumed</x:v>
      </x:c>
      <x:c r="J87" s="326" t="str">
        <x:v>Positive strategic option; project evidence required</x:v>
      </x:c>
      <x:c r="K87" s="316" t="str">
        <x:v>Closing CWIP</x:v>
      </x:c>
      <x:c r="L87" s="316" t="str">
        <x:v>INR mn</x:v>
      </x:c>
      <x:c r="M87" s="316" t="str">
        <x:v>Reported / current model</x:v>
      </x:c>
      <x:c r="N87" s="317" t="n">
        <x:v>2704.53</x:v>
      </x:c>
      <x:c r="O87" s="317" t="n">
        <x:v>10395</x:v>
      </x:c>
      <x:c r="P87" s="317" t="n">
        <x:v>9078.75</x:v>
      </x:c>
      <x:c r="Q87" s="317" t="n">
        <x:v>6424.3125</x:v>
      </x:c>
      <x:c r="R87" s="317" t="n">
        <x:v>4737.43125</x:v>
      </x:c>
      <x:c r="S87" s="317" t="n">
        <x:v>3746.8715625</x:v>
      </x:c>
      <x:c r="T87" s="228"/>
      <x:c r="U87" s="228"/>
      <x:c r="V87" s="228"/>
      <x:c r="W87" s="228"/>
      <x:c r="X87" s="228"/>
      <x:c r="Y87" s="228"/>
      <x:c r="Z87" s="228"/>
      <x:c r="AA87" s="228"/>
      <x:c r="AB87" s="228"/>
      <x:c r="AC87" s="228"/>
    </x:row>
    <x:row r="88" ht="54" customHeight="1">
      <x:c r="A88" s="325" t="str">
        <x:v>Biology + Vivarium expansion</x:v>
      </x:c>
      <x:c r="B88" s="325" t="str">
        <x:v>Biology lab opened; vivarium expanded</x:v>
      </x:c>
      <x:c r="C88" s="325" t="str">
        <x:v>Integrated programme ramp</x:v>
      </x:c>
      <x:c r="D88" s="325" t="str">
        <x:v>Ramp</x:v>
      </x:c>
      <x:c r="E88" s="325" t="str">
        <x:v>Mature</x:v>
      </x:c>
      <x:c r="F88" s="325" t="str">
        <x:v>Mature</x:v>
      </x:c>
      <x:c r="G88" s="325" t="str">
        <x:v>Mature</x:v>
      </x:c>
      <x:c r="H88" s="326" t="str">
        <x:v>More biology/preclinical throughput → integrated discovery programmes → CRO revenue</x:v>
      </x:c>
      <x:c r="I88" s="326" t="str">
        <x:v>Captured indirectly in CRO capacity / mix</x:v>
      </x:c>
      <x:c r="J88" s="326" t="str">
        <x:v>Positive — broadens IDD wallet share</x:v>
      </x:c>
      <x:c r="K88" s="316" t="str">
        <x:v>Net CWIP build / (release)</x:v>
      </x:c>
      <x:c r="L88" s="316" t="str">
        <x:v>INR mn</x:v>
      </x:c>
      <x:c r="M88" s="316" t="str">
        <x:v>Formula</x:v>
      </x:c>
      <x:c r="N88" s="327" t="n">
        <x:f>N87-N85</x:f>
        <x:v>1459.9700000000003</x:v>
      </x:c>
      <x:c r="O88" s="327" t="n">
        <x:f>O87-O85</x:f>
        <x:v>7690.469999999999</x:v>
      </x:c>
      <x:c r="P88" s="327" t="n">
        <x:f>P87-P85</x:f>
        <x:v>-1316.25</x:v>
      </x:c>
      <x:c r="Q88" s="327" t="n">
        <x:f>Q87-Q85</x:f>
        <x:v>-2654.4375</x:v>
      </x:c>
      <x:c r="R88" s="327" t="n">
        <x:f>R87-R85</x:f>
        <x:v>-1686.8812500000004</x:v>
      </x:c>
      <x:c r="S88" s="327" t="n">
        <x:f>S87-S85</x:f>
        <x:v>-990.5596874999997</x:v>
      </x:c>
      <x:c r="T88" s="228"/>
      <x:c r="U88" s="228"/>
      <x:c r="V88" s="228"/>
      <x:c r="W88" s="228"/>
      <x:c r="X88" s="228"/>
      <x:c r="Y88" s="228"/>
      <x:c r="Z88" s="228"/>
      <x:c r="AA88" s="228"/>
      <x:c r="AB88" s="228"/>
      <x:c r="AC88" s="228"/>
    </x:row>
    <x:row r="89" ht="54" customHeight="1">
      <x:c r="A89" s="325" t="str">
        <x:v>Choutuppal / second manufacturing site</x:v>
      </x:c>
      <x:c r="B89" s="325" t="str">
        <x:v>Land acquired / development referenced</x:v>
      </x:c>
      <x:c r="C89" s="325" t="str">
        <x:v>Scope / timeline TBD</x:v>
      </x:c>
      <x:c r="D89" s="325" t="str">
        <x:v>TBD</x:v>
      </x:c>
      <x:c r="E89" s="325" t="str">
        <x:v>TBD</x:v>
      </x:c>
      <x:c r="F89" s="325" t="str">
        <x:v>TBD</x:v>
      </x:c>
      <x:c r="G89" s="325" t="str">
        <x:v>TBD</x:v>
      </x:c>
      <x:c r="H89" s="326" t="str">
        <x:v>Greenfield capacity → qualification → molecule/campaign wins → revenue</x:v>
      </x:c>
      <x:c r="I89" s="326" t="str">
        <x:v>Excluded from numerical cross-check until capacity/timing disclosed</x:v>
      </x:c>
      <x:c r="J89" s="326" t="str">
        <x:v>Watch — potentially large, but disclosure insufficient</x:v>
      </x:c>
      <x:c r="K89" s="316" t="str">
        <x:v>CWIP / fixed capital</x:v>
      </x:c>
      <x:c r="L89" s="316" t="str">
        <x:v>%</x:v>
      </x:c>
      <x:c r="M89" s="316" t="str">
        <x:v>Formula</x:v>
      </x:c>
      <x:c r="N89" s="324" t="n">
        <x:f>H37</x:f>
        <x:v>0.13007751177394036</x:v>
      </x:c>
      <x:c r="O89" s="324" t="n">
        <x:f>I37</x:f>
        <x:v>0.33250633245435335</x:v>
      </x:c>
      <x:c r="P89" s="324" t="n">
        <x:f>J37</x:f>
        <x:v>0.23697727218130962</x:v>
      </x:c>
      <x:c r="Q89" s="324" t="n">
        <x:f>K37</x:f>
        <x:v>0.14858212132040302</x:v>
      </x:c>
      <x:c r="R89" s="324" t="n">
        <x:f>L37</x:f>
        <x:v>0.10151030890974118</x:v>
      </x:c>
      <x:c r="S89" s="324" t="n">
        <x:f>M37</x:f>
        <x:v>0.07605944282659138</x:v>
      </x:c>
      <x:c r="T89" s="228"/>
      <x:c r="U89" s="228"/>
      <x:c r="V89" s="228"/>
      <x:c r="W89" s="228"/>
      <x:c r="X89" s="228"/>
      <x:c r="Y89" s="228"/>
      <x:c r="Z89" s="228"/>
      <x:c r="AA89" s="228"/>
      <x:c r="AB89" s="228"/>
      <x:c r="AC89" s="228"/>
    </x:row>
    <x:row r="90" ht="42" customHeight="1">
      <x:c r="A90" s="282"/>
      <x:c r="B90" s="282"/>
      <x:c r="C90" s="282"/>
      <x:c r="D90" s="228"/>
      <x:c r="E90" s="228"/>
      <x:c r="F90" s="228"/>
      <x:c r="G90" s="228"/>
      <x:c r="H90" s="228"/>
      <x:c r="I90" s="228"/>
      <x:c r="J90" s="228"/>
      <x:c r="K90" s="316" t="str">
        <x:v>CWIP capitalised / time in CWIP</x:v>
      </x:c>
      <x:c r="L90" s="316" t="str">
        <x:v>Text</x:v>
      </x:c>
      <x:c r="M90" s="316" t="str">
        <x:v>Not separately disclosed</x:v>
      </x:c>
      <x:c r="N90" s="325" t="str">
        <x:v>Not Disclosed</x:v>
      </x:c>
      <x:c r="O90" s="325" t="str">
        <x:v>Not Disclosed</x:v>
      </x:c>
      <x:c r="P90" s="325" t="str">
        <x:v>Not Disclosed</x:v>
      </x:c>
      <x:c r="Q90" s="325" t="str">
        <x:v>Not Disclosed</x:v>
      </x:c>
      <x:c r="R90" s="325" t="str">
        <x:v>Not Disclosed</x:v>
      </x:c>
      <x:c r="S90" s="325" t="str">
        <x:v>Not Disclosed</x:v>
      </x:c>
      <x:c r="T90" s="228"/>
      <x:c r="U90" s="228"/>
      <x:c r="V90" s="228"/>
      <x:c r="W90" s="228"/>
      <x:c r="X90" s="228"/>
      <x:c r="Y90" s="228"/>
      <x:c r="Z90" s="228"/>
      <x:c r="AA90" s="228"/>
      <x:c r="AB90" s="228"/>
      <x:c r="AC90" s="228"/>
    </x:row>
    <x:row r="91" ht="42" customHeight="1">
      <x:c r="A91" s="282"/>
      <x:c r="B91" s="282"/>
      <x:c r="C91" s="282"/>
      <x:c r="D91" s="228"/>
      <x:c r="E91" s="228"/>
      <x:c r="F91" s="228"/>
      <x:c r="G91" s="228"/>
      <x:c r="H91" s="228"/>
      <x:c r="I91" s="228"/>
      <x:c r="J91" s="228"/>
      <x:c r="K91" s="316" t="str">
        <x:v>Key conversion milestone</x:v>
      </x:c>
      <x:c r="L91" s="316" t="str">
        <x:v>Text</x:v>
      </x:c>
      <x:c r="M91" s="316" t="str">
        <x:v>Company / analyst watch</x:v>
      </x:c>
      <x:c r="N91" s="325" t="str">
        <x:v>+91 KL + U8/labs commissioned</x:v>
      </x:c>
      <x:c r="O91" s="325" t="str">
        <x:v>225 KL Q2FY27; 2nd 225 KL FY27-end; PRD/peptide Sep-26</x:v>
      </x:c>
      <x:c r="P91" s="325" t="str">
        <x:v>Qualification / utilisation ramp</x:v>
      </x:c>
      <x:c r="Q91" s="325" t="str">
        <x:v>450 KL cohort utilisation ramp</x:v>
      </x:c>
      <x:c r="R91" s="325" t="str">
        <x:v>Asset-turn recovery test</x:v>
      </x:c>
      <x:c r="S91" s="325" t="str">
        <x:v>Mature utilisation / FCF conversion</x:v>
      </x:c>
      <x:c r="T91" s="228"/>
      <x:c r="U91" s="228"/>
      <x:c r="V91" s="228"/>
      <x:c r="W91" s="228"/>
      <x:c r="X91" s="228"/>
      <x:c r="Y91" s="228"/>
      <x:c r="Z91" s="228"/>
      <x:c r="AA91" s="228"/>
      <x:c r="AB91" s="228"/>
      <x:c r="AC91" s="228"/>
    </x:row>
    <x:row r="92" ht="20" customHeight="1">
      <x:c r="A92" s="283" t="str">
        <x:v>D. Capex-Driven Sales Forecast Cross-Check</x:v>
      </x:c>
      <x:c r="B92" s="283" t="str">
        <x:v>D. Capex-Driven Sales Forecast Cross-Check</x:v>
      </x:c>
      <x:c r="C92" s="283" t="str">
        <x:v>D. Capex-Driven Sales Forecast Cross-Check</x:v>
      </x:c>
      <x:c r="D92" s="229" t="str">
        <x:v>D. Capex-Driven Sales Forecast Cross-Check</x:v>
      </x:c>
      <x:c r="E92" s="229" t="str">
        <x:v>D. Capex-Driven Sales Forecast Cross-Check</x:v>
      </x:c>
      <x:c r="F92" s="229" t="str">
        <x:v>D. Capex-Driven Sales Forecast Cross-Check</x:v>
      </x:c>
      <x:c r="G92" s="229" t="str">
        <x:v>D. Capex-Driven Sales Forecast Cross-Check</x:v>
      </x:c>
      <x:c r="H92" s="229" t="str">
        <x:v>D. Capex-Driven Sales Forecast Cross-Check</x:v>
      </x:c>
      <x:c r="I92" s="229" t="str">
        <x:v>D. Capex-Driven Sales Forecast Cross-Check</x:v>
      </x:c>
      <x:c r="J92" s="229" t="str">
        <x:v>D. Capex-Driven Sales Forecast Cross-Check</x:v>
      </x:c>
      <x:c r="K92" s="228"/>
      <x:c r="L92" s="228"/>
      <x:c r="M92" s="228"/>
      <x:c r="N92" s="228"/>
      <x:c r="O92" s="228"/>
      <x:c r="P92" s="228"/>
      <x:c r="Q92" s="228"/>
      <x:c r="R92" s="228"/>
      <x:c r="S92" s="228"/>
      <x:c r="T92" s="228"/>
      <x:c r="U92" s="228"/>
      <x:c r="V92" s="228"/>
      <x:c r="W92" s="228"/>
      <x:c r="X92" s="228"/>
      <x:c r="Y92" s="228"/>
      <x:c r="Z92" s="228"/>
      <x:c r="AA92" s="228"/>
      <x:c r="AB92" s="228"/>
      <x:c r="AC92" s="228"/>
    </x:row>
    <x:row r="93" ht="34" customHeight="1">
      <x:c r="A93" s="24" t="str">
        <x:v>Metric</x:v>
      </x:c>
      <x:c r="B93" s="24" t="str">
        <x:v>Units</x:v>
      </x:c>
      <x:c r="C93" s="24" t="str">
        <x:v>Classification</x:v>
      </x:c>
      <x:c r="D93" s="230" t="str">
        <x:v>FY26A</x:v>
      </x:c>
      <x:c r="E93" s="230" t="str">
        <x:v>FY27E</x:v>
      </x:c>
      <x:c r="F93" s="230" t="str">
        <x:v>FY28E</x:v>
      </x:c>
      <x:c r="G93" s="230" t="str">
        <x:v>FY29E</x:v>
      </x:c>
      <x:c r="H93" s="230" t="str">
        <x:v>FY30E</x:v>
      </x:c>
      <x:c r="I93" s="230" t="str">
        <x:v>FY31E</x:v>
      </x:c>
      <x:c r="J93" s="228"/>
      <x:c r="K93" s="228"/>
      <x:c r="L93" s="228"/>
      <x:c r="M93" s="228"/>
      <x:c r="N93" s="228"/>
      <x:c r="O93" s="228"/>
      <x:c r="P93" s="228"/>
      <x:c r="Q93" s="228"/>
      <x:c r="R93" s="228"/>
      <x:c r="S93" s="228"/>
      <x:c r="T93" s="228"/>
      <x:c r="U93" s="228"/>
      <x:c r="V93" s="228"/>
      <x:c r="W93" s="228"/>
      <x:c r="X93" s="228"/>
      <x:c r="Y93" s="228"/>
      <x:c r="Z93" s="228"/>
      <x:c r="AA93" s="228"/>
      <x:c r="AB93" s="228"/>
      <x:c r="AC93" s="228"/>
    </x:row>
    <x:row r="94">
      <x:c r="A94" s="316" t="str">
        <x:v>Current Model Revenue Forecast</x:v>
      </x:c>
      <x:c r="B94" s="316" t="str">
        <x:v>INR mn</x:v>
      </x:c>
      <x:c r="C94" s="316" t="str">
        <x:v>Current model</x:v>
      </x:c>
      <x:c r="D94" s="359" t="n">
        <x:v>21920</x:v>
      </x:c>
      <x:c r="E94" s="359" t="n">
        <x:v>26337.9144</x:v>
      </x:c>
      <x:c r="F94" s="359" t="n">
        <x:v>31756.9169</x:v>
      </x:c>
      <x:c r="G94" s="359" t="n">
        <x:v>37195.9835</x:v>
      </x:c>
      <x:c r="H94" s="359" t="n">
        <x:v>42671.7853</x:v>
      </x:c>
      <x:c r="I94" s="359" t="n">
        <x:v>48177.641</x:v>
      </x:c>
      <x:c r="J94" s="228"/>
      <x:c r="K94" s="228"/>
      <x:c r="L94" s="228"/>
      <x:c r="M94" s="228"/>
      <x:c r="N94" s="228"/>
      <x:c r="O94" s="228"/>
      <x:c r="P94" s="228"/>
      <x:c r="Q94" s="228"/>
      <x:c r="R94" s="228"/>
      <x:c r="S94" s="228"/>
      <x:c r="T94" s="228"/>
      <x:c r="U94" s="228"/>
      <x:c r="V94" s="228"/>
      <x:c r="W94" s="228"/>
      <x:c r="X94" s="228"/>
      <x:c r="Y94" s="228"/>
      <x:c r="Z94" s="228"/>
      <x:c r="AA94" s="228"/>
      <x:c r="AB94" s="228"/>
      <x:c r="AC94" s="228"/>
    </x:row>
    <x:row r="95">
      <x:c r="A95" s="316" t="str">
        <x:v>Current Model CRO Revenue</x:v>
      </x:c>
      <x:c r="B95" s="316" t="str">
        <x:v>INR mn</x:v>
      </x:c>
      <x:c r="C95" s="316" t="str">
        <x:v>Current model</x:v>
      </x:c>
      <x:c r="D95" s="359" t="n">
        <x:v>7750</x:v>
      </x:c>
      <x:c r="E95" s="359" t="n">
        <x:v>9341.2522</x:v>
      </x:c>
      <x:c r="F95" s="359" t="n">
        <x:v>11369.3879</x:v>
      </x:c>
      <x:c r="G95" s="359" t="n">
        <x:v>13388.3023</x:v>
      </x:c>
      <x:c r="H95" s="359" t="n">
        <x:v>15407.7295</x:v>
      </x:c>
      <x:c r="I95" s="359" t="n">
        <x:v>17442.4944</x:v>
      </x:c>
      <x:c r="J95" s="228"/>
      <x:c r="K95" s="228"/>
      <x:c r="L95" s="228"/>
      <x:c r="M95" s="228"/>
      <x:c r="N95" s="228"/>
      <x:c r="O95" s="228"/>
      <x:c r="P95" s="228"/>
      <x:c r="Q95" s="228"/>
      <x:c r="R95" s="228"/>
      <x:c r="S95" s="228"/>
      <x:c r="T95" s="228"/>
      <x:c r="U95" s="228"/>
      <x:c r="V95" s="228"/>
      <x:c r="W95" s="228"/>
      <x:c r="X95" s="228"/>
      <x:c r="Y95" s="228"/>
      <x:c r="Z95" s="228"/>
      <x:c r="AA95" s="228"/>
      <x:c r="AB95" s="228"/>
      <x:c r="AC95" s="228"/>
    </x:row>
    <x:row r="96">
      <x:c r="A96" s="316" t="str">
        <x:v>CRO capacity-supported revenue</x:v>
      </x:c>
      <x:c r="B96" s="316" t="str">
        <x:v>INR mn</x:v>
      </x:c>
      <x:c r="C96" s="316" t="str">
        <x:v>Formula / current model drivers</x:v>
      </x:c>
      <x:c r="D96" s="369" t="n">
        <x:f>D75</x:f>
        <x:v>7750.000000082925</x:v>
      </x:c>
      <x:c r="E96" s="369" t="n">
        <x:f>E75</x:f>
        <x:v>9341.2521912627</x:v>
      </x:c>
      <x:c r="F96" s="369" t="n">
        <x:f>F75</x:f>
        <x:v>11369.387873560081</x:v>
      </x:c>
      <x:c r="G96" s="369" t="n">
        <x:f>G75</x:f>
        <x:v>13388.30228195156</x:v>
      </x:c>
      <x:c r="H96" s="369" t="n">
        <x:f>H75</x:f>
        <x:v>15407.729530978471</x:v>
      </x:c>
      <x:c r="I96" s="369" t="n">
        <x:f>I75</x:f>
        <x:v>17442.494399578383</x:v>
      </x:c>
      <x:c r="J96" s="228"/>
      <x:c r="K96" s="228"/>
      <x:c r="L96" s="228"/>
      <x:c r="M96" s="228"/>
      <x:c r="N96" s="228"/>
      <x:c r="O96" s="228"/>
      <x:c r="P96" s="228"/>
      <x:c r="Q96" s="228"/>
      <x:c r="R96" s="228"/>
      <x:c r="S96" s="228"/>
      <x:c r="T96" s="228"/>
      <x:c r="U96" s="228"/>
      <x:c r="V96" s="228"/>
      <x:c r="W96" s="228"/>
      <x:c r="X96" s="228"/>
      <x:c r="Y96" s="228"/>
      <x:c r="Z96" s="228"/>
      <x:c r="AA96" s="228"/>
      <x:c r="AB96" s="228"/>
      <x:c r="AC96" s="228"/>
    </x:row>
    <x:row r="97">
      <x:c r="A97" s="316" t="str">
        <x:v>CRO reconciliation difference</x:v>
      </x:c>
      <x:c r="B97" s="316" t="str">
        <x:v>INR mn</x:v>
      </x:c>
      <x:c r="C97" s="316" t="str">
        <x:v>Formula</x:v>
      </x:c>
      <x:c r="D97" s="369" t="n">
        <x:f>ROUND(D96-D95,0)</x:f>
        <x:v>0</x:v>
      </x:c>
      <x:c r="E97" s="369" t="n">
        <x:f>ROUND(E96-E95,0)</x:f>
        <x:v>0</x:v>
      </x:c>
      <x:c r="F97" s="369" t="n">
        <x:f>ROUND(F96-F95,0)</x:f>
        <x:v>0</x:v>
      </x:c>
      <x:c r="G97" s="369" t="n">
        <x:f>ROUND(G96-G95,0)</x:f>
        <x:v>0</x:v>
      </x:c>
      <x:c r="H97" s="369" t="n">
        <x:f>ROUND(H96-H95,0)</x:f>
        <x:v>0</x:v>
      </x:c>
      <x:c r="I97" s="369" t="n">
        <x:f>ROUND(I96-I95,0)</x:f>
        <x:v>0</x:v>
      </x:c>
      <x:c r="J97" s="228"/>
      <x:c r="K97" s="228"/>
      <x:c r="L97" s="228"/>
      <x:c r="M97" s="228"/>
      <x:c r="N97" s="228"/>
      <x:c r="O97" s="228"/>
      <x:c r="P97" s="228"/>
      <x:c r="Q97" s="228"/>
      <x:c r="R97" s="228"/>
      <x:c r="S97" s="228"/>
      <x:c r="T97" s="228"/>
      <x:c r="U97" s="228"/>
      <x:c r="V97" s="228"/>
      <x:c r="W97" s="228"/>
      <x:c r="X97" s="228"/>
      <x:c r="Y97" s="228"/>
      <x:c r="Z97" s="228"/>
      <x:c r="AA97" s="228"/>
      <x:c r="AB97" s="228"/>
      <x:c r="AC97" s="228"/>
    </x:row>
    <x:row r="98">
      <x:c r="A98" s="316" t="str">
        <x:v>Current Model CDMO Revenue</x:v>
      </x:c>
      <x:c r="B98" s="316" t="str">
        <x:v>INR mn</x:v>
      </x:c>
      <x:c r="C98" s="316" t="str">
        <x:v>Current model</x:v>
      </x:c>
      <x:c r="D98" s="359" t="n">
        <x:v>14170</x:v>
      </x:c>
      <x:c r="E98" s="359" t="n">
        <x:v>16996.6622</x:v>
      </x:c>
      <x:c r="F98" s="359" t="n">
        <x:v>20387.529</x:v>
      </x:c>
      <x:c r="G98" s="359" t="n">
        <x:v>23807.6812</x:v>
      </x:c>
      <x:c r="H98" s="359" t="n">
        <x:v>27264.0557</x:v>
      </x:c>
      <x:c r="I98" s="359" t="n">
        <x:v>30735.1466</x:v>
      </x:c>
      <x:c r="J98" s="228"/>
      <x:c r="K98" s="228"/>
      <x:c r="L98" s="228"/>
      <x:c r="M98" s="228"/>
      <x:c r="N98" s="228"/>
      <x:c r="O98" s="228"/>
      <x:c r="P98" s="228"/>
      <x:c r="Q98" s="228"/>
      <x:c r="R98" s="228"/>
      <x:c r="S98" s="228"/>
      <x:c r="T98" s="228"/>
      <x:c r="U98" s="228"/>
      <x:c r="V98" s="228"/>
      <x:c r="W98" s="228"/>
      <x:c r="X98" s="228"/>
      <x:c r="Y98" s="228"/>
      <x:c r="Z98" s="228"/>
      <x:c r="AA98" s="228"/>
      <x:c r="AB98" s="228"/>
      <x:c r="AC98" s="228"/>
    </x:row>
    <x:row r="99">
      <x:c r="A99" s="316" t="str">
        <x:v>Current-model new-capacity / campaign adjustment</x:v>
      </x:c>
      <x:c r="B99" s="316" t="str">
        <x:v>INR mn</x:v>
      </x:c>
      <x:c r="C99" s="316" t="str">
        <x:v>Current model</x:v>
      </x:c>
      <x:c r="D99" s="359" t="n">
        <x:v>200</x:v>
      </x:c>
      <x:c r="E99" s="359" t="n">
        <x:v>300</x:v>
      </x:c>
      <x:c r="F99" s="359" t="n">
        <x:v>500</x:v>
      </x:c>
      <x:c r="G99" s="359" t="n">
        <x:v>700</x:v>
      </x:c>
      <x:c r="H99" s="359" t="n">
        <x:v>900</x:v>
      </x:c>
      <x:c r="I99" s="359" t="n">
        <x:v>1100</x:v>
      </x:c>
      <x:c r="J99" s="228"/>
      <x:c r="K99" s="228"/>
      <x:c r="L99" s="228"/>
      <x:c r="M99" s="228"/>
      <x:c r="N99" s="228"/>
      <x:c r="O99" s="228"/>
      <x:c r="P99" s="228"/>
      <x:c r="Q99" s="228"/>
      <x:c r="R99" s="228"/>
      <x:c r="S99" s="228"/>
      <x:c r="T99" s="228"/>
      <x:c r="U99" s="228"/>
      <x:c r="V99" s="228"/>
      <x:c r="W99" s="228"/>
      <x:c r="X99" s="228"/>
      <x:c r="Y99" s="228"/>
      <x:c r="Z99" s="228"/>
      <x:c r="AA99" s="228"/>
      <x:c r="AB99" s="228"/>
      <x:c r="AC99" s="228"/>
    </x:row>
    <x:row r="100">
      <x:c r="A100" s="316" t="str">
        <x:v>450 KL cohort capacity ceiling</x:v>
      </x:c>
      <x:c r="B100" s="316" t="str">
        <x:v>INR mn</x:v>
      </x:c>
      <x:c r="C100" s="316" t="str">
        <x:v>Analytical ceiling</x:v>
      </x:c>
      <x:c r="D100" s="369" t="n">
        <x:f>N75</x:f>
        <x:v>0</x:v>
      </x:c>
      <x:c r="E100" s="369" t="n">
        <x:f>O75</x:f>
        <x:v>1051.071428572875</x:v>
      </x:c>
      <x:c r="F100" s="369" t="n">
        <x:f>P75</x:f>
        <x:v>7707.857142867751</x:v>
      </x:c>
      <x:c r="G100" s="369" t="n">
        <x:f>Q75</x:f>
        <x:v>9810.000000013499</x:v>
      </x:c>
      <x:c r="H100" s="369" t="n">
        <x:f>R75</x:f>
        <x:v>11211.428571444</x:v>
      </x:c>
      <x:c r="I100" s="369" t="n">
        <x:f>S75</x:f>
        <x:v>11912.14285715925</x:v>
      </x:c>
      <x:c r="J100" s="228"/>
      <x:c r="K100" s="228"/>
      <x:c r="L100" s="228"/>
      <x:c r="M100" s="228"/>
      <x:c r="N100" s="228"/>
      <x:c r="O100" s="228"/>
      <x:c r="P100" s="228"/>
      <x:c r="Q100" s="228"/>
      <x:c r="R100" s="228"/>
      <x:c r="S100" s="228"/>
      <x:c r="T100" s="228"/>
      <x:c r="U100" s="228"/>
      <x:c r="V100" s="228"/>
      <x:c r="W100" s="228"/>
      <x:c r="X100" s="228"/>
      <x:c r="Y100" s="228"/>
      <x:c r="Z100" s="228"/>
      <x:c r="AA100" s="228"/>
      <x:c r="AB100" s="228"/>
      <x:c r="AC100" s="228"/>
    </x:row>
    <x:row r="101">
      <x:c r="A101" s="316" t="str">
        <x:v>Capacity-supported model adjustment</x:v>
      </x:c>
      <x:c r="B101" s="316" t="str">
        <x:v>INR mn</x:v>
      </x:c>
      <x:c r="C101" s="316" t="str">
        <x:v>Formula: min(model, ceiling)</x:v>
      </x:c>
      <x:c r="D101" s="369" t="n">
        <x:f>D99</x:f>
        <x:v>200</x:v>
      </x:c>
      <x:c r="E101" s="369" t="n">
        <x:f>MIN(E99,E100)</x:f>
        <x:v>300</x:v>
      </x:c>
      <x:c r="F101" s="369" t="n">
        <x:f>MIN(F99,F100)</x:f>
        <x:v>500</x:v>
      </x:c>
      <x:c r="G101" s="369" t="n">
        <x:f>MIN(G99,G100)</x:f>
        <x:v>700</x:v>
      </x:c>
      <x:c r="H101" s="369" t="n">
        <x:f>MIN(H99,H100)</x:f>
        <x:v>900</x:v>
      </x:c>
      <x:c r="I101" s="369" t="n">
        <x:f>MIN(I99,I100)</x:f>
        <x:v>1100</x:v>
      </x:c>
      <x:c r="J101" s="228"/>
      <x:c r="K101" s="228"/>
      <x:c r="L101" s="228"/>
      <x:c r="M101" s="228"/>
      <x:c r="N101" s="228"/>
      <x:c r="O101" s="228"/>
      <x:c r="P101" s="228"/>
      <x:c r="Q101" s="228"/>
      <x:c r="R101" s="228"/>
      <x:c r="S101" s="228"/>
      <x:c r="T101" s="228"/>
      <x:c r="U101" s="228"/>
      <x:c r="V101" s="228"/>
      <x:c r="W101" s="228"/>
      <x:c r="X101" s="228"/>
      <x:c r="Y101" s="228"/>
      <x:c r="Z101" s="228"/>
      <x:c r="AA101" s="228"/>
      <x:c r="AB101" s="228"/>
      <x:c r="AC101" s="228"/>
    </x:row>
    <x:row r="102">
      <x:c r="A102" s="316" t="str">
        <x:v>CDMO base excluding model new-capacity adjustment</x:v>
      </x:c>
      <x:c r="B102" s="316" t="str">
        <x:v>INR mn</x:v>
      </x:c>
      <x:c r="C102" s="316" t="str">
        <x:v>Formula</x:v>
      </x:c>
      <x:c r="D102" s="369" t="n">
        <x:f>D98-D99</x:f>
        <x:v>13970</x:v>
      </x:c>
      <x:c r="E102" s="369" t="n">
        <x:f>E98-E99</x:f>
        <x:v>16696.6622</x:v>
      </x:c>
      <x:c r="F102" s="369" t="n">
        <x:f>F98-F99</x:f>
        <x:v>19887.529</x:v>
      </x:c>
      <x:c r="G102" s="369" t="n">
        <x:f>G98-G99</x:f>
        <x:v>23107.6812</x:v>
      </x:c>
      <x:c r="H102" s="369" t="n">
        <x:f>H98-H99</x:f>
        <x:v>26364.0557</x:v>
      </x:c>
      <x:c r="I102" s="369" t="n">
        <x:f>I98-I99</x:f>
        <x:v>29635.1466</x:v>
      </x:c>
      <x:c r="J102" s="228"/>
      <x:c r="K102" s="228"/>
      <x:c r="L102" s="228"/>
      <x:c r="M102" s="228"/>
      <x:c r="N102" s="228"/>
      <x:c r="O102" s="228"/>
      <x:c r="P102" s="228"/>
      <x:c r="Q102" s="228"/>
      <x:c r="R102" s="228"/>
      <x:c r="S102" s="228"/>
      <x:c r="T102" s="228"/>
      <x:c r="U102" s="228"/>
      <x:c r="V102" s="228"/>
      <x:c r="W102" s="228"/>
      <x:c r="X102" s="228"/>
      <x:c r="Y102" s="228"/>
      <x:c r="Z102" s="228"/>
      <x:c r="AA102" s="228"/>
      <x:c r="AB102" s="228"/>
      <x:c r="AC102" s="228"/>
    </x:row>
    <x:row r="103">
      <x:c r="A103" s="316" t="str">
        <x:v>Capex-based CDMO cross-check</x:v>
      </x:c>
      <x:c r="B103" s="316" t="str">
        <x:v>INR mn</x:v>
      </x:c>
      <x:c r="C103" s="316" t="str">
        <x:v>Formula</x:v>
      </x:c>
      <x:c r="D103" s="369" t="n">
        <x:f>D102+D101</x:f>
        <x:v>14170</x:v>
      </x:c>
      <x:c r="E103" s="369" t="n">
        <x:f>E102+E101</x:f>
        <x:v>16996.6622</x:v>
      </x:c>
      <x:c r="F103" s="369" t="n">
        <x:f>F102+F101</x:f>
        <x:v>20387.529</x:v>
      </x:c>
      <x:c r="G103" s="369" t="n">
        <x:f>G102+G101</x:f>
        <x:v>23807.6812</x:v>
      </x:c>
      <x:c r="H103" s="369" t="n">
        <x:f>H102+H101</x:f>
        <x:v>27264.0557</x:v>
      </x:c>
      <x:c r="I103" s="369" t="n">
        <x:f>I102+I101</x:f>
        <x:v>30735.1466</x:v>
      </x:c>
      <x:c r="J103" s="228"/>
      <x:c r="K103" s="228"/>
      <x:c r="L103" s="228"/>
      <x:c r="M103" s="228"/>
      <x:c r="N103" s="228"/>
      <x:c r="O103" s="228"/>
      <x:c r="P103" s="228"/>
      <x:c r="Q103" s="228"/>
      <x:c r="R103" s="228"/>
      <x:c r="S103" s="228"/>
      <x:c r="T103" s="228"/>
      <x:c r="U103" s="228"/>
      <x:c r="V103" s="228"/>
      <x:c r="W103" s="228"/>
      <x:c r="X103" s="228"/>
      <x:c r="Y103" s="228"/>
      <x:c r="Z103" s="228"/>
      <x:c r="AA103" s="228"/>
      <x:c r="AB103" s="228"/>
      <x:c r="AC103" s="228"/>
    </x:row>
    <x:row r="104">
      <x:c r="A104" s="306" t="str">
        <x:v>Capex-Based Revenue Cross-Check</x:v>
      </x:c>
      <x:c r="B104" s="306" t="str">
        <x:v>INR mn</x:v>
      </x:c>
      <x:c r="C104" s="306" t="str">
        <x:v>Formula</x:v>
      </x:c>
      <x:c r="D104" s="371" t="n">
        <x:f>D96+D103</x:f>
        <x:v>21920.000000082924</x:v>
      </x:c>
      <x:c r="E104" s="371" t="n">
        <x:f>E96+E103</x:f>
        <x:v>26337.914391262697</x:v>
      </x:c>
      <x:c r="F104" s="371" t="n">
        <x:f>F96+F103</x:f>
        <x:v>31756.91687356008</x:v>
      </x:c>
      <x:c r="G104" s="371" t="n">
        <x:f>G96+G103</x:f>
        <x:v>37195.98348195156</x:v>
      </x:c>
      <x:c r="H104" s="371" t="n">
        <x:f>H96+H103</x:f>
        <x:v>42671.78523097847</x:v>
      </x:c>
      <x:c r="I104" s="371" t="n">
        <x:f>I96+I103</x:f>
        <x:v>48177.64099957838</x:v>
      </x:c>
      <x:c r="J104" s="228"/>
      <x:c r="K104" s="228"/>
      <x:c r="L104" s="228"/>
      <x:c r="M104" s="228"/>
      <x:c r="N104" s="228"/>
      <x:c r="O104" s="228"/>
      <x:c r="P104" s="228"/>
      <x:c r="Q104" s="228"/>
      <x:c r="R104" s="228"/>
      <x:c r="S104" s="228"/>
      <x:c r="T104" s="228"/>
      <x:c r="U104" s="228"/>
      <x:c r="V104" s="228"/>
      <x:c r="W104" s="228"/>
      <x:c r="X104" s="228"/>
      <x:c r="Y104" s="228"/>
      <x:c r="Z104" s="228"/>
      <x:c r="AA104" s="228"/>
      <x:c r="AB104" s="228"/>
      <x:c r="AC104" s="228"/>
    </x:row>
    <x:row r="105">
      <x:c r="A105" s="306" t="str">
        <x:v>Difference vs Current Model</x:v>
      </x:c>
      <x:c r="B105" s="306" t="str">
        <x:v>INR mn</x:v>
      </x:c>
      <x:c r="C105" s="306" t="str">
        <x:v>Formula</x:v>
      </x:c>
      <x:c r="D105" s="371" t="n">
        <x:f>ROUND(D104-D94,0)</x:f>
        <x:v>0</x:v>
      </x:c>
      <x:c r="E105" s="371" t="n">
        <x:f>ROUND(E104-E94,0)</x:f>
        <x:v>0</x:v>
      </x:c>
      <x:c r="F105" s="371" t="n">
        <x:f>ROUND(F104-F94,0)</x:f>
        <x:v>0</x:v>
      </x:c>
      <x:c r="G105" s="371" t="n">
        <x:f>ROUND(G104-G94,0)</x:f>
        <x:v>0</x:v>
      </x:c>
      <x:c r="H105" s="371" t="n">
        <x:f>ROUND(H104-H94,0)</x:f>
        <x:v>0</x:v>
      </x:c>
      <x:c r="I105" s="371" t="n">
        <x:f>ROUND(I104-I94,0)</x:f>
        <x:v>0</x:v>
      </x:c>
      <x:c r="J105" s="228"/>
      <x:c r="K105" s="228"/>
      <x:c r="L105" s="228"/>
      <x:c r="M105" s="228"/>
      <x:c r="N105" s="228"/>
      <x:c r="O105" s="228"/>
      <x:c r="P105" s="228"/>
      <x:c r="Q105" s="228"/>
      <x:c r="R105" s="228"/>
      <x:c r="S105" s="228"/>
      <x:c r="T105" s="228"/>
      <x:c r="U105" s="228"/>
      <x:c r="V105" s="228"/>
      <x:c r="W105" s="228"/>
      <x:c r="X105" s="228"/>
      <x:c r="Y105" s="228"/>
      <x:c r="Z105" s="228"/>
      <x:c r="AA105" s="228"/>
      <x:c r="AB105" s="228"/>
      <x:c r="AC105" s="228"/>
    </x:row>
    <x:row r="106">
      <x:c r="A106" s="316" t="str">
        <x:v>Unused 450 KL revenue capacity / optionality</x:v>
      </x:c>
      <x:c r="B106" s="316" t="str">
        <x:v>INR mn</x:v>
      </x:c>
      <x:c r="C106" s="316" t="str">
        <x:v>Formula</x:v>
      </x:c>
      <x:c r="D106" s="369" t="n">
        <x:f>MAX(0,D100-D99)</x:f>
        <x:v>0</x:v>
      </x:c>
      <x:c r="E106" s="369" t="n">
        <x:f>MAX(0,E100-E99)</x:f>
        <x:v>751.071428572875</x:v>
      </x:c>
      <x:c r="F106" s="369" t="n">
        <x:f>MAX(0,F100-F99)</x:f>
        <x:v>7207.857142867751</x:v>
      </x:c>
      <x:c r="G106" s="369" t="n">
        <x:f>MAX(0,G100-G99)</x:f>
        <x:v>9110.000000013499</x:v>
      </x:c>
      <x:c r="H106" s="369" t="n">
        <x:f>MAX(0,H100-H99)</x:f>
        <x:v>10311.428571444</x:v>
      </x:c>
      <x:c r="I106" s="369" t="n">
        <x:f>MAX(0,I100-I99)</x:f>
        <x:v>10812.14285715925</x:v>
      </x:c>
      <x:c r="J106" s="228"/>
      <x:c r="K106" s="228"/>
      <x:c r="L106" s="228"/>
      <x:c r="M106" s="228"/>
      <x:c r="N106" s="228"/>
      <x:c r="O106" s="228"/>
      <x:c r="P106" s="228"/>
      <x:c r="Q106" s="228"/>
      <x:c r="R106" s="228"/>
      <x:c r="S106" s="228"/>
      <x:c r="T106" s="228"/>
      <x:c r="U106" s="228"/>
      <x:c r="V106" s="228"/>
      <x:c r="W106" s="228"/>
      <x:c r="X106" s="228"/>
      <x:c r="Y106" s="228"/>
      <x:c r="Z106" s="228"/>
      <x:c r="AA106" s="228"/>
      <x:c r="AB106" s="228"/>
      <x:c r="AC106" s="228"/>
    </x:row>
    <x:row r="107">
      <x:c r="A107" s="306" t="str">
        <x:v>Analyst status</x:v>
      </x:c>
      <x:c r="B107" s="306" t="str">
        <x:v>Text</x:v>
      </x:c>
      <x:c r="C107" s="306" t="str">
        <x:v>Formula / analyst flag</x:v>
      </x:c>
      <x:c r="D107" s="372" t="str">
        <x:f>IF(ABS(D105/D94)&lt;0.01,"Supported","Review")</x:f>
        <x:v>Supported</x:v>
      </x:c>
      <x:c r="E107" s="372" t="str">
        <x:f>IF(E100&gt;=E99,"Supported — capacity not constraining","Review — capacity constraint")</x:f>
        <x:v>Supported — capacity not constraining</x:v>
      </x:c>
      <x:c r="F107" s="372" t="str">
        <x:f>IF(F100&gt;=F99,"Supported — capacity not constraining","Review — capacity constraint")</x:f>
        <x:v>Supported — capacity not constraining</x:v>
      </x:c>
      <x:c r="G107" s="372" t="str">
        <x:f>IF(G100&gt;=G99,"Supported — capacity not constraining","Review — capacity constraint")</x:f>
        <x:v>Supported — capacity not constraining</x:v>
      </x:c>
      <x:c r="H107" s="372" t="str">
        <x:f>IF(H100&gt;=H99,"Supported — capacity not constraining","Review — capacity constraint")</x:f>
        <x:v>Supported — capacity not constraining</x:v>
      </x:c>
      <x:c r="I107" s="372" t="str">
        <x:f>IF(I100&gt;=I99,"Supported — capacity not constraining","Review — capacity constraint")</x:f>
        <x:v>Supported — capacity not constraining</x:v>
      </x:c>
      <x:c r="J107" s="228"/>
      <x:c r="K107" s="228"/>
      <x:c r="L107" s="228"/>
      <x:c r="M107" s="228"/>
      <x:c r="N107" s="228"/>
      <x:c r="O107" s="228"/>
      <x:c r="P107" s="228"/>
      <x:c r="Q107" s="228"/>
      <x:c r="R107" s="228"/>
      <x:c r="S107" s="228"/>
      <x:c r="T107" s="228"/>
      <x:c r="U107" s="228"/>
      <x:c r="V107" s="228"/>
      <x:c r="W107" s="228"/>
      <x:c r="X107" s="228"/>
      <x:c r="Y107" s="228"/>
      <x:c r="Z107" s="228"/>
      <x:c r="AA107" s="228"/>
      <x:c r="AB107" s="228"/>
      <x:c r="AC107" s="228"/>
    </x:row>
    <x:row r="108">
      <x:c r="A108" s="282"/>
      <x:c r="B108" s="282"/>
      <x:c r="C108" s="282"/>
      <x:c r="D108" s="228"/>
      <x:c r="E108" s="228"/>
      <x:c r="F108" s="228"/>
      <x:c r="G108" s="228"/>
      <x:c r="H108" s="228"/>
      <x:c r="I108" s="228"/>
      <x:c r="J108" s="228"/>
      <x:c r="K108" s="228"/>
      <x:c r="L108" s="228"/>
      <x:c r="M108" s="228"/>
      <x:c r="N108" s="228"/>
      <x:c r="O108" s="228"/>
      <x:c r="P108" s="228"/>
      <x:c r="Q108" s="228"/>
      <x:c r="R108" s="228"/>
      <x:c r="S108" s="228"/>
      <x:c r="T108" s="228"/>
      <x:c r="U108" s="228"/>
      <x:c r="V108" s="228"/>
      <x:c r="W108" s="228"/>
      <x:c r="X108" s="228"/>
      <x:c r="Y108" s="228"/>
      <x:c r="Z108" s="228"/>
      <x:c r="AA108" s="228"/>
      <x:c r="AB108" s="228"/>
      <x:c r="AC108" s="228"/>
    </x:row>
    <x:row r="109">
      <x:c r="A109" s="282"/>
      <x:c r="B109" s="282"/>
      <x:c r="C109" s="282"/>
      <x:c r="D109" s="228"/>
      <x:c r="E109" s="228"/>
      <x:c r="F109" s="228"/>
      <x:c r="G109" s="228"/>
      <x:c r="H109" s="228"/>
      <x:c r="I109" s="228"/>
      <x:c r="J109" s="228"/>
      <x:c r="K109" s="228"/>
      <x:c r="L109" s="228"/>
      <x:c r="M109" s="228"/>
      <x:c r="N109" s="228"/>
      <x:c r="O109" s="228"/>
      <x:c r="P109" s="228"/>
      <x:c r="Q109" s="228"/>
      <x:c r="R109" s="228"/>
      <x:c r="S109" s="228"/>
      <x:c r="T109" s="228"/>
      <x:c r="U109" s="228"/>
      <x:c r="V109" s="228"/>
      <x:c r="W109" s="228"/>
      <x:c r="X109" s="228"/>
      <x:c r="Y109" s="228"/>
      <x:c r="Z109" s="228"/>
      <x:c r="AA109" s="228"/>
      <x:c r="AB109" s="228"/>
      <x:c r="AC109" s="228"/>
    </x:row>
    <x:row r="110" ht="20" customHeight="1">
      <x:c r="A110" s="283" t="str">
        <x:v>E. Capex Efficiency / Return Assessment</x:v>
      </x:c>
      <x:c r="B110" s="283" t="str">
        <x:v>E. Capex Efficiency / Return Assessment</x:v>
      </x:c>
      <x:c r="C110" s="283" t="str">
        <x:v>E. Capex Efficiency / Return Assessment</x:v>
      </x:c>
      <x:c r="D110" s="283" t="str">
        <x:v>E. Capex Efficiency / Return Assessment</x:v>
      </x:c>
      <x:c r="E110" s="283" t="str">
        <x:v>E. Capex Efficiency / Return Assessment</x:v>
      </x:c>
      <x:c r="F110" s="283" t="str">
        <x:v>E. Capex Efficiency / Return Assessment</x:v>
      </x:c>
      <x:c r="G110" s="283" t="str">
        <x:v>E. Capex Efficiency / Return Assessment</x:v>
      </x:c>
      <x:c r="H110" s="228"/>
      <x:c r="I110" s="228"/>
      <x:c r="J110" s="228"/>
      <x:c r="K110" s="228"/>
      <x:c r="L110" s="228"/>
      <x:c r="M110" s="228"/>
      <x:c r="N110" s="228"/>
      <x:c r="O110" s="228"/>
      <x:c r="P110" s="228"/>
      <x:c r="Q110" s="228"/>
      <x:c r="R110" s="228"/>
      <x:c r="S110" s="228"/>
      <x:c r="T110" s="228"/>
      <x:c r="U110" s="228"/>
      <x:c r="V110" s="228"/>
      <x:c r="W110" s="228"/>
      <x:c r="X110" s="228"/>
      <x:c r="Y110" s="228"/>
      <x:c r="Z110" s="228"/>
      <x:c r="AA110" s="228"/>
      <x:c r="AB110" s="228"/>
      <x:c r="AC110" s="228"/>
    </x:row>
    <x:row r="111" ht="40" customHeight="1">
      <x:c r="A111" s="24" t="str">
        <x:v>Capex Block</x:v>
      </x:c>
      <x:c r="B111" s="24" t="str">
        <x:v>Strategic Rationale</x:v>
      </x:c>
      <x:c r="C111" s="24" t="str">
        <x:v>Revenue Visibility</x:v>
      </x:c>
      <x:c r="D111" s="24" t="str">
        <x:v>Time to Monetise</x:v>
      </x:c>
      <x:c r="E111" s="24" t="str">
        <x:v>Utilisation Risk</x:v>
      </x:c>
      <x:c r="F111" s="24" t="str">
        <x:v>Return Potential</x:v>
      </x:c>
      <x:c r="G111" s="24" t="str">
        <x:v>Analyst View</x:v>
      </x:c>
      <x:c r="H111" s="228"/>
      <x:c r="I111" s="228"/>
      <x:c r="J111" s="228"/>
      <x:c r="K111" s="228"/>
      <x:c r="L111" s="228"/>
      <x:c r="M111" s="228"/>
      <x:c r="N111" s="228"/>
      <x:c r="O111" s="228"/>
      <x:c r="P111" s="228"/>
      <x:c r="Q111" s="228"/>
      <x:c r="R111" s="228"/>
      <x:c r="S111" s="228"/>
      <x:c r="T111" s="228"/>
      <x:c r="U111" s="228"/>
      <x:c r="V111" s="228"/>
      <x:c r="W111" s="228"/>
      <x:c r="X111" s="228"/>
      <x:c r="Y111" s="228"/>
      <x:c r="Z111" s="228"/>
      <x:c r="AA111" s="228"/>
      <x:c r="AB111" s="228"/>
      <x:c r="AC111" s="228"/>
    </x:row>
    <x:row r="112" ht="55" customHeight="1">
      <x:c r="A112" s="325" t="str">
        <x:v>~450 KL manufacturing expansion</x:v>
      </x:c>
      <x:c r="B112" s="325" t="str">
        <x:v>Scale manufacturing capacity for late-stage / commercial pipeline</x:v>
      </x:c>
      <x:c r="C112" s="325" t="str">
        <x:v>Medium — management links FY27 capex to customer demand; project-level commitments not disclosed</x:v>
      </x:c>
      <x:c r="D112" s="325" t="str">
        <x:v>1–3 years</x:v>
      </x:c>
      <x:c r="E112" s="325" t="str">
        <x:v>Medium / High during qualification</x:v>
      </x:c>
      <x:c r="F112" s="325" t="str">
        <x:v>High if molecule/campaign loading ramps</x:v>
      </x:c>
      <x:c r="G112" s="326" t="str">
        <x:v>Watch</x:v>
      </x:c>
      <x:c r="H112" s="228"/>
      <x:c r="I112" s="228"/>
      <x:c r="J112" s="228"/>
      <x:c r="K112" s="228"/>
      <x:c r="L112" s="228"/>
      <x:c r="M112" s="228"/>
      <x:c r="N112" s="228"/>
      <x:c r="O112" s="228"/>
      <x:c r="P112" s="228"/>
      <x:c r="Q112" s="228"/>
      <x:c r="R112" s="228"/>
      <x:c r="S112" s="228"/>
      <x:c r="T112" s="228"/>
      <x:c r="U112" s="228"/>
      <x:c r="V112" s="228"/>
      <x:c r="W112" s="228"/>
      <x:c r="X112" s="228"/>
      <x:c r="Y112" s="228"/>
      <x:c r="Z112" s="228"/>
      <x:c r="AA112" s="228"/>
      <x:c r="AB112" s="228"/>
      <x:c r="AC112" s="228"/>
    </x:row>
    <x:row r="113" ht="55" customHeight="1">
      <x:c r="A113" s="325" t="str">
        <x:v>U8 Medicinal Chemistry — 200 fume hoods</x:v>
      </x:c>
      <x:c r="B113" s="325" t="str">
        <x:v>Expand Discovery throughput and scientific capacity</x:v>
      </x:c>
      <x:c r="C113" s="325" t="str">
        <x:v>Medium / High — CRO growing; asset already opened</x:v>
      </x:c>
      <x:c r="D113" s="325" t="str">
        <x:v>0–2 years</x:v>
      </x:c>
      <x:c r="E113" s="325" t="str">
        <x:v>Medium — hiring and utilisation matter</x:v>
      </x:c>
      <x:c r="F113" s="325" t="str">
        <x:v>Positive if scientist ramp follows</x:v>
      </x:c>
      <x:c r="G113" s="330" t="str">
        <x:v>Positive</x:v>
      </x:c>
      <x:c r="H113" s="228"/>
      <x:c r="I113" s="228"/>
      <x:c r="J113" s="228"/>
      <x:c r="K113" s="228"/>
      <x:c r="L113" s="228"/>
      <x:c r="M113" s="228"/>
      <x:c r="N113" s="228"/>
      <x:c r="O113" s="228"/>
      <x:c r="P113" s="228"/>
      <x:c r="Q113" s="228"/>
      <x:c r="R113" s="228"/>
      <x:c r="S113" s="228"/>
      <x:c r="T113" s="228"/>
      <x:c r="U113" s="228"/>
      <x:c r="V113" s="228"/>
      <x:c r="W113" s="228"/>
      <x:c r="X113" s="228"/>
      <x:c r="Y113" s="228"/>
      <x:c r="Z113" s="228"/>
      <x:c r="AA113" s="228"/>
      <x:c r="AB113" s="228"/>
      <x:c r="AC113" s="228"/>
    </x:row>
    <x:row r="114" ht="55" customHeight="1">
      <x:c r="A114" s="325" t="str">
        <x:v>CMC Process R&amp;D Center</x:v>
      </x:c>
      <x:c r="B114" s="325" t="str">
        <x:v>Nearly doubles PRD capacity; adds complex CMC, peptide/amidite and clinical-supply capabilities</x:v>
      </x:c>
      <x:c r="C114" s="325" t="str">
        <x:v>Medium — clear strategic fit, but no project-specific revenue disclosed</x:v>
      </x:c>
      <x:c r="D114" s="325" t="str">
        <x:v>1–2 years</x:v>
      </x:c>
      <x:c r="E114" s="325" t="str">
        <x:v>Medium</x:v>
      </x:c>
      <x:c r="F114" s="325" t="str">
        <x:v>Positive with FTE/DPC programme ramp</x:v>
      </x:c>
      <x:c r="G114" s="330" t="str">
        <x:v>Positive</x:v>
      </x:c>
      <x:c r="H114" s="228"/>
      <x:c r="I114" s="228"/>
      <x:c r="J114" s="228"/>
      <x:c r="K114" s="228"/>
      <x:c r="L114" s="228"/>
      <x:c r="M114" s="228"/>
      <x:c r="N114" s="228"/>
      <x:c r="O114" s="228"/>
      <x:c r="P114" s="228"/>
      <x:c r="Q114" s="228"/>
      <x:c r="R114" s="228"/>
      <x:c r="S114" s="228"/>
      <x:c r="T114" s="228"/>
      <x:c r="U114" s="228"/>
      <x:c r="V114" s="228"/>
      <x:c r="W114" s="228"/>
      <x:c r="X114" s="228"/>
      <x:c r="Y114" s="228"/>
      <x:c r="Z114" s="228"/>
      <x:c r="AA114" s="228"/>
      <x:c r="AB114" s="228"/>
      <x:c r="AC114" s="228"/>
    </x:row>
    <x:row r="115" ht="55" customHeight="1">
      <x:c r="A115" s="325" t="str">
        <x:v>Peptide process + pilot plants</x:v>
      </x:c>
      <x:c r="B115" s="325" t="str">
        <x:v>Follow-the-molecule from discovery into process development / scale-up</x:v>
      </x:c>
      <x:c r="C115" s="325" t="str">
        <x:v>Medium / Low — capability demand visible; individual wins not quantified</x:v>
      </x:c>
      <x:c r="D115" s="325" t="str">
        <x:v>1–3 years</x:v>
      </x:c>
      <x:c r="E115" s="325" t="str">
        <x:v>Medium / High</x:v>
      </x:c>
      <x:c r="F115" s="325" t="str">
        <x:v>Potentially attractive but project-led</x:v>
      </x:c>
      <x:c r="G115" s="326" t="str">
        <x:v>Watch</x:v>
      </x:c>
      <x:c r="H115" s="228"/>
      <x:c r="I115" s="228"/>
      <x:c r="J115" s="228"/>
      <x:c r="K115" s="228"/>
      <x:c r="L115" s="228"/>
      <x:c r="M115" s="228"/>
      <x:c r="N115" s="228"/>
      <x:c r="O115" s="228"/>
      <x:c r="P115" s="228"/>
      <x:c r="Q115" s="228"/>
      <x:c r="R115" s="228"/>
      <x:c r="S115" s="228"/>
      <x:c r="T115" s="228"/>
      <x:c r="U115" s="228"/>
      <x:c r="V115" s="228"/>
      <x:c r="W115" s="228"/>
      <x:c r="X115" s="228"/>
      <x:c r="Y115" s="228"/>
      <x:c r="Z115" s="228"/>
      <x:c r="AA115" s="228"/>
      <x:c r="AB115" s="228"/>
      <x:c r="AC115" s="228"/>
    </x:row>
    <x:row r="116" ht="55" customHeight="1">
      <x:c r="A116" s="325" t="str">
        <x:v>OEB-6 / ADC labs</x:v>
      </x:c>
      <x:c r="B116" s="325" t="str">
        <x:v>Enable high-containment / next-generation ADC work across Discovery and CMC</x:v>
      </x:c>
      <x:c r="C116" s="325" t="str">
        <x:v>Medium — existing large-pharma ADC collaboration disclosed</x:v>
      </x:c>
      <x:c r="D116" s="325" t="str">
        <x:v>1–3 years</x:v>
      </x:c>
      <x:c r="E116" s="325" t="str">
        <x:v>Medium</x:v>
      </x:c>
      <x:c r="F116" s="325" t="str">
        <x:v>Positive strategic optionality</x:v>
      </x:c>
      <x:c r="G116" s="330" t="str">
        <x:v>Positive</x:v>
      </x:c>
      <x:c r="H116" s="228"/>
      <x:c r="I116" s="228"/>
      <x:c r="J116" s="228"/>
      <x:c r="K116" s="228"/>
      <x:c r="L116" s="228"/>
      <x:c r="M116" s="228"/>
      <x:c r="N116" s="228"/>
      <x:c r="O116" s="228"/>
      <x:c r="P116" s="228"/>
      <x:c r="Q116" s="228"/>
      <x:c r="R116" s="228"/>
      <x:c r="S116" s="228"/>
      <x:c r="T116" s="228"/>
      <x:c r="U116" s="228"/>
      <x:c r="V116" s="228"/>
      <x:c r="W116" s="228"/>
      <x:c r="X116" s="228"/>
      <x:c r="Y116" s="228"/>
      <x:c r="Z116" s="228"/>
      <x:c r="AA116" s="228"/>
      <x:c r="AB116" s="228"/>
      <x:c r="AC116" s="228"/>
    </x:row>
    <x:row r="117" ht="55" customHeight="1">
      <x:c r="A117" s="325" t="str">
        <x:v>Biology + Vivarium expansion</x:v>
      </x:c>
      <x:c r="B117" s="325" t="str">
        <x:v>Deepen integrated discovery offering and broaden wallet share</x:v>
      </x:c>
      <x:c r="C117" s="325" t="str">
        <x:v>Medium / High — integrated discovery already meaningful</x:v>
      </x:c>
      <x:c r="D117" s="325" t="str">
        <x:v>0–2 years</x:v>
      </x:c>
      <x:c r="E117" s="325" t="str">
        <x:v>Low / Medium</x:v>
      </x:c>
      <x:c r="F117" s="325" t="str">
        <x:v>Positive; less capital intensive than manufacturing</x:v>
      </x:c>
      <x:c r="G117" s="330" t="str">
        <x:v>Positive</x:v>
      </x:c>
      <x:c r="H117" s="228"/>
      <x:c r="I117" s="228"/>
      <x:c r="J117" s="228"/>
      <x:c r="K117" s="228"/>
      <x:c r="L117" s="228"/>
      <x:c r="M117" s="228"/>
      <x:c r="N117" s="228"/>
      <x:c r="O117" s="228"/>
      <x:c r="P117" s="228"/>
      <x:c r="Q117" s="228"/>
      <x:c r="R117" s="228"/>
      <x:c r="S117" s="228"/>
      <x:c r="T117" s="228"/>
      <x:c r="U117" s="228"/>
      <x:c r="V117" s="228"/>
      <x:c r="W117" s="228"/>
      <x:c r="X117" s="228"/>
      <x:c r="Y117" s="228"/>
      <x:c r="Z117" s="228"/>
      <x:c r="AA117" s="228"/>
      <x:c r="AB117" s="228"/>
      <x:c r="AC117" s="228"/>
    </x:row>
    <x:row r="118" ht="55" customHeight="1">
      <x:c r="A118" s="325" t="str">
        <x:v>Choutuppal / second manufacturing site</x:v>
      </x:c>
      <x:c r="B118" s="325" t="str">
        <x:v>Create next manufacturing growth leg</x:v>
      </x:c>
      <x:c r="C118" s="325" t="str">
        <x:v>Low — capacity, spend and customer backing not yet disclosed</x:v>
      </x:c>
      <x:c r="D118" s="325" t="str">
        <x:v>2–4+ years</x:v>
      </x:c>
      <x:c r="E118" s="325" t="str">
        <x:v>High until scope disclosed</x:v>
      </x:c>
      <x:c r="F118" s="325" t="str">
        <x:v>Too early to underwrite</x:v>
      </x:c>
      <x:c r="G118" s="326" t="str">
        <x:v>Watch</x:v>
      </x:c>
      <x:c r="H118" s="228"/>
      <x:c r="I118" s="228"/>
      <x:c r="J118" s="228"/>
      <x:c r="K118" s="228"/>
      <x:c r="L118" s="228"/>
      <x:c r="M118" s="228"/>
      <x:c r="N118" s="228"/>
      <x:c r="O118" s="228"/>
      <x:c r="P118" s="228"/>
      <x:c r="Q118" s="228"/>
      <x:c r="R118" s="228"/>
      <x:c r="S118" s="228"/>
      <x:c r="T118" s="228"/>
      <x:c r="U118" s="228"/>
      <x:c r="V118" s="228"/>
      <x:c r="W118" s="228"/>
      <x:c r="X118" s="228"/>
      <x:c r="Y118" s="228"/>
      <x:c r="Z118" s="228"/>
      <x:c r="AA118" s="228"/>
      <x:c r="AB118" s="228"/>
      <x:c r="AC118" s="228"/>
    </x:row>
    <x:row r="119">
      <x:c r="A119" s="282"/>
      <x:c r="B119" s="282"/>
      <x:c r="C119" s="282"/>
      <x:c r="D119" s="228"/>
      <x:c r="E119" s="228"/>
      <x:c r="F119" s="228"/>
      <x:c r="G119" s="228"/>
      <x:c r="H119" s="228"/>
      <x:c r="I119" s="228"/>
      <x:c r="J119" s="228"/>
      <x:c r="K119" s="228"/>
      <x:c r="L119" s="228"/>
      <x:c r="M119" s="228"/>
      <x:c r="N119" s="228"/>
      <x:c r="O119" s="228"/>
      <x:c r="P119" s="228"/>
      <x:c r="Q119" s="228"/>
      <x:c r="R119" s="228"/>
      <x:c r="S119" s="228"/>
      <x:c r="T119" s="228"/>
      <x:c r="U119" s="228"/>
      <x:c r="V119" s="228"/>
      <x:c r="W119" s="228"/>
      <x:c r="X119" s="228"/>
      <x:c r="Y119" s="228"/>
      <x:c r="Z119" s="228"/>
      <x:c r="AA119" s="228"/>
      <x:c r="AB119" s="228"/>
      <x:c r="AC119" s="228"/>
    </x:row>
    <x:row r="120">
      <x:c r="A120" s="282"/>
      <x:c r="B120" s="282"/>
      <x:c r="C120" s="282"/>
      <x:c r="D120" s="228"/>
      <x:c r="E120" s="228"/>
      <x:c r="F120" s="228"/>
      <x:c r="G120" s="228"/>
      <x:c r="H120" s="228"/>
      <x:c r="I120" s="228"/>
      <x:c r="J120" s="228"/>
      <x:c r="K120" s="228"/>
      <x:c r="L120" s="228"/>
      <x:c r="M120" s="228"/>
      <x:c r="N120" s="228"/>
      <x:c r="O120" s="228"/>
      <x:c r="P120" s="228"/>
      <x:c r="Q120" s="228"/>
      <x:c r="R120" s="228"/>
      <x:c r="S120" s="228"/>
      <x:c r="T120" s="228"/>
      <x:c r="U120" s="228"/>
      <x:c r="V120" s="228"/>
      <x:c r="W120" s="228"/>
      <x:c r="X120" s="228"/>
      <x:c r="Y120" s="228"/>
      <x:c r="Z120" s="228"/>
      <x:c r="AA120" s="228"/>
      <x:c r="AB120" s="228"/>
      <x:c r="AC120" s="228"/>
    </x:row>
    <x:row r="121" ht="20" customHeight="1">
      <x:c r="A121" s="283" t="str">
        <x:v>F. Quarterly Capex Monitoring Checklist</x:v>
      </x:c>
      <x:c r="B121" s="283" t="str">
        <x:v>F. Quarterly Capex Monitoring Checklist</x:v>
      </x:c>
      <x:c r="C121" s="283" t="str">
        <x:v>F. Quarterly Capex Monitoring Checklist</x:v>
      </x:c>
      <x:c r="D121" s="283" t="str">
        <x:v>F. Quarterly Capex Monitoring Checklist</x:v>
      </x:c>
      <x:c r="E121" s="283" t="str">
        <x:v>F. Quarterly Capex Monitoring Checklist</x:v>
      </x:c>
      <x:c r="F121" s="283" t="str">
        <x:v>F. Quarterly Capex Monitoring Checklist</x:v>
      </x:c>
      <x:c r="G121" s="283" t="str">
        <x:v>F. Quarterly Capex Monitoring Checklist</x:v>
      </x:c>
      <x:c r="H121" s="283" t="str">
        <x:v>F. Quarterly Capex Monitoring Checklist</x:v>
      </x:c>
      <x:c r="I121" s="228"/>
      <x:c r="J121" s="228"/>
      <x:c r="K121" s="228"/>
      <x:c r="L121" s="228"/>
      <x:c r="M121" s="228"/>
      <x:c r="N121" s="228"/>
      <x:c r="O121" s="228"/>
      <x:c r="P121" s="228"/>
      <x:c r="Q121" s="228"/>
      <x:c r="R121" s="228"/>
      <x:c r="S121" s="228"/>
      <x:c r="T121" s="228"/>
      <x:c r="U121" s="228"/>
      <x:c r="V121" s="228"/>
      <x:c r="W121" s="228"/>
      <x:c r="X121" s="228"/>
      <x:c r="Y121" s="228"/>
      <x:c r="Z121" s="228"/>
      <x:c r="AA121" s="228"/>
      <x:c r="AB121" s="228"/>
      <x:c r="AC121" s="228"/>
    </x:row>
    <x:row r="122" ht="42" customHeight="1">
      <x:c r="A122" s="24" t="str">
        <x:v>Capex Project</x:v>
      </x:c>
      <x:c r="B122" s="24" t="str">
        <x:v>Previous Status</x:v>
      </x:c>
      <x:c r="C122" s="24" t="str">
        <x:v>Latest Status</x:v>
      </x:c>
      <x:c r="D122" s="24" t="str">
        <x:v>What management promised</x:v>
      </x:c>
      <x:c r="E122" s="24" t="str">
        <x:v>What actually happened</x:v>
      </x:c>
      <x:c r="F122" s="24" t="str">
        <x:v>Next Milestone</x:v>
      </x:c>
      <x:c r="G122" s="24" t="str">
        <x:v>Expected Date</x:v>
      </x:c>
      <x:c r="H122" s="24" t="str">
        <x:v>Revenue / Estimate Implication</x:v>
      </x:c>
      <x:c r="I122" s="228"/>
      <x:c r="J122" s="228"/>
      <x:c r="K122" s="228"/>
      <x:c r="L122" s="228"/>
      <x:c r="M122" s="228"/>
      <x:c r="N122" s="228"/>
      <x:c r="O122" s="228"/>
      <x:c r="P122" s="228"/>
      <x:c r="Q122" s="228"/>
      <x:c r="R122" s="228"/>
      <x:c r="S122" s="228"/>
      <x:c r="T122" s="228"/>
      <x:c r="U122" s="228"/>
      <x:c r="V122" s="228"/>
      <x:c r="W122" s="228"/>
      <x:c r="X122" s="228"/>
      <x:c r="Y122" s="228"/>
      <x:c r="Z122" s="228"/>
      <x:c r="AA122" s="228"/>
      <x:c r="AB122" s="228"/>
      <x:c r="AC122" s="228"/>
    </x:row>
    <x:row r="123" ht="58" customHeight="1">
      <x:c r="A123" s="325" t="str">
        <x:v>~450 KL manufacturing expansion</x:v>
      </x:c>
      <x:c r="B123" s="325" t="str">
        <x:v>Q3FY26: 2×225 KL blocks under construction</x:v>
      </x:c>
      <x:c r="C123" s="325" t="str">
        <x:v>Construction / FY27 investment cycle ongoing</x:v>
      </x:c>
      <x:c r="D123" s="325" t="str">
        <x:v>First 225 KL by Q2FY27; second block by FY27-end</x:v>
      </x:c>
      <x:c r="E123" s="325" t="str">
        <x:v>No commissioning disclosed by FY26 year-end</x:v>
      </x:c>
      <x:c r="F123" s="325" t="str">
        <x:v>Commission first 225 KL block</x:v>
      </x:c>
      <x:c r="G123" s="325" t="str">
        <x:v>Q2FY27</x:v>
      </x:c>
      <x:c r="H123" s="325" t="str">
        <x:v>Main capacity support for FY28–FY31 CDMO; watch qualification and campaign loading</x:v>
      </x:c>
      <x:c r="I123" s="228"/>
      <x:c r="J123" s="228"/>
      <x:c r="K123" s="228"/>
      <x:c r="L123" s="228"/>
      <x:c r="M123" s="228"/>
      <x:c r="N123" s="228"/>
      <x:c r="O123" s="228"/>
      <x:c r="P123" s="228"/>
      <x:c r="Q123" s="228"/>
      <x:c r="R123" s="228"/>
      <x:c r="S123" s="228"/>
      <x:c r="T123" s="228"/>
      <x:c r="U123" s="228"/>
      <x:c r="V123" s="228"/>
      <x:c r="W123" s="228"/>
      <x:c r="X123" s="228"/>
      <x:c r="Y123" s="228"/>
      <x:c r="Z123" s="228"/>
      <x:c r="AA123" s="228"/>
      <x:c r="AB123" s="228"/>
      <x:c r="AC123" s="228"/>
    </x:row>
    <x:row r="124" ht="58" customHeight="1">
      <x:c r="A124" s="325" t="str">
        <x:v>CMC Process R&amp;D Center</x:v>
      </x:c>
      <x:c r="B124" s="325" t="str">
        <x:v>Structure completed; commissioning targeted Sep-26</x:v>
      </x:c>
      <x:c r="C124" s="325" t="str">
        <x:v>Project remains a key FY27 capability build</x:v>
      </x:c>
      <x:c r="D124" s="325" t="str">
        <x:v>Commission by Sep-26; roughly double Process R&amp;D capacity</x:v>
      </x:c>
      <x:c r="E124" s="325" t="str">
        <x:v>No early commissioning disclosed at FY26 year-end</x:v>
      </x:c>
      <x:c r="F124" s="325" t="str">
        <x:v>Commissioning + client programme onboarding</x:v>
      </x:c>
      <x:c r="G124" s="325" t="str">
        <x:v>Sep-26</x:v>
      </x:c>
      <x:c r="H124" s="325" t="str">
        <x:v>Supports CMC development revenue; limited direct near-term manufacturing revenue</x:v>
      </x:c>
      <x:c r="I124" s="228"/>
      <x:c r="J124" s="228"/>
      <x:c r="K124" s="228"/>
      <x:c r="L124" s="228"/>
      <x:c r="M124" s="228"/>
      <x:c r="N124" s="228"/>
      <x:c r="O124" s="228"/>
      <x:c r="P124" s="228"/>
      <x:c r="Q124" s="228"/>
      <x:c r="R124" s="228"/>
      <x:c r="S124" s="228"/>
      <x:c r="T124" s="228"/>
      <x:c r="U124" s="228"/>
      <x:c r="V124" s="228"/>
      <x:c r="W124" s="228"/>
      <x:c r="X124" s="228"/>
      <x:c r="Y124" s="228"/>
      <x:c r="Z124" s="228"/>
      <x:c r="AA124" s="228"/>
      <x:c r="AB124" s="228"/>
      <x:c r="AC124" s="228"/>
    </x:row>
    <x:row r="125" ht="58" customHeight="1">
      <x:c r="A125" s="325" t="str">
        <x:v>Peptide process + pilot plants</x:v>
      </x:c>
      <x:c r="B125" s="325" t="str">
        <x:v>Commissioning targeted Sep-26</x:v>
      </x:c>
      <x:c r="C125" s="325" t="str">
        <x:v>Expansion from Discovery into process / scale-up remains underway</x:v>
      </x:c>
      <x:c r="D125" s="325" t="str">
        <x:v>Commission process + pilot plants Sep-26</x:v>
      </x:c>
      <x:c r="E125" s="325" t="str">
        <x:v>No commissioning disclosed at FY26 year-end</x:v>
      </x:c>
      <x:c r="F125" s="325" t="str">
        <x:v>Commission / start qualification</x:v>
      </x:c>
      <x:c r="G125" s="325" t="str">
        <x:v>Sep-26</x:v>
      </x:c>
      <x:c r="H125" s="325" t="str">
        <x:v>Potential new development wallet share; do not assume immediate commercial revenue</x:v>
      </x:c>
      <x:c r="I125" s="228"/>
      <x:c r="J125" s="228"/>
      <x:c r="K125" s="228"/>
      <x:c r="L125" s="228"/>
      <x:c r="M125" s="228"/>
      <x:c r="N125" s="228"/>
      <x:c r="O125" s="228"/>
      <x:c r="P125" s="228"/>
      <x:c r="Q125" s="228"/>
      <x:c r="R125" s="228"/>
      <x:c r="S125" s="228"/>
      <x:c r="T125" s="228"/>
      <x:c r="U125" s="228"/>
      <x:c r="V125" s="228"/>
      <x:c r="W125" s="228"/>
      <x:c r="X125" s="228"/>
      <x:c r="Y125" s="228"/>
      <x:c r="Z125" s="228"/>
      <x:c r="AA125" s="228"/>
      <x:c r="AB125" s="228"/>
      <x:c r="AC125" s="228"/>
    </x:row>
    <x:row r="126" ht="58" customHeight="1">
      <x:c r="A126" s="325" t="str">
        <x:v>OEB-6 / ADC labs</x:v>
      </x:c>
      <x:c r="B126" s="325" t="str">
        <x:v>Discovery phase 1 complete; process-development lab underway</x:v>
      </x:c>
      <x:c r="C126" s="325" t="str">
        <x:v>ADC / high-containment capability build continues</x:v>
      </x:c>
      <x:c r="D126" s="325" t="str">
        <x:v>Process development OEB-6 lab around Oct-26</x:v>
      </x:c>
      <x:c r="E126" s="325" t="str">
        <x:v>Discovery capability completed; CMC still in build</x:v>
      </x:c>
      <x:c r="F126" s="325" t="str">
        <x:v>CMC OEB-6 commissioning / qualification</x:v>
      </x:c>
      <x:c r="G126" s="325" t="str">
        <x:v>Oct-26</x:v>
      </x:c>
      <x:c r="H126" s="325" t="str">
        <x:v>Upside only after project wins / validation; track ADC programme progression</x:v>
      </x:c>
      <x:c r="I126" s="228"/>
      <x:c r="J126" s="228"/>
      <x:c r="K126" s="228"/>
      <x:c r="L126" s="228"/>
      <x:c r="M126" s="228"/>
      <x:c r="N126" s="228"/>
      <x:c r="O126" s="228"/>
      <x:c r="P126" s="228"/>
      <x:c r="Q126" s="228"/>
      <x:c r="R126" s="228"/>
      <x:c r="S126" s="228"/>
      <x:c r="T126" s="228"/>
      <x:c r="U126" s="228"/>
      <x:c r="V126" s="228"/>
      <x:c r="W126" s="228"/>
      <x:c r="X126" s="228"/>
      <x:c r="Y126" s="228"/>
      <x:c r="Z126" s="228"/>
      <x:c r="AA126" s="228"/>
      <x:c r="AB126" s="228"/>
      <x:c r="AC126" s="228"/>
    </x:row>
    <x:row r="127" ht="58" customHeight="1">
      <x:c r="A127" s="325" t="str">
        <x:v>U8 Medicinal Chemistry — 200 fume hoods</x:v>
      </x:c>
      <x:c r="B127" s="325" t="str">
        <x:v>Due to commission in Q4FY26</x:v>
      </x:c>
      <x:c r="C127" s="325" t="str">
        <x:v>Opened / available in FY26</x:v>
      </x:c>
      <x:c r="D127" s="325" t="str">
        <x:v>Add 200 fume hoods to Discovery capacity</x:v>
      </x:c>
      <x:c r="E127" s="325" t="str">
        <x:v>Milestone achieved</x:v>
      </x:c>
      <x:c r="F127" s="325" t="str">
        <x:v>Scientist onboarding + utilisation ramp</x:v>
      </x:c>
      <x:c r="G127" s="325" t="str">
        <x:v>FY27</x:v>
      </x:c>
      <x:c r="H127" s="325" t="str">
        <x:v>Supports CRO capacity; revise CRO only if hiring/utilisation deviates from model</x:v>
      </x:c>
      <x:c r="I127" s="228"/>
      <x:c r="J127" s="228"/>
      <x:c r="K127" s="228"/>
      <x:c r="L127" s="228"/>
      <x:c r="M127" s="228"/>
      <x:c r="N127" s="228"/>
      <x:c r="O127" s="228"/>
      <x:c r="P127" s="228"/>
      <x:c r="Q127" s="228"/>
      <x:c r="R127" s="228"/>
      <x:c r="S127" s="228"/>
      <x:c r="T127" s="228"/>
      <x:c r="U127" s="228"/>
      <x:c r="V127" s="228"/>
      <x:c r="W127" s="228"/>
      <x:c r="X127" s="228"/>
      <x:c r="Y127" s="228"/>
      <x:c r="Z127" s="228"/>
      <x:c r="AA127" s="228"/>
      <x:c r="AB127" s="228"/>
      <x:c r="AC127" s="228"/>
    </x:row>
    <x:row r="128" ht="58" customHeight="1">
      <x:c r="A128" s="325" t="str">
        <x:v>Animal health expansion</x:v>
      </x:c>
      <x:c r="B128" s="325" t="str">
        <x:v>Phase I targeted for Mar-27</x:v>
      </x:c>
      <x:c r="C128" s="325" t="str">
        <x:v>Expansion remains under development</x:v>
      </x:c>
      <x:c r="D128" s="325" t="str">
        <x:v>Complete Phase I by Mar-27; validation for commercial launch thereafter</x:v>
      </x:c>
      <x:c r="E128" s="325" t="str">
        <x:v>No acceleration disclosed</x:v>
      </x:c>
      <x:c r="F128" s="325" t="str">
        <x:v>Phase I completion then validation</x:v>
      </x:c>
      <x:c r="G128" s="325" t="str">
        <x:v>Mar-27</x:v>
      </x:c>
      <x:c r="H128" s="325" t="str">
        <x:v>Revenue contribution should follow validation, not construction</x:v>
      </x:c>
      <x:c r="I128" s="228"/>
      <x:c r="J128" s="228"/>
      <x:c r="K128" s="228"/>
      <x:c r="L128" s="228"/>
      <x:c r="M128" s="228"/>
      <x:c r="N128" s="228"/>
      <x:c r="O128" s="228"/>
      <x:c r="P128" s="228"/>
      <x:c r="Q128" s="228"/>
      <x:c r="R128" s="228"/>
      <x:c r="S128" s="228"/>
      <x:c r="T128" s="228"/>
      <x:c r="U128" s="228"/>
      <x:c r="V128" s="228"/>
      <x:c r="W128" s="228"/>
      <x:c r="X128" s="228"/>
      <x:c r="Y128" s="228"/>
      <x:c r="Z128" s="228"/>
      <x:c r="AA128" s="228"/>
      <x:c r="AB128" s="228"/>
      <x:c r="AC128" s="228"/>
    </x:row>
    <x:row r="129" ht="58" customHeight="1">
      <x:c r="A129" s="325" t="str">
        <x:v>Choutuppal / second manufacturing site</x:v>
      </x:c>
      <x:c r="B129" s="325" t="str">
        <x:v>Not previously quantified</x:v>
      </x:c>
      <x:c r="C129" s="325" t="str">
        <x:v>Land acquired / second manufacturing site development referenced</x:v>
      </x:c>
      <x:c r="D129" s="325" t="str">
        <x:v>No detailed capacity / commissioning guide in supplied materials</x:v>
      </x:c>
      <x:c r="E129" s="325" t="str">
        <x:v>Scope still not quantified</x:v>
      </x:c>
      <x:c r="F129" s="325" t="str">
        <x:v>Capex size, capacity and timeline disclosure</x:v>
      </x:c>
      <x:c r="G129" s="325" t="str">
        <x:v>TBD</x:v>
      </x:c>
      <x:c r="H129" s="325" t="str">
        <x:v>Exclude from numerical capacity forecast until disclosure improves</x:v>
      </x:c>
      <x:c r="I129" s="228"/>
      <x:c r="J129" s="228"/>
      <x:c r="K129" s="228"/>
      <x:c r="L129" s="228"/>
      <x:c r="M129" s="228"/>
      <x:c r="N129" s="228"/>
      <x:c r="O129" s="228"/>
      <x:c r="P129" s="228"/>
      <x:c r="Q129" s="228"/>
      <x:c r="R129" s="228"/>
      <x:c r="S129" s="228"/>
      <x:c r="T129" s="228"/>
      <x:c r="U129" s="228"/>
      <x:c r="V129" s="228"/>
      <x:c r="W129" s="228"/>
      <x:c r="X129" s="228"/>
      <x:c r="Y129" s="228"/>
      <x:c r="Z129" s="228"/>
      <x:c r="AA129" s="228"/>
      <x:c r="AB129" s="228"/>
      <x:c r="AC129" s="228"/>
    </x:row>
    <x:row r="130" ht="58" customHeight="1">
      <x:c r="A130" s="325" t="str">
        <x:v>CWIP / returns</x:v>
      </x:c>
      <x:c r="B130" s="325" t="str">
        <x:v>FY25 CWIP ~INR 1,245mn</x:v>
      </x:c>
      <x:c r="C130" s="325" t="str">
        <x:v>FY26 CWIP ~INR 2,705mn; front-loaded FY27 capex ahead</x:v>
      </x:c>
      <x:c r="D130" s="325" t="str">
        <x:v>FY27 capex INR 11,000–13,000mn; ~75% capacity expansion</x:v>
      </x:c>
      <x:c r="E130" s="325" t="str">
        <x:v>CWIP rose materially into FY26 year-end</x:v>
      </x:c>
      <x:c r="F130" s="325" t="str">
        <x:v>CWIP capitalisation + revenue ramp</x:v>
      </x:c>
      <x:c r="G130" s="325" t="str">
        <x:v>FY27–FY29</x:v>
      </x:c>
      <x:c r="H130" s="325" t="str">
        <x:v>Expect asset turn / ROCE pressure during commissioning; recovery requires utilisation</x:v>
      </x:c>
      <x:c r="I130" s="228"/>
      <x:c r="J130" s="228"/>
      <x:c r="K130" s="228"/>
      <x:c r="L130" s="228"/>
      <x:c r="M130" s="228"/>
      <x:c r="N130" s="228"/>
      <x:c r="O130" s="228"/>
      <x:c r="P130" s="228"/>
      <x:c r="Q130" s="228"/>
      <x:c r="R130" s="228"/>
      <x:c r="S130" s="228"/>
      <x:c r="T130" s="228"/>
      <x:c r="U130" s="228"/>
      <x:c r="V130" s="228"/>
      <x:c r="W130" s="228"/>
      <x:c r="X130" s="228"/>
      <x:c r="Y130" s="228"/>
      <x:c r="Z130" s="228"/>
      <x:c r="AA130" s="228"/>
      <x:c r="AB130" s="228"/>
      <x:c r="AC130" s="228"/>
    </x:row>
  </x:sheetData>
  <x:mergeCells>
    <x:mergeCell ref="A1:AC1"/>
    <x:mergeCell ref="A2:AC2"/>
    <x:mergeCell ref="A4:M4"/>
    <x:mergeCell ref="O4:AC4"/>
    <x:mergeCell ref="O5:AC11"/>
    <x:mergeCell ref="A49:AC49"/>
    <x:mergeCell ref="A67:M67"/>
    <x:mergeCell ref="A82:S82"/>
    <x:mergeCell ref="A92:J92"/>
    <x:mergeCell ref="A110:G110"/>
    <x:mergeCell ref="A121:H121"/>
    <x:mergeCell ref="K83:S83"/>
  </x:mergeCells>
  <x:pageMargins left="0.7" right="0.7" top="0.75" bottom="0.75" header="0.3" footer="0.3"/>
  <x:drawing xmlns:r="http://schemas.openxmlformats.org/officeDocument/2006/relationships" r:id="R2472cbd727844153"/>
</x:worksheet>
</file>