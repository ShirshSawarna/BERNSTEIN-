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1a95bd75e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an Companies" sheetId="1" r:id="Rf66b40936a994e38"/>
    <x:sheet xmlns:r="http://schemas.openxmlformats.org/officeDocument/2006/relationships" name="US Peers" sheetId="2" r:id="R4a7c1ce1cbeb4eb9"/>
    <x:sheet xmlns:r="http://schemas.openxmlformats.org/officeDocument/2006/relationships" name="Methodology" sheetId="3" r:id="R4f6487e68ae5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;[Red](0);-"/>
    <x:numFmt numFmtId="201" formatCode="0.0%;[Red](0.0%);-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0"/>
      <x:color rgb="FF666666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2F3"/>
      </x:patternFill>
    </x:fill>
  </x:fills>
  <x:borders count="6">
    <x:border/>
    <x:border/>
    <x:border>
      <x:bottom style="thin">
        <x:color rgb="FF7F7F7F"/>
      </x:bottom>
    </x:border>
    <x:border>
      <x:bottom style="thin">
        <x:color rgb="FF7F7F7F"/>
      </x:bottom>
    </x:border>
    <x:border>
      <x:bottom style="hair">
        <x:color rgb="FFD9D9D9"/>
      </x:bottom>
    </x:border>
    <x:border>
      <x:bottom style="hair">
        <x:color rgb="FFD9D9D9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3c463e66e4ce5" /><Relationship Type="http://schemas.openxmlformats.org/officeDocument/2006/relationships/theme" Target="/xl/theme/theme1.xml" Id="R037ce2d44e1949f6" /><Relationship Type="http://schemas.openxmlformats.org/officeDocument/2006/relationships/sharedStrings" Target="/xl/sharedStrings.xml" Id="Rdbf75e04d38d467b" /><Relationship Type="http://schemas.openxmlformats.org/officeDocument/2006/relationships/worksheet" Target="/xl/worksheets/sheet1.xml" Id="Rf66b40936a994e38" /><Relationship Type="http://schemas.openxmlformats.org/officeDocument/2006/relationships/worksheet" Target="/xl/worksheets/sheet2.xml" Id="R4a7c1ce1cbeb4eb9" /><Relationship Type="http://schemas.openxmlformats.org/officeDocument/2006/relationships/worksheet" Target="/xl/worksheets/sheet3.xml" Id="R4f6487e68ae545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1" hidden="0" customWidth="1"/>
    <x:col min="7" max="7" width="11" hidden="0" customWidth="1"/>
    <x:col min="8" max="8" width="11" hidden="0" customWidth="1"/>
    <x:col min="9" max="9" width="52" hidden="0" customWidth="1"/>
    <x:col min="10" max="10" width="44" hidden="0" customWidth="1"/>
  </x:cols>
  <x:sheetData>
    <x:row r="1" ht="22" customHeight="1">
      <x:c r="A1" s="5" t="str">
        <x:v>FDA DQA Inspection Classifications — Indian Companies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1" t="str">
        <x:v>Last five completed FDA fiscal years: FY22–FY26 (1 Oct 2021–30 Sep 2026)</x:v>
      </x:c>
      <x:c r="B2" s="11"/>
      <x:c r="C2" s="11"/>
      <x:c r="D2" s="11"/>
      <x:c r="E2" s="11"/>
      <x:c r="F2" s="11"/>
      <x:c r="G2" s="11"/>
      <x:c r="H2" s="11"/>
      <x:c r="I2" s="11"/>
    </x:row>
    <x:row r="4">
      <x:c r="A4" s="18" t="str">
        <x:v>Company</x:v>
      </x:c>
      <x:c r="B4" s="18" t="str">
        <x:v>Inspections (I)</x:v>
      </x:c>
      <x:c r="C4" s="18" t="str">
        <x:v>VAI Count</x:v>
      </x:c>
      <x:c r="D4" s="18" t="str">
        <x:v>NAI Count</x:v>
      </x:c>
      <x:c r="E4" s="18" t="str">
        <x:v>OAI Count</x:v>
      </x:c>
      <x:c r="F4" s="18" t="str">
        <x:v>VAI %</x:v>
      </x:c>
      <x:c r="G4" s="18" t="str">
        <x:v>NAI %</x:v>
      </x:c>
      <x:c r="H4" s="18" t="str">
        <x:v>OAI %</x:v>
      </x:c>
      <x:c r="I4" s="18" t="str">
        <x:v>Source</x:v>
      </x:c>
      <x:c r="J4" s="50" t="str">
        <x:v>Note</x:v>
      </x:c>
    </x:row>
    <x:row r="5">
      <x:c r="A5" s="32" t="str">
        <x:v>Biocon</x:v>
      </x:c>
      <x:c r="B5" s="33" t="n">
        <x:v>10</x:v>
      </x:c>
      <x:c r="C5" s="33" t="n">
        <x:v>7</x:v>
      </x:c>
      <x:c r="D5" s="33" t="n">
        <x:v>2</x:v>
      </x:c>
      <x:c r="E5" s="33" t="n">
        <x:v>1</x:v>
      </x:c>
      <x:c r="F5" s="34" t="n">
        <x:f>IF(B5=0,"",C5/B5)</x:f>
        <x:v>0.7</x:v>
      </x:c>
      <x:c r="G5" s="34" t="n">
        <x:f>IF(B5=0,"",D5/B5)</x:f>
        <x:v>0.2</x:v>
      </x:c>
      <x:c r="H5" s="34" t="n">
        <x:f>IF(B5=0,"",E5/B5)</x:f>
        <x:v>0.1</x:v>
      </x:c>
      <x:c r="I5" s="40" t="str">
        <x:v>https://pharmaceuticalcompanies.com/company/biocon-biologics-limited</x:v>
      </x:c>
      <x:c r="J5" s="52" t="str"/>
    </x:row>
    <x:row r="6">
      <x:c r="A6" s="32" t="str">
        <x:v>Dr. Reddy's</x:v>
      </x:c>
      <x:c r="B6" s="33" t="n">
        <x:v>15</x:v>
      </x:c>
      <x:c r="C6" s="33" t="n">
        <x:v>12</x:v>
      </x:c>
      <x:c r="D6" s="33" t="n">
        <x:v>3</x:v>
      </x:c>
      <x:c r="E6" s="33" t="n">
        <x:v>0</x:v>
      </x:c>
      <x:c r="F6" s="34" t="n">
        <x:f>IF(B6=0,"",C6/B6)</x:f>
        <x:v>0.8</x:v>
      </x:c>
      <x:c r="G6" s="34" t="n">
        <x:f>IF(B6=0,"",D6/B6)</x:f>
        <x:v>0.2</x:v>
      </x:c>
      <x:c r="H6" s="34" t="n">
        <x:f>IF(B6=0,"",E6/B6)</x:f>
        <x:v>0</x:v>
      </x:c>
      <x:c r="I6" s="40" t="str">
        <x:v>https://pharmaceuticalcompanies.com/company/dr-reddy-s-laboratories-limited</x:v>
      </x:c>
      <x:c r="J6" s="52" t="str"/>
    </x:row>
    <x:row r="7">
      <x:c r="A7" s="32" t="str">
        <x:v>Zydus Lifesciences</x:v>
      </x:c>
      <x:c r="B7" s="33" t="n">
        <x:v>13</x:v>
      </x:c>
      <x:c r="C7" s="33" t="n">
        <x:v>7</x:v>
      </x:c>
      <x:c r="D7" s="33" t="n">
        <x:v>4</x:v>
      </x:c>
      <x:c r="E7" s="33" t="n">
        <x:v>2</x:v>
      </x:c>
      <x:c r="F7" s="34" t="n">
        <x:f>IF(B7=0,"",C7/B7)</x:f>
        <x:v>0.5384615384615384</x:v>
      </x:c>
      <x:c r="G7" s="34" t="n">
        <x:f>IF(B7=0,"",D7/B7)</x:f>
        <x:v>0.3076923076923077</x:v>
      </x:c>
      <x:c r="H7" s="34" t="n">
        <x:f>IF(B7=0,"",E7/B7)</x:f>
        <x:v>0.15384615384615385</x:v>
      </x:c>
      <x:c r="I7" s="40" t="str">
        <x:v>https://pharmaceuticalcompanies.com/company/zydus-lifesciences-limited</x:v>
      </x:c>
      <x:c r="J7" s="52" t="str"/>
    </x:row>
    <x:row r="8">
      <x:c r="A8" s="32" t="str">
        <x:v>Mankind Pharma</x:v>
      </x:c>
      <x:c r="B8" s="33" t="n">
        <x:v>3</x:v>
      </x:c>
      <x:c r="C8" s="33" t="n">
        <x:v>3</x:v>
      </x:c>
      <x:c r="D8" s="33" t="n">
        <x:v>0</x:v>
      </x:c>
      <x:c r="E8" s="33" t="n">
        <x:v>0</x:v>
      </x:c>
      <x:c r="F8" s="34" t="n">
        <x:f>IF(B8=0,"",C8/B8)</x:f>
        <x:v>1</x:v>
      </x:c>
      <x:c r="G8" s="34" t="n">
        <x:f>IF(B8=0,"",D8/B8)</x:f>
        <x:v>0</x:v>
      </x:c>
      <x:c r="H8" s="34" t="n">
        <x:f>IF(B8=0,"",E8/B8)</x:f>
        <x:v>0</x:v>
      </x:c>
      <x:c r="I8" s="40" t="str">
        <x:v>https://www.zymergi.com/gmp/mankind-pharma-limited</x:v>
      </x:c>
      <x:c r="J8" s="52" t="str"/>
    </x:row>
    <x:row r="9">
      <x:c r="A9" s="32" t="str">
        <x:v>Lupin</x:v>
      </x:c>
      <x:c r="B9" s="33" t="n">
        <x:v>12</x:v>
      </x:c>
      <x:c r="C9" s="33" t="n">
        <x:v>6</x:v>
      </x:c>
      <x:c r="D9" s="33" t="n">
        <x:v>3</x:v>
      </x:c>
      <x:c r="E9" s="33" t="n">
        <x:v>3</x:v>
      </x:c>
      <x:c r="F9" s="34" t="n">
        <x:f>IF(B9=0,"",C9/B9)</x:f>
        <x:v>0.5</x:v>
      </x:c>
      <x:c r="G9" s="34" t="n">
        <x:f>IF(B9=0,"",D9/B9)</x:f>
        <x:v>0.25</x:v>
      </x:c>
      <x:c r="H9" s="34" t="n">
        <x:f>IF(B9=0,"",E9/B9)</x:f>
        <x:v>0.25</x:v>
      </x:c>
      <x:c r="I9" s="40" t="str">
        <x:v>https://pharmaceuticalcompanies.com/company/lupin-limited</x:v>
      </x:c>
      <x:c r="J9" s="52" t="str"/>
    </x:row>
    <x:row r="10">
      <x:c r="A10" s="32" t="str">
        <x:v>Aurobindo Pharma</x:v>
      </x:c>
      <x:c r="B10" s="33" t="n">
        <x:v>6</x:v>
      </x:c>
      <x:c r="C10" s="33" t="n">
        <x:v>5</x:v>
      </x:c>
      <x:c r="D10" s="33" t="n">
        <x:v>0</x:v>
      </x:c>
      <x:c r="E10" s="33" t="n">
        <x:v>1</x:v>
      </x:c>
      <x:c r="F10" s="34" t="n">
        <x:f>IF(B10=0,"",C10/B10)</x:f>
        <x:v>0.8333333333333334</x:v>
      </x:c>
      <x:c r="G10" s="34" t="n">
        <x:f>IF(B10=0,"",D10/B10)</x:f>
        <x:v>0</x:v>
      </x:c>
      <x:c r="H10" s="34" t="n">
        <x:f>IF(B10=0,"",E10/B10)</x:f>
        <x:v>0.16666666666666666</x:v>
      </x:c>
      <x:c r="I10" s="40" t="str">
        <x:v>https://pharmaceuticalcompanies.com/company/aurobindo-pharma-limited</x:v>
      </x:c>
      <x:c r="J10" s="52" t="str"/>
    </x:row>
    <x:row r="11">
      <x:c r="A11" s="32" t="str">
        <x:v>Sun Pharma</x:v>
      </x:c>
      <x:c r="B11" s="33" t="n">
        <x:v>14</x:v>
      </x:c>
      <x:c r="C11" s="33" t="n">
        <x:v>3</x:v>
      </x:c>
      <x:c r="D11" s="33" t="n">
        <x:v>8</x:v>
      </x:c>
      <x:c r="E11" s="33" t="n">
        <x:v>3</x:v>
      </x:c>
      <x:c r="F11" s="34" t="n">
        <x:f>IF(B11=0,"",C11/B11)</x:f>
        <x:v>0.21428571428571427</x:v>
      </x:c>
      <x:c r="G11" s="34" t="n">
        <x:f>IF(B11=0,"",D11/B11)</x:f>
        <x:v>0.5714285714285714</x:v>
      </x:c>
      <x:c r="H11" s="34" t="n">
        <x:f>IF(B11=0,"",E11/B11)</x:f>
        <x:v>0.21428571428571427</x:v>
      </x:c>
      <x:c r="I11" s="40" t="str">
        <x:v>https://pharmaceuticalcompanies.com/company/sun-pharmaceutical-industries-limited</x:v>
      </x:c>
      <x:c r="J11" s="52" t="str"/>
    </x:row>
    <x:row r="12">
      <x:c r="A12" s="32" t="str">
        <x:v>Divi's Labs</x:v>
      </x:c>
      <x:c r="B12" s="33" t="n">
        <x:v>2</x:v>
      </x:c>
      <x:c r="C12" s="33" t="n">
        <x:v>1</x:v>
      </x:c>
      <x:c r="D12" s="33" t="n">
        <x:v>1</x:v>
      </x:c>
      <x:c r="E12" s="33" t="n">
        <x:v>0</x:v>
      </x:c>
      <x:c r="F12" s="34" t="n">
        <x:f>IF(B12=0,"",C12/B12)</x:f>
        <x:v>0.5</x:v>
      </x:c>
      <x:c r="G12" s="34" t="n">
        <x:f>IF(B12=0,"",D12/B12)</x:f>
        <x:v>0.5</x:v>
      </x:c>
      <x:c r="H12" s="34" t="n">
        <x:f>IF(B12=0,"",E12/B12)</x:f>
        <x:v>0</x:v>
      </x:c>
      <x:c r="I12" s="40" t="str">
        <x:v>https://pharmaceuticalcompanies.com/company/divi-s-laboratories-limited</x:v>
      </x:c>
      <x:c r="J12" s="52" t="str"/>
    </x:row>
    <x:row r="13">
      <x:c r="A13" s="32" t="str">
        <x:v>Laurus Labs</x:v>
      </x:c>
      <x:c r="B13" s="33" t="n">
        <x:v>4</x:v>
      </x:c>
      <x:c r="C13" s="33" t="n">
        <x:v>2</x:v>
      </x:c>
      <x:c r="D13" s="33" t="n">
        <x:v>2</x:v>
      </x:c>
      <x:c r="E13" s="33" t="n">
        <x:v>0</x:v>
      </x:c>
      <x:c r="F13" s="34" t="n">
        <x:f>IF(B13=0,"",C13/B13)</x:f>
        <x:v>0.5</x:v>
      </x:c>
      <x:c r="G13" s="34" t="n">
        <x:f>IF(B13=0,"",D13/B13)</x:f>
        <x:v>0.5</x:v>
      </x:c>
      <x:c r="H13" s="34" t="n">
        <x:f>IF(B13=0,"",E13/B13)</x:f>
        <x:v>0</x:v>
      </x:c>
      <x:c r="I13" s="40" t="str">
        <x:v>https://pharmaceuticalcompanies.com/company/laurus-labs-limited</x:v>
      </x:c>
      <x:c r="J13" s="52" t="str"/>
    </x:row>
    <x:row r="14">
      <x:c r="A14" s="32" t="str">
        <x:v>Neuland Labs</x:v>
      </x:c>
      <x:c r="B14" s="33" t="n">
        <x:v>3</x:v>
      </x:c>
      <x:c r="C14" s="33" t="n">
        <x:v>2</x:v>
      </x:c>
      <x:c r="D14" s="33" t="n">
        <x:v>1</x:v>
      </x:c>
      <x:c r="E14" s="33" t="n">
        <x:v>0</x:v>
      </x:c>
      <x:c r="F14" s="34" t="n">
        <x:f>IF(B14=0,"",C14/B14)</x:f>
        <x:v>0.6666666666666666</x:v>
      </x:c>
      <x:c r="G14" s="34" t="n">
        <x:f>IF(B14=0,"",D14/B14)</x:f>
        <x:v>0.3333333333333333</x:v>
      </x:c>
      <x:c r="H14" s="34" t="n">
        <x:f>IF(B14=0,"",E14/B14)</x:f>
        <x:v>0</x:v>
      </x:c>
      <x:c r="I14" s="40" t="str">
        <x:v>https://pharmaceuticalcompanies.com/company/neuland-laboratories-limited</x:v>
      </x:c>
      <x:c r="J14" s="52" t="str"/>
    </x:row>
    <x:row r="15">
      <x:c r="A15" s="32" t="str">
        <x:v>Shilpa Medicare</x:v>
      </x:c>
      <x:c r="B15" s="33" t="n">
        <x:v>2</x:v>
      </x:c>
      <x:c r="C15" s="33" t="n">
        <x:v>2</x:v>
      </x:c>
      <x:c r="D15" s="33" t="n">
        <x:v>0</x:v>
      </x:c>
      <x:c r="E15" s="33" t="n">
        <x:v>0</x:v>
      </x:c>
      <x:c r="F15" s="34" t="n">
        <x:f>IF(B15=0,"",C15/B15)</x:f>
        <x:v>1</x:v>
      </x:c>
      <x:c r="G15" s="34" t="n">
        <x:f>IF(B15=0,"",D15/B15)</x:f>
        <x:v>0</x:v>
      </x:c>
      <x:c r="H15" s="34" t="n">
        <x:f>IF(B15=0,"",E15/B15)</x:f>
        <x:v>0</x:v>
      </x:c>
      <x:c r="I15" s="40" t="str">
        <x:v>https://pharmaceuticalcompanies.com/company/shilpa-medicare-limited</x:v>
      </x:c>
      <x:c r="J15" s="52" t="str"/>
    </x:row>
    <x:row r="16">
      <x:c r="A16" s="32" t="str">
        <x:v>Wockhardt</x:v>
      </x:c>
      <x:c r="B16" s="33" t="n">
        <x:v>0</x:v>
      </x:c>
      <x:c r="C16" s="33" t="n">
        <x:v>0</x:v>
      </x:c>
      <x:c r="D16" s="33" t="n">
        <x:v>0</x:v>
      </x:c>
      <x:c r="E16" s="33" t="n">
        <x:v>0</x:v>
      </x:c>
      <x:c r="F16" s="34" t="str">
        <x:f>IF(B16=0,"",C16/B16)</x:f>
      </x:c>
      <x:c r="G16" s="34" t="str">
        <x:f>IF(B16=0,"",D16/B16)</x:f>
      </x:c>
      <x:c r="H16" s="34" t="str">
        <x:f>IF(B16=0,"",E16/B16)</x:f>
      </x:c>
      <x:c r="I16" s="40" t="str">
        <x:v>https://pharmaceuticalcompanies.com/company/wockhardt-limited</x:v>
      </x:c>
      <x:c r="J16" s="52" t="str">
        <x:v>No classified DQA inspections in FY22–FY26; do not interpret blanks as 0% classification mix.</x:v>
      </x:c>
    </x:row>
    <x:row r="17">
      <x:c r="A17" s="42" t="str">
        <x:v>Ajanta Pharma</x:v>
      </x:c>
      <x:c r="B17" s="43" t="n">
        <x:v>3</x:v>
      </x:c>
      <x:c r="C17" s="43" t="n">
        <x:v>1</x:v>
      </x:c>
      <x:c r="D17" s="43" t="n">
        <x:v>2</x:v>
      </x:c>
      <x:c r="E17" s="43" t="n">
        <x:v>0</x:v>
      </x:c>
      <x:c r="F17" s="44" t="n">
        <x:f>IF(B17=0,"",C17/B17)</x:f>
        <x:v>0.3333333333333333</x:v>
      </x:c>
      <x:c r="G17" s="44" t="n">
        <x:f>IF(B17=0,"",D17/B17)</x:f>
        <x:v>0.6666666666666666</x:v>
      </x:c>
      <x:c r="H17" s="44" t="n">
        <x:f>IF(B17=0,"",E17/B17)</x:f>
        <x:v>0</x:v>
      </x:c>
      <x:c r="I17" s="45" t="str">
        <x:v>https://pharmaceuticalcompanies.com/company/ajanta-pharma-limited</x:v>
      </x:c>
      <x:c r="J17" s="52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1" hidden="0" customWidth="1"/>
    <x:col min="7" max="7" width="11" hidden="0" customWidth="1"/>
    <x:col min="8" max="8" width="11" hidden="0" customWidth="1"/>
    <x:col min="9" max="9" width="52" hidden="0" customWidth="1"/>
  </x:cols>
  <x:sheetData>
    <x:row r="1" ht="22" customHeight="1">
      <x:c r="A1" s="5" t="str">
        <x:v>FDA DQA Inspection Classifications — US / Global Peers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1" t="str">
        <x:v>Last five completed FDA fiscal years: FY22–FY26 (1 Oct 2021–30 Sep 2026)</x:v>
      </x:c>
      <x:c r="B2" s="11"/>
      <x:c r="C2" s="11"/>
      <x:c r="D2" s="11"/>
      <x:c r="E2" s="11"/>
      <x:c r="F2" s="11"/>
      <x:c r="G2" s="11"/>
      <x:c r="H2" s="11"/>
      <x:c r="I2" s="11"/>
    </x:row>
    <x:row r="4">
      <x:c r="A4" s="18" t="str">
        <x:v>Company</x:v>
      </x:c>
      <x:c r="B4" s="18" t="str">
        <x:v>Inspections (I)</x:v>
      </x:c>
      <x:c r="C4" s="18" t="str">
        <x:v>VAI Count</x:v>
      </x:c>
      <x:c r="D4" s="18" t="str">
        <x:v>NAI Count</x:v>
      </x:c>
      <x:c r="E4" s="18" t="str">
        <x:v>OAI Count</x:v>
      </x:c>
      <x:c r="F4" s="18" t="str">
        <x:v>VAI %</x:v>
      </x:c>
      <x:c r="G4" s="18" t="str">
        <x:v>NAI %</x:v>
      </x:c>
      <x:c r="H4" s="18" t="str">
        <x:v>OAI %</x:v>
      </x:c>
      <x:c r="I4" s="18" t="str">
        <x:v>Source</x:v>
      </x:c>
    </x:row>
    <x:row r="5">
      <x:c r="A5" s="32" t="str">
        <x:v>Amneal</x:v>
      </x:c>
      <x:c r="B5" s="33" t="n">
        <x:v>13</x:v>
      </x:c>
      <x:c r="C5" s="33" t="n">
        <x:v>3</x:v>
      </x:c>
      <x:c r="D5" s="33" t="n">
        <x:v>10</x:v>
      </x:c>
      <x:c r="E5" s="33" t="n">
        <x:v>0</x:v>
      </x:c>
      <x:c r="F5" s="34" t="n">
        <x:f>IF(B5=0,"",C5/B5)</x:f>
        <x:v>0.23076923076923078</x:v>
      </x:c>
      <x:c r="G5" s="34" t="n">
        <x:f>IF(B5=0,"",D5/B5)</x:f>
        <x:v>0.7692307692307693</x:v>
      </x:c>
      <x:c r="H5" s="34" t="n">
        <x:f>IF(B5=0,"",E5/B5)</x:f>
        <x:v>0</x:v>
      </x:c>
      <x:c r="I5" s="40" t="str">
        <x:v>https://pharmaceuticalcompanies.com/company/amneal-pharmaceuticals-of-new-york-llc</x:v>
      </x:c>
    </x:row>
    <x:row r="6">
      <x:c r="A6" s="32" t="str">
        <x:v>Teva</x:v>
      </x:c>
      <x:c r="B6" s="33" t="n">
        <x:v>6</x:v>
      </x:c>
      <x:c r="C6" s="33" t="n">
        <x:v>4</x:v>
      </x:c>
      <x:c r="D6" s="33" t="n">
        <x:v>2</x:v>
      </x:c>
      <x:c r="E6" s="33" t="n">
        <x:v>0</x:v>
      </x:c>
      <x:c r="F6" s="34" t="n">
        <x:f>IF(B6=0,"",C6/B6)</x:f>
        <x:v>0.6666666666666666</x:v>
      </x:c>
      <x:c r="G6" s="34" t="n">
        <x:f>IF(B6=0,"",D6/B6)</x:f>
        <x:v>0.3333333333333333</x:v>
      </x:c>
      <x:c r="H6" s="34" t="n">
        <x:f>IF(B6=0,"",E6/B6)</x:f>
        <x:v>0</x:v>
      </x:c>
      <x:c r="I6" s="40" t="str">
        <x:v>https://pharmaceuticalcompanies.com/company/teva-pharmaceutical-industries-ltd</x:v>
      </x:c>
    </x:row>
    <x:row r="7">
      <x:c r="A7" s="32" t="str">
        <x:v>Apotex</x:v>
      </x:c>
      <x:c r="B7" s="33" t="n">
        <x:v>8</x:v>
      </x:c>
      <x:c r="C7" s="33" t="n">
        <x:v>4</x:v>
      </x:c>
      <x:c r="D7" s="33" t="n">
        <x:v>3</x:v>
      </x:c>
      <x:c r="E7" s="33" t="n">
        <x:v>1</x:v>
      </x:c>
      <x:c r="F7" s="34" t="n">
        <x:f>IF(B7=0,"",C7/B7)</x:f>
        <x:v>0.5</x:v>
      </x:c>
      <x:c r="G7" s="34" t="n">
        <x:f>IF(B7=0,"",D7/B7)</x:f>
        <x:v>0.375</x:v>
      </x:c>
      <x:c r="H7" s="34" t="n">
        <x:f>IF(B7=0,"",E7/B7)</x:f>
        <x:v>0.125</x:v>
      </x:c>
      <x:c r="I7" s="40" t="str">
        <x:v>https://pharmaceuticalcompanies.com/company/apotex-inc</x:v>
      </x:c>
    </x:row>
    <x:row r="8">
      <x:c r="A8" s="32" t="str">
        <x:v>Sandoz</x:v>
      </x:c>
      <x:c r="B8" s="33" t="n">
        <x:v>6</x:v>
      </x:c>
      <x:c r="C8" s="33" t="n">
        <x:v>5</x:v>
      </x:c>
      <x:c r="D8" s="33" t="n">
        <x:v>1</x:v>
      </x:c>
      <x:c r="E8" s="33" t="n">
        <x:v>0</x:v>
      </x:c>
      <x:c r="F8" s="34" t="n">
        <x:f>IF(B8=0,"",C8/B8)</x:f>
        <x:v>0.8333333333333334</x:v>
      </x:c>
      <x:c r="G8" s="34" t="n">
        <x:f>IF(B8=0,"",D8/B8)</x:f>
        <x:v>0.16666666666666666</x:v>
      </x:c>
      <x:c r="H8" s="34" t="n">
        <x:f>IF(B8=0,"",E8/B8)</x:f>
        <x:v>0</x:v>
      </x:c>
      <x:c r="I8" s="40" t="str">
        <x:v>https://pharmaceuticalcompanies.com/company/sandoz-industrial-products-s-a</x:v>
      </x:c>
    </x:row>
    <x:row r="9">
      <x:c r="A9" s="42" t="str">
        <x:v>Mylan / Viatris</x:v>
      </x:c>
      <x:c r="B9" s="43" t="n">
        <x:v>18</x:v>
      </x:c>
      <x:c r="C9" s="43" t="n">
        <x:v>10</x:v>
      </x:c>
      <x:c r="D9" s="43" t="n">
        <x:v>7</x:v>
      </x:c>
      <x:c r="E9" s="43" t="n">
        <x:v>1</x:v>
      </x:c>
      <x:c r="F9" s="44" t="n">
        <x:f>IF(B9=0,"",C9/B9)</x:f>
        <x:v>0.5555555555555556</x:v>
      </x:c>
      <x:c r="G9" s="44" t="n">
        <x:f>IF(B9=0,"",D9/B9)</x:f>
        <x:v>0.3888888888888889</x:v>
      </x:c>
      <x:c r="H9" s="44" t="n">
        <x:f>IF(B9=0,"",E9/B9)</x:f>
        <x:v>0.05555555555555555</x:v>
      </x:c>
      <x:c r="I9" s="45" t="str">
        <x:v>https://pharmaceuticalcompanies.com/company/viatris-inc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88" hidden="0" customWidth="1"/>
  </x:cols>
  <x:sheetData>
    <x:row r="1">
      <x:c r="A1" s="56" t="str">
        <x:v>Methodology / Definitions</x:v>
      </x:c>
      <x:c r="B1" s="56"/>
      <x:c r="C1" s="3"/>
      <x:c r="D1" s="3"/>
      <x:c r="E1" s="3"/>
      <x:c r="F1" s="3"/>
    </x:row>
    <x:row r="3">
      <x:c r="A3" s="50" t="str">
        <x:v>Item</x:v>
      </x:c>
      <x:c r="B3" s="50" t="str">
        <x:v>Detail</x:v>
      </x:c>
    </x:row>
    <x:row r="4">
      <x:c r="A4" t="str">
        <x:v>Period</x:v>
      </x:c>
      <x:c r="B4" t="str">
        <x:v>FDA FY22–FY26 (1 Oct 2021–30 Sep 2026)</x:v>
      </x:c>
    </x:row>
    <x:row r="5">
      <x:c r="A5" t="str">
        <x:v>Scope</x:v>
      </x:c>
      <x:c r="B5" t="str">
        <x:v>Drug Quality Assurance (DQA) / Drugs classification records only</x:v>
      </x:c>
    </x:row>
    <x:row r="6">
      <x:c r="A6" t="str">
        <x:v>NAI</x:v>
      </x:c>
      <x:c r="B6" t="str">
        <x:v>No Action Indicated</x:v>
      </x:c>
    </x:row>
    <x:row r="7">
      <x:c r="A7" t="str">
        <x:v>VAI</x:v>
      </x:c>
      <x:c r="B7" t="str">
        <x:v>Voluntary Action Indicated</x:v>
      </x:c>
    </x:row>
    <x:row r="8">
      <x:c r="A8" t="str">
        <x:v>OAI</x:v>
      </x:c>
      <x:c r="B8" t="str">
        <x:v>Official Action Indicated</x:v>
      </x:c>
    </x:row>
    <x:row r="10">
      <x:c r="A10" s="50" t="str">
        <x:v>Reference</x:v>
      </x:c>
      <x:c r="B10" s="50" t="str">
        <x:v>URL</x:v>
      </x:c>
    </x:row>
    <x:row r="11">
      <x:c r="A11" t="str">
        <x:v>FDA Inspection Classification Database</x:v>
      </x:c>
      <x:c r="B11" t="str">
        <x:v>https://www.fda.gov/inspections-compliance-enforcement-and-criminal-investigations/inspection-classification-database</x:v>
      </x:c>
    </x:row>
    <x:row r="12">
      <x:c r="A12" t="str">
        <x:v>FDA Inspection Classifications</x:v>
      </x:c>
      <x:c r="B12" t="str">
        <x:v>https://www.fda.gov/inspections-compliance-enforcement-and-criminal-investigations/inspection-basics/inspection-classifications</x:v>
      </x:c>
    </x:row>
    <x:row r="13">
      <x:c r="A13" t="str">
        <x:v>FDA Inspections Database FAQ</x:v>
      </x:c>
      <x:c r="B13" t="str">
        <x:v>https://www.fda.gov/inspections-compliance-enforcement-and-criminal-investigations/inspection-references/inspections-database-frequently-asked-questions</x:v>
      </x:c>
    </x:row>
    <x:row r="15">
      <x:c r="A15" s="54" t="str">
        <x:v>Important</x:v>
      </x:c>
      <x:c r="B15" t="str">
        <x:v>The workbook transcribes the dataset provided in the preceding response. Before external publication, reconcile company/site matching directly against FDA ICDB/FEI records.</x:v>
      </x:c>
    </x:row>
    <x:row r="16">
      <x:c r="A16" s="54" t="str">
        <x:v>Interpretation</x:v>
      </x:c>
      <x:c r="B16" t="str">
        <x:v>Percentages are formula-driven from classification counts. For I=0, percentages are left blank rather than shown as 0%.</x:v>
      </x:c>
    </x:row>
  </x:sheetData>
  <x:mergeCells>
    <x:mergeCell ref="A1:F1"/>
  </x:mergeCells>
  <x:pageMargins left="0.7" right="0.7" top="0.75" bottom="0.75" header="0.3" footer="0.3"/>
</x:worksheet>
</file>