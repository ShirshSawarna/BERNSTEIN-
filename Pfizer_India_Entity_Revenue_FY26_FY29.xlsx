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9b2a44b31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601dfe87d9b84fb6"/>
    <x:sheet xmlns:r="http://schemas.openxmlformats.org/officeDocument/2006/relationships" name="Inputs" sheetId="2" r:id="Ra14a96849b76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–"/>
    <x:numFmt numFmtId="201" formatCode="0.0%"/>
    <x:numFmt numFmtId="202" formatCode="#,##0.0"/>
    <x:numFmt numFmtId="203" formatCode="#,##0"/>
  </x:numFmts>
  <x:fonts count="6">
    <x:font>
      <x:sz val="11"/>
      <x:name val="Carlito"/>
    </x:font>
    <x:font>
      <x:sz val="11"/>
      <x:color rgb="FF17324D"/>
      <x:name val="Arial"/>
    </x:font>
    <x:font>
      <x:b/>
      <x:sz val="20"/>
      <x:color rgb="FF003B7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EAF1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5" fillId="3" borderId="0" xfId="0" applyNumberFormat="1" applyFont="1" applyFill="1" applyBorder="1"/>
    <x:xf numFmtId="203" fontId="5" fillId="3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9ae8047934025" /><Relationship Type="http://schemas.openxmlformats.org/officeDocument/2006/relationships/theme" Target="/xl/theme/theme1.xml" Id="R63b9a04235e94af2" /><Relationship Type="http://schemas.openxmlformats.org/officeDocument/2006/relationships/sharedStrings" Target="/xl/sharedStrings.xml" Id="R974187ee7b674df2" /><Relationship Type="http://schemas.openxmlformats.org/officeDocument/2006/relationships/worksheet" Target="/xl/worksheets/sheet1.xml" Id="R601dfe87d9b84fb6" /><Relationship Type="http://schemas.openxmlformats.org/officeDocument/2006/relationships/worksheet" Target="/xl/worksheets/sheet2.xml" Id="Ra14a96849b764e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df2cb0e3464e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Aggregate entity revenue before eliminations (INR mn)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Pfizer Limited</c:v>
          </c:tx>
          <c:spPr>
            <a:solidFill xmlns:a="http://schemas.openxmlformats.org/drawingml/2006/main">
              <a:srgbClr val="003B71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data'!$B$6:$B$9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Private commercial</c:v>
          </c:tx>
          <c:spPr>
            <a:solidFill xmlns:a="http://schemas.openxmlformats.org/drawingml/2006/main">
              <a:srgbClr val="167CC1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data'!$C$6:$C$9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Manufacturing / R&amp;D</c:v>
          </c:tx>
          <c:spPr>
            <a:solidFill xmlns:a="http://schemas.openxmlformats.org/drawingml/2006/main">
              <a:srgbClr val="BDD3E8"/>
            </a:solidFill>
          </c:spPr>
          <c:invertIfNegative val="0"/>
          <c:cat>
            <c:strRef>
              <c:f>'Chart data'!$A$6:$A$9</c:f>
              <c:strCache>
                <c:ptCount val="0"/>
              </c:strCache>
            </c:strRef>
          </c:cat>
          <c:val>
            <c:numRef>
              <c:f>'Chart data'!$D$6:$D$9</c:f>
              <c:numCache>
                <c:formatCode>#,##0</c:formatCode>
                <c:ptCount val="0"/>
              </c:numCache>
            </c:numRef>
          </c:val>
        </c:ser>
        <c:gapWidth val="10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f2cb0e3464e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9dc5a21106439f" /></Relationships>
</file>

<file path=xl/worksheets/sheet1.xml><?xml version="1.0" encoding="utf-8"?>
<x:worksheet xmlns:x="http://schemas.openxmlformats.org/spreadsheetml/2006/main">
  <x:sheetPr>
    <x:tabColor rgb="FF003B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219999313354492" hidden="0" customWidth="1"/>
    <x:col min="2" max="2" width="19.440000534057617" hidden="0" customWidth="1"/>
    <x:col min="3" max="3" width="22.219999313354492" hidden="0" customWidth="1"/>
    <x:col min="4" max="4" width="23.329999923706055" hidden="0" customWidth="1"/>
    <x:col min="5" max="5" width="17.780000686645508" hidden="0" customWidth="1"/>
    <x:col min="6" max="6" width="16.670000076293945" hidden="0" customWidth="1"/>
    <x:col min="7" max="7" width="12.22000026702880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36" customHeight="1">
      <x:c r="A2" s="4" t="str">
        <x:v>Pfizer India: revenue across three entities</x:v>
      </x:c>
      <x:c r="B2" s="3"/>
      <x:c r="C2" s="3"/>
      <x:c r="D2" s="3"/>
      <x:c r="E2" s="3"/>
      <x:c r="F2" s="3"/>
      <x:c r="G2" s="3"/>
    </x:row>
    <x:row r="3" ht="38" customHeight="1">
      <x:c r="A3" s="3" t="str">
        <x:v>INR million. Aggregate standalone revenue before intercompany eliminations. FY26 is actual for the listed company and estimated for both private entities.</x:v>
      </x:c>
      <x:c r="B3" s="3"/>
      <x:c r="C3" s="3"/>
      <x:c r="D3" s="3"/>
      <x:c r="E3" s="3"/>
      <x:c r="F3" s="3"/>
      <x:c r="G3" s="3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8" t="str">
        <x:v>Year</x:v>
      </x:c>
      <x:c r="B5" s="8" t="str">
        <x:v>Pfizer Limited</x:v>
      </x:c>
      <x:c r="C5" s="8" t="str">
        <x:v>Private commercial</x:v>
      </x:c>
      <x:c r="D5" s="8" t="str">
        <x:v>Manufacturing / R&amp;D</x:v>
      </x:c>
      <x:c r="E5" s="8" t="str">
        <x:v>Gross entity total</x:v>
      </x:c>
      <x:c r="F5" s="8" t="str">
        <x:v>Private share of commercial revenue</x:v>
      </x:c>
      <x:c r="G5" s="1"/>
    </x:row>
    <x:row r="6" ht="34" customHeight="1">
      <x:c r="A6" s="1" t="str">
        <x:v>FY26A/E</x:v>
      </x:c>
      <x:c r="B6" s="16" t="n">
        <x:f>'Inputs'!C6</x:f>
        <x:v>25196.5</x:v>
      </x:c>
      <x:c r="C6" s="16" t="n">
        <x:f>'Inputs'!C7</x:f>
        <x:v>8540.368</x:v>
      </x:c>
      <x:c r="D6" s="16" t="n">
        <x:f>'Inputs'!C8</x:f>
        <x:v>21399.66</x:v>
      </x:c>
      <x:c r="E6" s="16" t="n">
        <x:f>SUM(B6:D6)</x:f>
        <x:v>55136.528000000006</x:v>
      </x:c>
      <x:c r="F6" s="17" t="n">
        <x:f>C6/SUM(B6:C6)</x:f>
        <x:v>0.25314643908260837</x:v>
      </x:c>
      <x:c r="G6" s="1"/>
    </x:row>
    <x:row r="7" ht="34" customHeight="1">
      <x:c r="A7" s="1" t="str">
        <x:v>FY27E</x:v>
      </x:c>
      <x:c r="B7" s="16" t="n">
        <x:f>'Inputs'!D6</x:f>
        <x:v>26037.863573425682</x:v>
      </x:c>
      <x:c r="C7" s="16" t="n">
        <x:f>'Inputs'!D7</x:f>
        <x:v>10077.63424</x:v>
      </x:c>
      <x:c r="D7" s="16" t="n">
        <x:f>'Inputs'!D8</x:f>
        <x:v>23111.632800000003</x:v>
      </x:c>
      <x:c r="E7" s="16" t="n">
        <x:f>SUM(B7:D7)</x:f>
        <x:v>59227.13061342569</x:v>
      </x:c>
      <x:c r="F7" s="17" t="n">
        <x:f>C7/SUM(B7:C7)</x:f>
        <x:v>0.2790390511038092</x:v>
      </x:c>
      <x:c r="G7" s="1"/>
    </x:row>
    <x:row r="8" ht="34" customHeight="1">
      <x:c r="A8" s="1" t="str">
        <x:v>FY28E</x:v>
      </x:c>
      <x:c r="B8" s="16" t="n">
        <x:f>'Inputs'!E6</x:f>
        <x:v>27509.535610356248</x:v>
      </x:c>
      <x:c r="C8" s="16" t="n">
        <x:f>'Inputs'!E7</x:f>
        <x:v>11891.608403199998</x:v>
      </x:c>
      <x:c r="D8" s="16" t="n">
        <x:f>'Inputs'!E8</x:f>
        <x:v>24960.563424000004</x:v>
      </x:c>
      <x:c r="E8" s="16" t="n">
        <x:f>SUM(B8:D8)</x:f>
        <x:v>64361.70743755625</x:v>
      </x:c>
      <x:c r="F8" s="17" t="n">
        <x:f>C8/SUM(B8:C8)</x:f>
        <x:v>0.30180870888186917</x:v>
      </x:c>
      <x:c r="G8" s="1"/>
    </x:row>
    <x:row r="9" ht="34" customHeight="1">
      <x:c r="A9" s="21" t="str">
        <x:v>FY29E</x:v>
      </x:c>
      <x:c r="B9" s="22" t="n">
        <x:f>'Inputs'!F6</x:f>
        <x:v>30366.389466143835</x:v>
      </x:c>
      <x:c r="C9" s="22" t="n">
        <x:f>'Inputs'!F7</x:f>
        <x:v>14032.097915775998</x:v>
      </x:c>
      <x:c r="D9" s="22" t="n">
        <x:f>'Inputs'!F8</x:f>
        <x:v>26957.408497920005</x:v>
      </x:c>
      <x:c r="E9" s="22" t="n">
        <x:f>SUM(B9:D9)</x:f>
        <x:v>71355.89587983984</x:v>
      </x:c>
      <x:c r="F9" s="23" t="n">
        <x:f>C9/SUM(B9:C9)</x:f>
        <x:v>0.31604900849595646</x:v>
      </x:c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38" customHeight="1">
      <x:c r="A11" s="3" t="str">
        <x:v>FY26 private values are estimates and should carry “E”. The third stack covers PHIPL only; the listed company’s Goa plant is already within Pfizer Limited.</x:v>
      </x:c>
      <x:c r="B11" s="3"/>
      <x:c r="C11" s="3"/>
      <x:c r="D11" s="3"/>
      <x:c r="E11" s="3"/>
      <x:c r="F11" s="3"/>
      <x:c r="G11" s="3"/>
    </x:row>
    <x:row r="12" ht="24" customHeight="1">
      <x:c r="A12" s="1"/>
      <x:c r="B12" s="1"/>
      <x:c r="C12" s="1"/>
      <x:c r="D12" s="1"/>
      <x:c r="E12" s="1"/>
      <x:c r="F12" s="1"/>
      <x:c r="G12" s="1"/>
    </x:row>
    <x:row r="13" ht="28" customHeight="1">
      <x:c r="A13" s="8" t="str">
        <x:v>Endpoints for the two-column slide</x:v>
      </x:c>
      <x:c r="B13" s="8"/>
      <x:c r="C13" s="8"/>
      <x:c r="D13" s="8"/>
      <x:c r="E13" s="8"/>
      <x:c r="F13" s="8"/>
      <x:c r="G13" s="8"/>
    </x:row>
    <x:row r="14" ht="42" customHeight="1">
      <x:c r="A14" s="8" t="str">
        <x:v>Stack</x:v>
      </x:c>
      <x:c r="B14" s="8" t="str">
        <x:v>FY26A/E</x:v>
      </x:c>
      <x:c r="C14" s="8" t="str">
        <x:v>FY29E</x:v>
      </x:c>
      <x:c r="D14" s="8" t="str">
        <x:v>FY26–FY29 CAGR</x:v>
      </x:c>
      <x:c r="E14" s="8" t="str">
        <x:v>FY26–FY29 growth</x:v>
      </x:c>
      <x:c r="F14" s="8" t="str">
        <x:v>Status</x:v>
      </x:c>
      <x:c r="G14" s="1"/>
    </x:row>
    <x:row r="15" ht="34" customHeight="1">
      <x:c r="A15" s="1" t="str">
        <x:v>Pfizer Limited</x:v>
      </x:c>
      <x:c r="B15" s="16" t="n">
        <x:f>B6</x:f>
        <x:v>25196.5</x:v>
      </x:c>
      <x:c r="C15" s="16" t="n">
        <x:f>B9</x:f>
        <x:v>30366.389466143835</x:v>
      </x:c>
      <x:c r="D15" s="17" t="n">
        <x:f>(C15/B15)^(1/3)-1</x:f>
        <x:v>0.06418625828188795</x:v>
      </x:c>
      <x:c r="E15" s="17" t="n">
        <x:f>C15/B15-1</x:f>
        <x:v>0.20518284151147315</x:v>
      </x:c>
      <x:c r="F15" s="1" t="str">
        <x:v>Actual / model</x:v>
      </x:c>
      <x:c r="G15" s="1"/>
    </x:row>
    <x:row r="16" ht="34" customHeight="1">
      <x:c r="A16" s="1" t="str">
        <x:v>Private commercial: PPIPL</x:v>
      </x:c>
      <x:c r="B16" s="16" t="n">
        <x:f>C6</x:f>
        <x:v>8540.368</x:v>
      </x:c>
      <x:c r="C16" s="16" t="n">
        <x:f>C9</x:f>
        <x:v>14032.097915775998</x:v>
      </x:c>
      <x:c r="D16" s="17" t="n">
        <x:f>(C16/B16)^(1/3)-1</x:f>
        <x:v>0.17999999999999994</x:v>
      </x:c>
      <x:c r="E16" s="17" t="n">
        <x:f>C16/B16-1</x:f>
        <x:v>0.6430319999999996</x:v>
      </x:c>
      <x:c r="F16" s="1" t="str">
        <x:v>Estimated</x:v>
      </x:c>
      <x:c r="G16" s="1"/>
    </x:row>
    <x:row r="17" ht="34" customHeight="1">
      <x:c r="A17" s="1" t="str">
        <x:v>Manufacturing / R&amp;D: PHIPL</x:v>
      </x:c>
      <x:c r="B17" s="16" t="n">
        <x:f>D6</x:f>
        <x:v>21399.66</x:v>
      </x:c>
      <x:c r="C17" s="16" t="n">
        <x:f>D9</x:f>
        <x:v>26957.408497920005</x:v>
      </x:c>
      <x:c r="D17" s="17" t="n">
        <x:f>(C17/B17)^(1/3)-1</x:f>
        <x:v>0.08000000000000007</x:v>
      </x:c>
      <x:c r="E17" s="17" t="n">
        <x:f>C17/B17-1</x:f>
        <x:v>0.25971200000000016</x:v>
      </x:c>
      <x:c r="F17" s="1" t="str">
        <x:v>Estimated</x:v>
      </x:c>
      <x:c r="G17" s="1"/>
    </x:row>
    <x:row r="18" ht="34" customHeight="1">
      <x:c r="A18" s="21" t="str">
        <x:v>Gross entity total</x:v>
      </x:c>
      <x:c r="B18" s="22" t="n">
        <x:f>E6</x:f>
        <x:v>55136.528000000006</x:v>
      </x:c>
      <x:c r="C18" s="22" t="n">
        <x:f>E9</x:f>
        <x:v>71355.89587983984</x:v>
      </x:c>
      <x:c r="D18" s="23" t="n">
        <x:f>(C18/B18)^(1/3)-1</x:f>
        <x:v>0.08975820973304516</x:v>
      </x:c>
      <x:c r="E18" s="23" t="n">
        <x:f>C18/B18-1</x:f>
        <x:v>0.29416737810984084</x:v>
      </x:c>
      <x:c r="F18" s="21" t="str">
        <x:v>Before eliminations</x:v>
      </x:c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36" customHeight="1">
      <x:c r="A20" s="3" t="str">
        <x:v>Chart title: Pfizer India’s private commercial business grows faster, while manufacturing / R&amp;D remains a substantial revenue base.</x:v>
      </x:c>
      <x:c r="B20" s="3"/>
      <x:c r="C20" s="3"/>
      <x:c r="D20" s="3"/>
      <x:c r="E20" s="3"/>
      <x:c r="F20" s="3"/>
      <x:c r="G20" s="3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/>
      <x:c r="B24" s="1"/>
      <x:c r="C24" s="1"/>
      <x:c r="D24" s="1"/>
      <x:c r="E24" s="1"/>
      <x:c r="F24" s="1"/>
      <x:c r="G24" s="1"/>
    </x:row>
    <x:row r="25" ht="24" customHeight="1">
      <x:c r="A25" s="1"/>
      <x:c r="B25" s="1"/>
      <x:c r="C25" s="1"/>
      <x:c r="D25" s="1"/>
      <x:c r="E25" s="1"/>
      <x:c r="F25" s="1"/>
      <x:c r="G25" s="1"/>
    </x:row>
    <x:row r="26" ht="24" customHeight="1">
      <x:c r="A26" s="1"/>
      <x:c r="B26" s="1"/>
      <x:c r="C26" s="1"/>
      <x:c r="D26" s="1"/>
      <x:c r="E26" s="1"/>
      <x:c r="F26" s="1"/>
      <x:c r="G26" s="1"/>
    </x:row>
    <x:row r="27" ht="24" customHeight="1">
      <x:c r="A27" s="1"/>
      <x:c r="B27" s="1"/>
      <x:c r="C27" s="1"/>
      <x:c r="D27" s="1"/>
      <x:c r="E27" s="1"/>
      <x:c r="F27" s="1"/>
      <x:c r="G27" s="1"/>
    </x:row>
    <x:row r="28" ht="24" customHeight="1">
      <x:c r="A28" s="1"/>
      <x:c r="B28" s="1"/>
      <x:c r="C28" s="1"/>
      <x:c r="D28" s="1"/>
      <x:c r="E28" s="1"/>
      <x:c r="F28" s="1"/>
      <x:c r="G28" s="1"/>
    </x:row>
    <x:row r="29" ht="24" customHeight="1">
      <x:c r="A29" s="1"/>
      <x:c r="B29" s="1"/>
      <x:c r="C29" s="1"/>
      <x:c r="D29" s="1"/>
      <x:c r="E29" s="1"/>
      <x:c r="F29" s="1"/>
      <x:c r="G29" s="1"/>
    </x:row>
    <x:row r="30" ht="24" customHeight="1">
      <x:c r="A30" s="1"/>
      <x:c r="B30" s="1"/>
      <x:c r="C30" s="1"/>
      <x:c r="D30" s="1"/>
      <x:c r="E30" s="1"/>
      <x:c r="F30" s="1"/>
      <x:c r="G30" s="1"/>
    </x:row>
    <x:row r="31" ht="24" customHeight="1">
      <x:c r="A31" s="1"/>
      <x:c r="B31" s="1"/>
      <x:c r="C31" s="1"/>
      <x:c r="D31" s="1"/>
      <x:c r="E31" s="1"/>
      <x:c r="F31" s="1"/>
      <x:c r="G31" s="1"/>
    </x:row>
    <x:row r="32" ht="24" customHeight="1">
      <x:c r="A32" s="1"/>
      <x:c r="B32" s="1"/>
      <x:c r="C32" s="1"/>
      <x:c r="D32" s="1"/>
      <x:c r="E32" s="1"/>
      <x:c r="F32" s="1"/>
      <x:c r="G32" s="1"/>
    </x:row>
    <x:row r="33" ht="24" customHeight="1">
      <x:c r="A33" s="1"/>
      <x:c r="B33" s="1"/>
      <x:c r="C33" s="1"/>
      <x:c r="D33" s="1"/>
      <x:c r="E33" s="1"/>
      <x:c r="F33" s="1"/>
      <x:c r="G33" s="1"/>
    </x:row>
    <x:row r="34" ht="24" customHeight="1">
      <x:c r="A34" s="1"/>
      <x:c r="B34" s="1"/>
      <x:c r="C34" s="1"/>
      <x:c r="D34" s="1"/>
      <x:c r="E34" s="1"/>
      <x:c r="F34" s="1"/>
      <x:c r="G34" s="1"/>
    </x:row>
    <x:row r="35" ht="24" customHeight="1">
      <x:c r="A35" s="1"/>
      <x:c r="B35" s="1"/>
      <x:c r="C35" s="1"/>
      <x:c r="D35" s="1"/>
      <x:c r="E35" s="1"/>
      <x:c r="F35" s="1"/>
      <x:c r="G35" s="1"/>
    </x:row>
    <x:row r="36" ht="24" customHeight="1">
      <x:c r="A36" s="1"/>
      <x:c r="B36" s="1"/>
      <x:c r="C36" s="1"/>
      <x:c r="D36" s="1"/>
      <x:c r="E36" s="1"/>
      <x:c r="F36" s="1"/>
      <x:c r="G36" s="1"/>
    </x:row>
    <x:row r="37" ht="24" customHeight="1">
      <x:c r="A37" s="1"/>
      <x:c r="B37" s="1"/>
      <x:c r="C37" s="1"/>
      <x:c r="D37" s="1"/>
      <x:c r="E37" s="1"/>
      <x:c r="F37" s="1"/>
      <x:c r="G37" s="1"/>
    </x:row>
    <x:row r="38" ht="24" customHeight="1">
      <x:c r="A38" s="1"/>
      <x:c r="B38" s="1"/>
      <x:c r="C38" s="1"/>
      <x:c r="D38" s="1"/>
      <x:c r="E38" s="1"/>
      <x:c r="F38" s="1"/>
      <x:c r="G38" s="1"/>
    </x:row>
    <x:row r="39" ht="24" customHeight="1">
      <x:c r="A39" s="1"/>
      <x:c r="B39" s="1"/>
      <x:c r="C39" s="1"/>
      <x:c r="D39" s="1"/>
      <x:c r="E39" s="1"/>
      <x:c r="F39" s="1"/>
      <x:c r="G39" s="1"/>
    </x:row>
    <x:row r="40" ht="24" customHeight="1">
      <x:c r="A40" s="1"/>
      <x:c r="B40" s="1"/>
      <x:c r="C40" s="1"/>
      <x:c r="D40" s="1"/>
      <x:c r="E40" s="1"/>
      <x:c r="F40" s="1"/>
      <x:c r="G40" s="1"/>
    </x:row>
    <x:row r="41" ht="28" customHeight="1">
      <x:c r="A41" s="8" t="str">
        <x:v>Interpretation and perimeter</x:v>
      </x:c>
      <x:c r="B41" s="8"/>
      <x:c r="C41" s="8"/>
      <x:c r="D41" s="8"/>
      <x:c r="E41" s="8"/>
      <x:c r="F41" s="8"/>
      <x:c r="G41" s="8"/>
    </x:row>
    <x:row r="42" ht="38" customHeight="1">
      <x:c r="A42" s="3" t="str">
        <x:v>“Pfizer private” here means Pfizer Products India Private Limited: the importing, trading and commercial entity. “Manufacturing / R&amp;D” means Pfizer Healthcare India Private Limited.</x:v>
      </x:c>
      <x:c r="B42" s="3"/>
      <x:c r="C42" s="3"/>
      <x:c r="D42" s="3"/>
      <x:c r="E42" s="3"/>
      <x:c r="F42" s="3"/>
      <x:c r="G42" s="3"/>
    </x:row>
    <x:row r="43" ht="38" customHeight="1">
      <x:c r="A43" s="3" t="str">
        <x:v>PHIPL includes export manufacturing and research/services. Its total revenue is a proxy for the third stack; it is not a disclosed pure manufacturing-sales segment.</x:v>
      </x:c>
      <x:c r="B43" s="3"/>
      <x:c r="C43" s="3"/>
      <x:c r="D43" s="3"/>
      <x:c r="E43" s="3"/>
      <x:c r="F43" s="3"/>
      <x:c r="G43" s="3"/>
    </x:row>
    <x:row r="44" ht="38" customHeight="1">
      <x:c r="A44" s="3" t="str">
        <x:v>Do not label the sum “consolidated Pfizer group sales”. It includes known intra-India service revenue of INR512m in FY26 and potentially other intercompany transactions.</x:v>
      </x:c>
      <x:c r="B44" s="3"/>
      <x:c r="C44" s="3"/>
      <x:c r="D44" s="3"/>
      <x:c r="E44" s="3"/>
      <x:c r="F44" s="3"/>
      <x:c r="G44" s="3"/>
    </x:row>
    <x:row r="45" ht="38" customHeight="1">
      <x:c r="A45" s="3" t="str">
        <x:v>The private companies’ public FY25 revenue anchors may include non-product or other revenue. These estimates are revenue proxies, not verified net pharmaceutical sales.</x:v>
      </x:c>
      <x:c r="B45" s="3"/>
      <x:c r="C45" s="3"/>
      <x:c r="D45" s="3"/>
      <x:c r="E45" s="3"/>
      <x:c r="F45" s="3"/>
      <x:c r="G45" s="3"/>
    </x:row>
    <x:row r="46" ht="36" customHeight="1">
      <x:c r="A46" s="3" t="str">
        <x:v>No transfer of private products into the listed entity is assumed. Private commercial grows at 18%; PHIPL grows at 8%; listed revenue follows the current saved model.</x:v>
      </x:c>
      <x:c r="B46" s="3"/>
      <x:c r="C46" s="3"/>
      <x:c r="D46" s="3"/>
      <x:c r="E46" s="3"/>
      <x:c r="F46" s="3"/>
      <x:c r="G46" s="3"/>
    </x:row>
    <x:row r="47" ht="24" customHeight="1">
      <x:c r="A47" s="1"/>
      <x:c r="B47" s="1"/>
      <x:c r="C47" s="1"/>
      <x:c r="D47" s="1"/>
      <x:c r="E47" s="1"/>
      <x:c r="F47" s="1"/>
      <x:c r="G47" s="1"/>
    </x:row>
    <x:row r="48" ht="24" customHeight="1">
      <x:c r="A48" s="1"/>
      <x:c r="B48" s="1"/>
      <x:c r="C48" s="1"/>
      <x:c r="D48" s="1"/>
      <x:c r="E48" s="1"/>
      <x:c r="F48" s="1"/>
      <x:c r="G48" s="1"/>
    </x:row>
    <x:row r="49" ht="24" customHeight="1">
      <x:c r="A49" s="1"/>
      <x:c r="B49" s="1"/>
      <x:c r="C49" s="1"/>
      <x:c r="D49" s="1"/>
      <x:c r="E49" s="1"/>
      <x:c r="F49" s="1"/>
      <x:c r="G49" s="1"/>
    </x:row>
    <x:row r="50" ht="24" customHeight="1">
      <x:c r="A50" s="1"/>
      <x:c r="B50" s="1"/>
      <x:c r="C50" s="1"/>
      <x:c r="D50" s="1"/>
      <x:c r="E50" s="1"/>
      <x:c r="F50" s="1"/>
      <x:c r="G50" s="1"/>
    </x:row>
    <x:row r="51" ht="24" customHeight="1">
      <x:c r="A51" s="1"/>
      <x:c r="B51" s="1"/>
      <x:c r="C51" s="1"/>
      <x:c r="D51" s="1"/>
      <x:c r="E51" s="1"/>
      <x:c r="F51" s="1"/>
      <x:c r="G51" s="1"/>
    </x:row>
    <x:row r="52" ht="24" customHeight="1">
      <x:c r="A52" s="1"/>
      <x:c r="B52" s="1"/>
      <x:c r="C52" s="1"/>
      <x:c r="D52" s="1"/>
      <x:c r="E52" s="1"/>
      <x:c r="F52" s="1"/>
      <x:c r="G52" s="1"/>
    </x:row>
    <x:row r="53" ht="24" customHeight="1">
      <x:c r="A53" s="1"/>
      <x:c r="B53" s="1"/>
      <x:c r="C53" s="1"/>
      <x:c r="D53" s="1"/>
      <x:c r="E53" s="1"/>
      <x:c r="F53" s="1"/>
      <x:c r="G53" s="1"/>
    </x:row>
    <x:row r="54" ht="24" customHeight="1">
      <x:c r="A54" s="1"/>
      <x:c r="B54" s="1"/>
      <x:c r="C54" s="1"/>
      <x:c r="D54" s="1"/>
      <x:c r="E54" s="1"/>
      <x:c r="F54" s="1"/>
      <x:c r="G54" s="1"/>
    </x:row>
    <x:row r="55" ht="24" customHeight="1">
      <x:c r="A55" s="1"/>
      <x:c r="B55" s="1"/>
      <x:c r="C55" s="1"/>
      <x:c r="D55" s="1"/>
      <x:c r="E55" s="1"/>
      <x:c r="F55" s="1"/>
      <x:c r="G55" s="1"/>
    </x:row>
    <x:row r="56" ht="24" customHeight="1">
      <x:c r="A56" s="1"/>
      <x:c r="B56" s="1"/>
      <x:c r="C56" s="1"/>
      <x:c r="D56" s="1"/>
      <x:c r="E56" s="1"/>
      <x:c r="F56" s="1"/>
      <x:c r="G56" s="1"/>
    </x:row>
    <x:row r="57" ht="24" customHeight="1">
      <x:c r="A57" s="1"/>
      <x:c r="B57" s="1"/>
      <x:c r="C57" s="1"/>
      <x:c r="D57" s="1"/>
      <x:c r="E57" s="1"/>
      <x:c r="F57" s="1"/>
      <x:c r="G57" s="1"/>
    </x:row>
    <x:row r="58" ht="24" customHeight="1">
      <x:c r="A58" s="1"/>
      <x:c r="B58" s="1"/>
      <x:c r="C58" s="1"/>
      <x:c r="D58" s="1"/>
      <x:c r="E58" s="1"/>
      <x:c r="F58" s="1"/>
      <x:c r="G58" s="1"/>
    </x:row>
    <x:row r="59" ht="24" customHeight="1">
      <x:c r="A59" s="1"/>
      <x:c r="B59" s="1"/>
      <x:c r="C59" s="1"/>
      <x:c r="D59" s="1"/>
      <x:c r="E59" s="1"/>
      <x:c r="F59" s="1"/>
      <x:c r="G59" s="1"/>
    </x:row>
    <x:row r="60" ht="24" customHeight="1">
      <x:c r="A60" s="1"/>
      <x:c r="B60" s="1"/>
      <x:c r="C60" s="1"/>
      <x:c r="D60" s="1"/>
      <x:c r="E60" s="1"/>
      <x:c r="F60" s="1"/>
      <x:c r="G60" s="1"/>
    </x:row>
    <x:row r="61" ht="24" customHeight="1">
      <x:c r="A61" s="1"/>
      <x:c r="B61" s="1"/>
      <x:c r="C61" s="1"/>
      <x:c r="D61" s="1"/>
      <x:c r="E61" s="1"/>
      <x:c r="F61" s="1"/>
      <x:c r="G61" s="1"/>
    </x:row>
    <x:row r="62" ht="24" customHeight="1">
      <x:c r="A62" s="1"/>
      <x:c r="B62" s="1"/>
      <x:c r="C62" s="1"/>
      <x:c r="D62" s="1"/>
      <x:c r="E62" s="1"/>
      <x:c r="F62" s="1"/>
      <x:c r="G62" s="1"/>
    </x:row>
    <x:row r="63" ht="24" customHeight="1">
      <x:c r="A63" s="1"/>
      <x:c r="B63" s="1"/>
      <x:c r="C63" s="1"/>
      <x:c r="D63" s="1"/>
      <x:c r="E63" s="1"/>
      <x:c r="F63" s="1"/>
      <x:c r="G63" s="1"/>
    </x:row>
    <x:row r="64" ht="24" customHeight="1">
      <x:c r="A64" s="1"/>
      <x:c r="B64" s="1"/>
      <x:c r="C64" s="1"/>
      <x:c r="D64" s="1"/>
      <x:c r="E64" s="1"/>
      <x:c r="F64" s="1"/>
      <x:c r="G64" s="1"/>
    </x:row>
    <x:row r="65" ht="24" customHeight="1">
      <x:c r="A65" s="1"/>
      <x:c r="B65" s="1"/>
      <x:c r="C65" s="1"/>
      <x:c r="D65" s="1"/>
      <x:c r="E65" s="1"/>
      <x:c r="F65" s="1"/>
      <x:c r="G65" s="1"/>
    </x:row>
  </x:sheetData>
  <x:mergeCells>
    <x:mergeCell ref="A2:G2"/>
    <x:mergeCell ref="A3:G3"/>
    <x:mergeCell ref="A11:G11"/>
    <x:mergeCell ref="A13:G13"/>
    <x:mergeCell ref="A20:G20"/>
    <x:mergeCell ref="A41:G41"/>
    <x:mergeCell ref="A42:G42"/>
    <x:mergeCell ref="A43:G43"/>
    <x:mergeCell ref="A44:G44"/>
    <x:mergeCell ref="A45:G45"/>
    <x:mergeCell ref="A46:G46"/>
  </x:mergeCells>
  <x:pageMargins left="0.7" right="0.7" top="0.75" bottom="0.75" header="0.3" footer="0.3"/>
  <x:drawing xmlns:r="http://schemas.openxmlformats.org/officeDocument/2006/relationships" r:id="R7a9dc5a21106439f"/>
</x:worksheet>
</file>

<file path=xl/worksheets/sheet2.xml><?xml version="1.0" encoding="utf-8"?>
<x:worksheet xmlns:x="http://schemas.openxmlformats.org/spreadsheetml/2006/main">
  <x:sheetPr>
    <x:tabColor rgb="FF003B7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.33000183105469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33.330001831054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36" customHeight="1">
      <x:c r="A2" s="4" t="str">
        <x:v>Revenue anchors and forecast assumptions</x:v>
      </x:c>
      <x:c r="B2" s="3"/>
      <x:c r="C2" s="3"/>
      <x:c r="D2" s="3"/>
      <x:c r="E2" s="3"/>
      <x:c r="F2" s="3"/>
      <x:c r="G2" s="3"/>
    </x:row>
    <x:row r="3" ht="38" customHeight="1">
      <x:c r="A3" s="3" t="str">
        <x:v>INR million unless stated. Private-entity anchors are secondary-source revenue figures; underlying filed statements have not been independently verified.</x:v>
      </x:c>
      <x:c r="B3" s="3"/>
      <x:c r="C3" s="3"/>
      <x:c r="D3" s="3"/>
      <x:c r="E3" s="3"/>
      <x:c r="F3" s="3"/>
      <x:c r="G3" s="3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8" t="str">
        <x:v>Legal entity</x:v>
      </x:c>
      <x:c r="B5" s="8" t="str">
        <x:v>FY25 anchor</x:v>
      </x:c>
      <x:c r="C5" s="8" t="str">
        <x:v>FY26A/E</x:v>
      </x:c>
      <x:c r="D5" s="8" t="str">
        <x:v>FY27E</x:v>
      </x:c>
      <x:c r="E5" s="8" t="str">
        <x:v>FY28E</x:v>
      </x:c>
      <x:c r="F5" s="8" t="str">
        <x:v>FY29E</x:v>
      </x:c>
      <x:c r="G5" s="8" t="str">
        <x:v>Basis</x:v>
      </x:c>
    </x:row>
    <x:row r="6" ht="58" customHeight="1">
      <x:c r="A6" s="2" t="str">
        <x:v>Pfizer Limited</x:v>
      </x:c>
      <x:c r="B6" s="11" t="n">
        <x:v>22813.5</x:v>
      </x:c>
      <x:c r="C6" s="11" t="n">
        <x:v>25196.5</x:v>
      </x:c>
      <x:c r="D6" s="11" t="n">
        <x:v>26037.863573425682</x:v>
      </x:c>
      <x:c r="E6" s="11" t="n">
        <x:v>27509.535610356248</x:v>
      </x:c>
      <x:c r="F6" s="11" t="n">
        <x:v>30366.389466143835</x:v>
      </x:c>
      <x:c r="G6" s="2" t="str">
        <x:v>Current PFZ_Rev.xlsx, version 2. FY26 revenue actual; forecast copied unchanged.</x:v>
      </x:c>
    </x:row>
    <x:row r="7" ht="58" customHeight="1">
      <x:c r="A7" s="2" t="str">
        <x:v>Pfizer Products India Private Limited</x:v>
      </x:c>
      <x:c r="B7" s="11" t="n">
        <x:v>7237.6</x:v>
      </x:c>
      <x:c r="C7" s="9" t="n">
        <x:f>B7*(1+C12)</x:f>
        <x:v>8540.368</x:v>
      </x:c>
      <x:c r="D7" s="9" t="n">
        <x:f>C7*(1+D12)</x:f>
        <x:v>10077.63424</x:v>
      </x:c>
      <x:c r="E7" s="9" t="n">
        <x:f>D7*(1+E12)</x:f>
        <x:v>11891.608403199998</x:v>
      </x:c>
      <x:c r="F7" s="9" t="n">
        <x:f>E7*(1+F12)</x:f>
        <x:v>14032.097915775998</x:v>
      </x:c>
      <x:c r="G7" s="2" t="str">
        <x:v>FY25 public-reported revenue INR723.76cr; apply 18% growth as an assumption.</x:v>
      </x:c>
    </x:row>
    <x:row r="8" ht="58" customHeight="1">
      <x:c r="A8" s="2" t="str">
        <x:v>Pfizer Healthcare India Private Limited</x:v>
      </x:c>
      <x:c r="B8" s="11" t="n">
        <x:v>19814.5</x:v>
      </x:c>
      <x:c r="C8" s="9" t="n">
        <x:f>B8*(1+C13)</x:f>
        <x:v>21399.66</x:v>
      </x:c>
      <x:c r="D8" s="9" t="n">
        <x:f>C8*(1+D13)</x:f>
        <x:v>23111.632800000003</x:v>
      </x:c>
      <x:c r="E8" s="9" t="n">
        <x:f>D8*(1+E13)</x:f>
        <x:v>24960.563424000004</x:v>
      </x:c>
      <x:c r="F8" s="9" t="n">
        <x:f>E8*(1+F13)</x:f>
        <x:v>26957.408497920005</x:v>
      </x:c>
      <x:c r="G8" s="2" t="str">
        <x:v>FY25 public-reported revenue INR1,981.45cr; apply 8% growth as an assumption. Manufacturing plus R&amp;D/services.</x:v>
      </x:c>
    </x:row>
    <x:row r="9" ht="24" customHeight="1">
      <x:c r="A9" s="1"/>
      <x:c r="B9" s="1"/>
      <x:c r="C9" s="1"/>
      <x:c r="D9" s="1"/>
      <x:c r="E9" s="1"/>
      <x:c r="F9" s="1"/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42" customHeight="1">
      <x:c r="A11" s="8" t="str">
        <x:v>Editable growth assumptions</x:v>
      </x:c>
      <x:c r="B11" s="8" t="str">
        <x:v>Period</x:v>
      </x:c>
      <x:c r="C11" s="8" t="str">
        <x:v>FY26E</x:v>
      </x:c>
      <x:c r="D11" s="8" t="str">
        <x:v>FY27E</x:v>
      </x:c>
      <x:c r="E11" s="8" t="str">
        <x:v>FY28E</x:v>
      </x:c>
      <x:c r="F11" s="8" t="str">
        <x:v>FY29E</x:v>
      </x:c>
      <x:c r="G11" s="8" t="str">
        <x:v>Rationale</x:v>
      </x:c>
    </x:row>
    <x:row r="12" ht="70" customHeight="1">
      <x:c r="A12" s="2" t="str">
        <x:v>Private commercial</x:v>
      </x:c>
      <x:c r="B12" s="2" t="str">
        <x:v>YoY</x:v>
      </x:c>
      <x:c r="C12" s="12" t="n">
        <x:v>0.18</x:v>
      </x:c>
      <x:c r="D12" s="12" t="n">
        <x:v>0.18</x:v>
      </x:c>
      <x:c r="E12" s="12" t="n">
        <x:v>0.18</x:v>
      </x:c>
      <x:c r="F12" s="12" t="n">
        <x:v>0.18</x:v>
      </x:c>
      <x:c r="G12" s="2" t="str">
        <x:v>18% follows the approximately 18% FY25 growth reported publicly; specialty mix supports the assumption, not a guarantee.</x:v>
      </x:c>
    </x:row>
    <x:row r="13" ht="70" customHeight="1">
      <x:c r="A13" s="2" t="str">
        <x:v>Manufacturing / R&amp;D</x:v>
      </x:c>
      <x:c r="B13" s="2" t="str">
        <x:v>YoY</x:v>
      </x:c>
      <x:c r="C13" s="12" t="n">
        <x:v>0.08</x:v>
      </x:c>
      <x:c r="D13" s="12" t="n">
        <x:v>0.08</x:v>
      </x:c>
      <x:c r="E13" s="12" t="n">
        <x:v>0.08</x:v>
      </x:c>
      <x:c r="F13" s="12" t="n">
        <x:v>0.08</x:v>
      </x:c>
      <x:c r="G13" s="2" t="str">
        <x:v>8% is an analyst assumption, modestly above the reported 6% historical CAGR. Not linked mechanically to Indian specialty-drug growth.</x:v>
      </x:c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8" customHeight="1">
      <x:c r="A16" s="8" t="str">
        <x:v>Known intra-India service revenue within the three-entity perimeter</x:v>
      </x:c>
      <x:c r="B16" s="8"/>
      <x:c r="C16" s="8"/>
      <x:c r="D16" s="8"/>
      <x:c r="E16" s="8"/>
      <x:c r="F16" s="8"/>
      <x:c r="G16" s="8"/>
    </x:row>
    <x:row r="17" ht="40" customHeight="1">
      <x:c r="A17" s="2" t="str">
        <x:v>Listed service income from PPIPL</x:v>
      </x:c>
      <x:c r="B17" s="15" t="n">
        <x:v>426.8</x:v>
      </x:c>
      <x:c r="C17" s="3" t="str">
        <x:v>FY26 annual report: INR42.68cr</x:v>
      </x:c>
      <x:c r="D17" s="3"/>
      <x:c r="E17" s="3"/>
      <x:c r="F17" s="3"/>
      <x:c r="G17" s="3"/>
    </x:row>
    <x:row r="18" ht="40" customHeight="1">
      <x:c r="A18" s="2" t="str">
        <x:v>Listed service income from PHIPL</x:v>
      </x:c>
      <x:c r="B18" s="15" t="n">
        <x:v>85.2</x:v>
      </x:c>
      <x:c r="C18" s="3" t="str">
        <x:v>FY26 annual report: INR8.52cr</x:v>
      </x:c>
      <x:c r="D18" s="3"/>
      <x:c r="E18" s="3"/>
      <x:c r="F18" s="3"/>
      <x:c r="G18" s="3"/>
    </x:row>
    <x:row r="19" ht="40" customHeight="1">
      <x:c r="A19" s="2" t="str">
        <x:v>Known revenue to eliminate</x:v>
      </x:c>
      <x:c r="B19" s="15" t="n">
        <x:f>SUM(B17:B18)</x:f>
        <x:v>512</x:v>
      </x:c>
      <x:c r="C19" s="3" t="str">
        <x:v>Partial elimination only; full private-company related-party disclosures are not available.</x:v>
      </x:c>
      <x:c r="D19" s="3"/>
      <x:c r="E19" s="3"/>
      <x:c r="F19" s="3"/>
      <x:c r="G19" s="3"/>
    </x:row>
    <x:row r="20" ht="24" customHeight="1">
      <x:c r="A20" s="1"/>
      <x:c r="B20" s="1"/>
      <x:c r="C20" s="1"/>
      <x:c r="D20" s="1"/>
      <x:c r="E20" s="1"/>
      <x:c r="F20" s="1"/>
      <x:c r="G20" s="1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8" customHeight="1">
      <x:c r="A22" s="8" t="str">
        <x:v>Evidence and forecast conventions</x:v>
      </x:c>
      <x:c r="B22" s="8"/>
      <x:c r="C22" s="8"/>
      <x:c r="D22" s="8"/>
      <x:c r="E22" s="8"/>
      <x:c r="F22" s="8"/>
      <x:c r="G22" s="8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44" customHeight="1">
      <x:c r="A24" s="3" t="str">
        <x:v>Official entity definitions: Pfizer India identifies Pfizer Limited, PPIPL (importing, trading, marketing and distribution) and PHIPL (export manufacturing and R&amp;D).</x:v>
      </x:c>
      <x:c r="B24" s="3"/>
      <x:c r="C24" s="3"/>
      <x:c r="D24" s="3"/>
      <x:c r="E24" s="3"/>
      <x:c r="F24" s="3"/>
      <x:c r="G24" s="3"/>
    </x:row>
    <x:row r="25" ht="30" customHeight="1">
      <x:c r="A25" s="3" t="str">
        <x:v>https://www.pfizer.co.in/about-us/pfizer-in-india</x:v>
      </x:c>
      <x:c r="B25" s="3"/>
      <x:c r="C25" s="3"/>
      <x:c r="D25" s="3"/>
      <x:c r="E25" s="3"/>
      <x:c r="F25" s="3"/>
      <x:c r="G25" s="3"/>
    </x:row>
    <x:row r="26" ht="44" customHeight="1">
      <x:c r="A26" s="3" t="str">
        <x:v>PPIPL FY25 revenue anchor: The Company Check reports INR723.76cr and approximately 18% YoY growth. This is a secondary-source report, not a filed statement inspected directly.</x:v>
      </x:c>
      <x:c r="B26" s="3"/>
      <x:c r="C26" s="3"/>
      <x:c r="D26" s="3"/>
      <x:c r="E26" s="3"/>
      <x:c r="F26" s="3"/>
      <x:c r="G26" s="3"/>
    </x:row>
    <x:row r="27" ht="30" customHeight="1">
      <x:c r="A27" s="3" t="str">
        <x:v>https://www.thecompanycheck.com/company/pfizer-products-india-private-limited/U24230MH1996FTC148003</x:v>
      </x:c>
      <x:c r="B27" s="3"/>
      <x:c r="C27" s="3"/>
      <x:c r="D27" s="3"/>
      <x:c r="E27" s="3"/>
      <x:c r="F27" s="3"/>
      <x:c r="G27" s="3"/>
    </x:row>
    <x:row r="28" ht="44" customHeight="1">
      <x:c r="A28" s="3" t="str">
        <x:v>PPIPL cross-check: Tofler indicates FY25 operating revenue above INR500cr; publicly indexed metrics indicate total revenue increased 18.39%. This supports scale, not exact verification.</x:v>
      </x:c>
      <x:c r="B28" s="3"/>
      <x:c r="C28" s="3"/>
      <x:c r="D28" s="3"/>
      <x:c r="E28" s="3"/>
      <x:c r="F28" s="3"/>
      <x:c r="G28" s="3"/>
    </x:row>
    <x:row r="29" ht="30" customHeight="1">
      <x:c r="A29" s="3" t="str">
        <x:v>https://www.tofler.in/pfizer-products-india-private-limited/company/U24230MH1996FTC148003</x:v>
      </x:c>
      <x:c r="B29" s="3"/>
      <x:c r="C29" s="3"/>
      <x:c r="D29" s="3"/>
      <x:c r="E29" s="3"/>
      <x:c r="F29" s="3"/>
      <x:c r="G29" s="3"/>
    </x:row>
    <x:row r="30" ht="44" customHeight="1">
      <x:c r="A30" s="3" t="str">
        <x:v>PHIPL FY25 revenue anchor: The Company Check reports INR1,981.45cr, growth of approximately 4% and a historical three-/five-year CAGR of approximately 6%.</x:v>
      </x:c>
      <x:c r="B30" s="3"/>
      <x:c r="C30" s="3"/>
      <x:c r="D30" s="3"/>
      <x:c r="E30" s="3"/>
      <x:c r="F30" s="3"/>
      <x:c r="G30" s="3"/>
    </x:row>
    <x:row r="31" ht="30" customHeight="1">
      <x:c r="A31" s="3" t="str">
        <x:v>https://www.thecompanycheck.com/company/pfizer-healthcare-india-private-limited/U24232TN2009PTC073563</x:v>
      </x:c>
      <x:c r="B31" s="3"/>
      <x:c r="C31" s="3"/>
      <x:c r="D31" s="3"/>
      <x:c r="E31" s="3"/>
      <x:c r="F31" s="3"/>
      <x:c r="G31" s="3"/>
    </x:row>
    <x:row r="32" ht="44" customHeight="1">
      <x:c r="A32" s="3" t="str">
        <x:v>PHIPL cross-check: EMIS reports FY25 net sales growth of 5.3%, differing from the revenue-growth figure above. Use the level as a provisional revenue proxy, not a verified net-sales series.</x:v>
      </x:c>
      <x:c r="B32" s="3"/>
      <x:c r="C32" s="3"/>
      <x:c r="D32" s="3"/>
      <x:c r="E32" s="3"/>
      <x:c r="F32" s="3"/>
      <x:c r="G32" s="3"/>
    </x:row>
    <x:row r="33" ht="30" customHeight="1">
      <x:c r="A33" s="3" t="str">
        <x:v>https://www.emis.com/php/company-profile/IN/Pfizer_Healthcare_India_Private_Limited_en_4076262.html</x:v>
      </x:c>
      <x:c r="B33" s="3"/>
      <x:c r="C33" s="3"/>
      <x:c r="D33" s="3"/>
      <x:c r="E33" s="3"/>
      <x:c r="F33" s="3"/>
      <x:c r="G33" s="3"/>
    </x:row>
    <x:row r="34" ht="44" customHeight="1">
      <x:c r="A34" s="3" t="str">
        <x:v>Listed figures: PFZ_Rev.xlsx, version 2, Revenue Model: FY26 25,196.5; FY27 26,037.9; FY28 27,509.5; FY29 30,366.4 (INR mn). The saved model was last updated 18 September 2026.</x:v>
      </x:c>
      <x:c r="B34" s="3"/>
      <x:c r="C34" s="3"/>
      <x:c r="D34" s="3"/>
      <x:c r="E34" s="3"/>
      <x:c r="F34" s="3"/>
      <x:c r="G34" s="3"/>
    </x:row>
    <x:row r="35" ht="44" customHeight="1">
      <x:c r="A35" s="3" t="str">
        <x:v>Known eliminations: Pfizer FY26 annual report, Related-party transactions: service income from PPIPL INR42.68cr and PHIPL INR8.52cr. Aggregate revenue is intentionally shown before full eliminations.</x:v>
      </x:c>
      <x:c r="B35" s="3"/>
      <x:c r="C35" s="3"/>
      <x:c r="D35" s="3"/>
      <x:c r="E35" s="3"/>
      <x:c r="F35" s="3"/>
      <x:c r="G35" s="3"/>
    </x:row>
    <x:row r="36" ht="30" customHeight="1">
      <x:c r="A36" s="3" t="str">
        <x:v>https://nsearchives.nseindia.com/annual_reports/AR_29599_PFIZER_2025_2026_A_33771767_06072026215157.pdf</x:v>
      </x:c>
      <x:c r="B36" s="3"/>
      <x:c r="C36" s="3"/>
      <x:c r="D36" s="3"/>
      <x:c r="E36" s="3"/>
      <x:c r="F36" s="3"/>
      <x:c r="G36" s="3"/>
    </x:row>
    <x:row r="37" ht="44" customHeight="1">
      <x:c r="A37" s="3" t="str">
        <x:v>Conversion: INR1 crore = INR10 million. FY26E = FY25 revenue proxy × (1 + assumed growth). FY29E = FY26E × (1 + assumed annual growth)^3.</x:v>
      </x:c>
      <x:c r="B37" s="3"/>
      <x:c r="C37" s="3"/>
      <x:c r="D37" s="3"/>
      <x:c r="E37" s="3"/>
      <x:c r="F37" s="3"/>
      <x:c r="G37" s="3"/>
    </x:row>
    <x:row r="38" ht="44" customHeight="1">
      <x:c r="A38" s="3" t="str">
        <x:v>Forecasts assume no material business transfers, acquisitions or new capacity step-changes. Specialty exposure supports a higher growth assumption for PPIPL, not a claim that its absolute revenue exceeds the listed company.</x:v>
      </x:c>
      <x:c r="B38" s="3"/>
      <x:c r="C38" s="3"/>
      <x:c r="D38" s="3"/>
      <x:c r="E38" s="3"/>
      <x:c r="F38" s="3"/>
      <x:c r="G38" s="3"/>
    </x:row>
    <x:row r="39" ht="44" customHeight="1">
      <x:c r="A39" s="3" t="str">
        <x:v>Gross entity totals combine domestic commercial revenue, exports and R&amp;D/service revenue. They are not Indian pharmaceutical market sales and are not global Pfizer consolidated revenue.</x:v>
      </x:c>
      <x:c r="B39" s="3"/>
      <x:c r="C39" s="3"/>
      <x:c r="D39" s="3"/>
      <x:c r="E39" s="3"/>
      <x:c r="F39" s="3"/>
      <x:c r="G39" s="3"/>
    </x:row>
    <x:row r="40" ht="24" customHeight="1">
      <x:c r="A40" s="1"/>
      <x:c r="B40" s="1"/>
      <x:c r="C40" s="1"/>
      <x:c r="D40" s="1"/>
      <x:c r="E40" s="1"/>
      <x:c r="F40" s="1"/>
      <x:c r="G40" s="1"/>
    </x:row>
    <x:row r="41" ht="24" customHeight="1">
      <x:c r="A41" s="1"/>
      <x:c r="B41" s="1"/>
      <x:c r="C41" s="1"/>
      <x:c r="D41" s="1"/>
      <x:c r="E41" s="1"/>
      <x:c r="F41" s="1"/>
      <x:c r="G41" s="1"/>
    </x:row>
    <x:row r="42" ht="24" customHeight="1">
      <x:c r="A42" s="1"/>
      <x:c r="B42" s="1"/>
      <x:c r="C42" s="1"/>
      <x:c r="D42" s="1"/>
      <x:c r="E42" s="1"/>
      <x:c r="F42" s="1"/>
      <x:c r="G42" s="1"/>
    </x:row>
    <x:row r="43" ht="24" customHeight="1">
      <x:c r="A43" s="1"/>
      <x:c r="B43" s="1"/>
      <x:c r="C43" s="1"/>
      <x:c r="D43" s="1"/>
      <x:c r="E43" s="1"/>
      <x:c r="F43" s="1"/>
      <x:c r="G43" s="1"/>
    </x:row>
    <x:row r="44" ht="24" customHeight="1">
      <x:c r="A44" s="1"/>
      <x:c r="B44" s="1"/>
      <x:c r="C44" s="1"/>
      <x:c r="D44" s="1"/>
      <x:c r="E44" s="1"/>
      <x:c r="F44" s="1"/>
      <x:c r="G44" s="1"/>
    </x:row>
    <x:row r="45" ht="24" customHeight="1">
      <x:c r="A45" s="1"/>
      <x:c r="B45" s="1"/>
      <x:c r="C45" s="1"/>
      <x:c r="D45" s="1"/>
      <x:c r="E45" s="1"/>
      <x:c r="F45" s="1"/>
      <x:c r="G45" s="1"/>
    </x:row>
    <x:row r="46" ht="24" customHeight="1">
      <x:c r="A46" s="1"/>
      <x:c r="B46" s="1"/>
      <x:c r="C46" s="1"/>
      <x:c r="D46" s="1"/>
      <x:c r="E46" s="1"/>
      <x:c r="F46" s="1"/>
      <x:c r="G46" s="1"/>
    </x:row>
    <x:row r="47" ht="24" customHeight="1">
      <x:c r="A47" s="1"/>
      <x:c r="B47" s="1"/>
      <x:c r="C47" s="1"/>
      <x:c r="D47" s="1"/>
      <x:c r="E47" s="1"/>
      <x:c r="F47" s="1"/>
      <x:c r="G47" s="1"/>
    </x:row>
    <x:row r="48" ht="24" customHeight="1">
      <x:c r="A48" s="1"/>
      <x:c r="B48" s="1"/>
      <x:c r="C48" s="1"/>
      <x:c r="D48" s="1"/>
      <x:c r="E48" s="1"/>
      <x:c r="F48" s="1"/>
      <x:c r="G48" s="1"/>
    </x:row>
    <x:row r="49" ht="24" customHeight="1">
      <x:c r="A49" s="1"/>
      <x:c r="B49" s="1"/>
      <x:c r="C49" s="1"/>
      <x:c r="D49" s="1"/>
      <x:c r="E49" s="1"/>
      <x:c r="F49" s="1"/>
      <x:c r="G49" s="1"/>
    </x:row>
    <x:row r="50" ht="24" customHeight="1">
      <x:c r="A50" s="1"/>
      <x:c r="B50" s="1"/>
      <x:c r="C50" s="1"/>
      <x:c r="D50" s="1"/>
      <x:c r="E50" s="1"/>
      <x:c r="F50" s="1"/>
      <x:c r="G50" s="1"/>
    </x:row>
    <x:row r="51" ht="24" customHeight="1">
      <x:c r="A51" s="1"/>
      <x:c r="B51" s="1"/>
      <x:c r="C51" s="1"/>
      <x:c r="D51" s="1"/>
      <x:c r="E51" s="1"/>
      <x:c r="F51" s="1"/>
      <x:c r="G51" s="1"/>
    </x:row>
    <x:row r="52" ht="24" customHeight="1">
      <x:c r="A52" s="1"/>
      <x:c r="B52" s="1"/>
      <x:c r="C52" s="1"/>
      <x:c r="D52" s="1"/>
      <x:c r="E52" s="1"/>
      <x:c r="F52" s="1"/>
      <x:c r="G52" s="1"/>
    </x:row>
    <x:row r="53" ht="24" customHeight="1">
      <x:c r="A53" s="1"/>
      <x:c r="B53" s="1"/>
      <x:c r="C53" s="1"/>
      <x:c r="D53" s="1"/>
      <x:c r="E53" s="1"/>
      <x:c r="F53" s="1"/>
      <x:c r="G53" s="1"/>
    </x:row>
    <x:row r="54" ht="24" customHeight="1">
      <x:c r="A54" s="1"/>
      <x:c r="B54" s="1"/>
      <x:c r="C54" s="1"/>
      <x:c r="D54" s="1"/>
      <x:c r="E54" s="1"/>
      <x:c r="F54" s="1"/>
      <x:c r="G54" s="1"/>
    </x:row>
    <x:row r="55" ht="24" customHeight="1">
      <x:c r="A55" s="1"/>
      <x:c r="B55" s="1"/>
      <x:c r="C55" s="1"/>
      <x:c r="D55" s="1"/>
      <x:c r="E55" s="1"/>
      <x:c r="F55" s="1"/>
      <x:c r="G55" s="1"/>
    </x:row>
    <x:row r="56" ht="24" customHeight="1">
      <x:c r="A56" s="1"/>
      <x:c r="B56" s="1"/>
      <x:c r="C56" s="1"/>
      <x:c r="D56" s="1"/>
      <x:c r="E56" s="1"/>
      <x:c r="F56" s="1"/>
      <x:c r="G56" s="1"/>
    </x:row>
    <x:row r="57" ht="24" customHeight="1">
      <x:c r="A57" s="1"/>
      <x:c r="B57" s="1"/>
      <x:c r="C57" s="1"/>
      <x:c r="D57" s="1"/>
      <x:c r="E57" s="1"/>
      <x:c r="F57" s="1"/>
      <x:c r="G57" s="1"/>
    </x:row>
    <x:row r="58" ht="24" customHeight="1">
      <x:c r="A58" s="1"/>
      <x:c r="B58" s="1"/>
      <x:c r="C58" s="1"/>
      <x:c r="D58" s="1"/>
      <x:c r="E58" s="1"/>
      <x:c r="F58" s="1"/>
      <x:c r="G58" s="1"/>
    </x:row>
    <x:row r="59" ht="24" customHeight="1">
      <x:c r="A59" s="1"/>
      <x:c r="B59" s="1"/>
      <x:c r="C59" s="1"/>
      <x:c r="D59" s="1"/>
      <x:c r="E59" s="1"/>
      <x:c r="F59" s="1"/>
      <x:c r="G59" s="1"/>
    </x:row>
    <x:row r="60" ht="24" customHeight="1">
      <x:c r="A60" s="1"/>
      <x:c r="B60" s="1"/>
      <x:c r="C60" s="1"/>
      <x:c r="D60" s="1"/>
      <x:c r="E60" s="1"/>
      <x:c r="F60" s="1"/>
      <x:c r="G60" s="1"/>
    </x:row>
    <x:row r="61" ht="24" customHeight="1">
      <x:c r="A61" s="1"/>
      <x:c r="B61" s="1"/>
      <x:c r="C61" s="1"/>
      <x:c r="D61" s="1"/>
      <x:c r="E61" s="1"/>
      <x:c r="F61" s="1"/>
      <x:c r="G61" s="1"/>
    </x:row>
    <x:row r="62" ht="24" customHeight="1">
      <x:c r="A62" s="1"/>
      <x:c r="B62" s="1"/>
      <x:c r="C62" s="1"/>
      <x:c r="D62" s="1"/>
      <x:c r="E62" s="1"/>
      <x:c r="F62" s="1"/>
      <x:c r="G62" s="1"/>
    </x:row>
    <x:row r="63" ht="24" customHeight="1">
      <x:c r="A63" s="1"/>
      <x:c r="B63" s="1"/>
      <x:c r="C63" s="1"/>
      <x:c r="D63" s="1"/>
      <x:c r="E63" s="1"/>
      <x:c r="F63" s="1"/>
      <x:c r="G63" s="1"/>
    </x:row>
    <x:row r="64" ht="24" customHeight="1">
      <x:c r="A64" s="1"/>
      <x:c r="B64" s="1"/>
      <x:c r="C64" s="1"/>
      <x:c r="D64" s="1"/>
      <x:c r="E64" s="1"/>
      <x:c r="F64" s="1"/>
      <x:c r="G64" s="1"/>
    </x:row>
    <x:row r="65" ht="24" customHeight="1">
      <x:c r="A65" s="1"/>
      <x:c r="B65" s="1"/>
      <x:c r="C65" s="1"/>
      <x:c r="D65" s="1"/>
      <x:c r="E65" s="1"/>
      <x:c r="F65" s="1"/>
      <x:c r="G65" s="1"/>
    </x:row>
  </x:sheetData>
  <x:mergeCells>
    <x:mergeCell ref="A2:G2"/>
    <x:mergeCell ref="A3:G3"/>
    <x:mergeCell ref="A16:G16"/>
    <x:mergeCell ref="C17:G17"/>
    <x:mergeCell ref="C18:G18"/>
    <x:mergeCell ref="C19:G19"/>
    <x:mergeCell ref="A22:G22"/>
    <x:mergeCell ref="A24:G24"/>
    <x:mergeCell ref="A25:G25"/>
    <x:mergeCell ref="A26:G26"/>
    <x:mergeCell ref="A27:G27"/>
    <x:mergeCell ref="A28:G28"/>
    <x:mergeCell ref="A29:G29"/>
    <x:mergeCell ref="A30:G30"/>
    <x:mergeCell ref="A31:G31"/>
    <x:mergeCell ref="A32:G32"/>
    <x:mergeCell ref="A33:G33"/>
    <x:mergeCell ref="A34:G34"/>
    <x:mergeCell ref="A35:G35"/>
    <x:mergeCell ref="A36:G36"/>
    <x:mergeCell ref="A37:G37"/>
    <x:mergeCell ref="A38:G38"/>
    <x:mergeCell ref="A39:G39"/>
  </x:mergeCells>
  <x:pageMargins left="0.7" right="0.7" top="0.75" bottom="0.75" header="0.3" footer="0.3"/>
</x:worksheet>
</file>