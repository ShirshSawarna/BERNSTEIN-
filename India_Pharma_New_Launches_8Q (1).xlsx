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7c0f93f9d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b167fdf4e3b040fb"/>
    <x:sheet xmlns:r="http://schemas.openxmlformats.org/officeDocument/2006/relationships" name="Launch register" sheetId="2" r:id="R3b01632dff664f09"/>
    <x:sheet xmlns:r="http://schemas.openxmlformats.org/officeDocument/2006/relationships" name="Quarterly review" sheetId="3" r:id="Rf321f3afdcde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020"/>
      <x:name val="Arial"/>
    </x:font>
    <x:font>
      <x:b/>
      <x:sz val="14"/>
      <x:color rgb="FF164A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A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6add6c76c4d99" /><Relationship Type="http://schemas.openxmlformats.org/officeDocument/2006/relationships/theme" Target="/xl/theme/theme1.xml" Id="R1415c612a43d48f2" /><Relationship Type="http://schemas.openxmlformats.org/officeDocument/2006/relationships/sharedStrings" Target="/xl/sharedStrings.xml" Id="R36ea32270c9a4c39" /><Relationship Type="http://schemas.openxmlformats.org/officeDocument/2006/relationships/worksheet" Target="/xl/worksheets/sheet1.xml" Id="Rb167fdf4e3b040fb" /><Relationship Type="http://schemas.openxmlformats.org/officeDocument/2006/relationships/worksheet" Target="/xl/worksheets/sheet2.xml" Id="R3b01632dff664f09" /><Relationship Type="http://schemas.openxmlformats.org/officeDocument/2006/relationships/worksheet" Target="/xl/worksheets/sheet3.xml" Id="Rf321f3afdcde42fe" /></Relationships>
</file>

<file path=xl/tables/table1.xml><?xml version="1.0" encoding="utf-8"?>
<x:table xmlns:x="http://schemas.openxmlformats.org/spreadsheetml/2006/main" id="1" name="LaunchRegister" displayName="LaunchRegister" ref="A4:K83" headerRowCount="1" totalsRowCount="0" totalsRowShown="0">
  <x:tableColumns count="11">
    <x:tableColumn id="1" name="Company"/>
    <x:tableColumn id="2" name="Bucket"/>
    <x:tableColumn id="3" name="Therapy"/>
    <x:tableColumn id="4" name="Brand / product"/>
    <x:tableColumn id="5" name="Molecule / formulation"/>
    <x:tableColumn id="6" name="Timing"/>
    <x:tableColumn id="7" name="Event type"/>
    <x:tableColumn id="8" name="Evidence status"/>
    <x:tableColumn id="9" name="Timing basis / source location"/>
    <x:tableColumn id="10" name="Analytical note"/>
    <x:tableColumn id="11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074e5b8dd349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  <x:col min="3" max="3" width="47" hidden="0" customWidth="1"/>
    <x:col min="4" max="4" width="47" hidden="0" customWidth="1"/>
    <x:col min="5" max="5" width="57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India launches: chronic and specialist care lead disclosed additions</x:v>
      </x:c>
      <x:c r="B2" s="2"/>
      <x:c r="C2" s="2"/>
      <x:c r="D2" s="2"/>
      <x:c r="E2" s="2"/>
    </x:row>
    <x:row r="3" ht="24" customHeight="1">
      <x:c r="A3" s="2"/>
      <x:c r="B3" s="2"/>
      <x:c r="C3" s="2"/>
      <x:c r="D3" s="2"/>
      <x:c r="E3" s="2"/>
    </x:row>
    <x:row r="4" ht="24" customHeight="1">
      <x:c r="A4" s="8" t="str">
        <x:v>Scope</x:v>
      </x:c>
      <x:c r="B4" s="8" t="str">
        <x:v>Q2 FY25–Q1 FY27</x:v>
      </x:c>
      <x:c r="C4" s="8" t="str">
        <x:v>As of</x:v>
      </x:c>
      <x:c r="D4" s="8" t="str">
        <x:v>26 Oct 2026</x:v>
      </x:c>
      <x:c r="E4" s="8" t="str">
        <x:v>India human health; Rx, trade generics and consumer extensions identified separately.</x:v>
      </x:c>
    </x:row>
    <x:row r="5" ht="24" customHeight="1">
      <x:c r="A5" s="8" t="str">
        <x:v>Evidence</x:v>
      </x:c>
      <x:c r="B5" s="8" t="str">
        <x:v>Public-disclosure register</x:v>
      </x:c>
      <x:c r="C5" s="8" t="str">
        <x:v>Coverage</x:v>
      </x:c>
      <x:c r="D5" s="8" t="str">
        <x:v>Incomplete brand census</x:v>
      </x:c>
      <x:c r="E5" s="8" t="str">
        <x:v>Annual-only dates and recent-launch exhibits are retained without invented quarter assignments.</x:v>
      </x:c>
    </x:row>
    <x:row r="6" ht="24" customHeight="1">
      <x:c r="A6" s="8"/>
      <x:c r="B6" s="8"/>
      <x:c r="C6" s="8"/>
      <x:c r="D6" s="8"/>
      <x:c r="E6" s="8"/>
    </x:row>
    <x:row r="7" ht="30" customHeight="1">
      <x:c r="A7" s="7" t="str">
        <x:v>Company</x:v>
      </x:c>
      <x:c r="B7" s="7" t="str">
        <x:v>What the disclosed launches show</x:v>
      </x:c>
      <x:c r="C7" s="7" t="str">
        <x:v>Acute evidence</x:v>
      </x:c>
      <x:c r="D7" s="7" t="str">
        <x:v>Chronic evidence</x:v>
      </x:c>
      <x:c r="E7" s="7" t="str">
        <x:v>Analytical implication</x:v>
      </x:c>
    </x:row>
    <x:row r="8" ht="76" customHeight="1">
      <x:c r="A8" s="8" t="str">
        <x:v>Mankind</x:v>
      </x:c>
      <x:c r="B8" s="8" t="str">
        <x:v>Expansion through in-licensing, extensions and acquisitions</x:v>
      </x:c>
      <x:c r="C8" s="8" t="str">
        <x:v>Nimulid Strong; hospital-antibiotic initiatives lack brand/date detail</x:v>
      </x:c>
      <x:c r="D8" s="8" t="str">
        <x:v>Crenzlo; Empaglyde / Empagreat / Dynaduo; Vonalong / Vonatime</x:v>
      </x:c>
      <x:c r="E8" s="8" t="str">
        <x:v>BSV and Rivotril additions must be separated from organic launches.</x:v>
      </x:c>
    </x:row>
    <x:row r="9" ht="76" customHeight="1">
      <x:c r="A9" s="8" t="str">
        <x:v>Sun Pharma</x:v>
      </x:c>
      <x:c r="B9" s="8" t="str">
        <x:v>78 reported India product launches across eight quarters</x:v>
      </x:c>
      <x:c r="C9" s="8" t="str">
        <x:v>Starizo in Q2 FY25; no verified new cough parent brand found</x:v>
      </x:c>
      <x:c r="D9" s="8" t="str">
        <x:v>Fexuclue; Ilumya; Noveltreat / Sematrinity</x:v>
      </x:c>
      <x:c r="E9" s="8" t="str">
        <x:v>Quarterly product counts establish activity; named product coverage is incomplete.</x:v>
      </x:c>
    </x:row>
    <x:row r="10" ht="76" customHeight="1">
      <x:c r="A10" s="8" t="str">
        <x:v>Cipla</x:v>
      </x:c>
      <x:c r="B10" s="8" t="str">
        <x:v>Named additions span seasonal care, AMR and multiple chronic therapies</x:v>
      </x:c>
      <x:c r="C10" s="8" t="str">
        <x:v>Cipenmet, Zemdri, Tedispan, Rizontem; Cofsils Mulethi / Nasowash</x:v>
      </x:c>
      <x:c r="D10" s="8" t="str">
        <x:v>Voltido Trio; Yurpeak; Afrezza; Elbicip; Ciplostem; immunology / CNS extensions</x:v>
      </x:c>
      <x:c r="E10" s="8" t="str">
        <x:v>Broadest named disclosure in this review; disclosure breadth is not proof of most launches.</x:v>
      </x:c>
    </x:row>
    <x:row r="11" ht="24" customHeight="1">
      <x:c r="A11" s="8"/>
      <x:c r="B11" s="8"/>
      <x:c r="C11" s="8"/>
      <x:c r="D11" s="8"/>
      <x:c r="E11" s="8"/>
    </x:row>
    <x:row r="12" ht="24" customHeight="1">
      <x:c r="A12" s="8"/>
      <x:c r="B12" s="8"/>
      <x:c r="C12" s="8"/>
      <x:c r="D12" s="8"/>
      <x:c r="E12" s="8"/>
    </x:row>
    <x:row r="13" ht="30" customHeight="1">
      <x:c r="A13" s="7" t="str">
        <x:v>Therapy screened</x:v>
      </x:c>
      <x:c r="B13" s="7" t="str">
        <x:v>Mankind</x:v>
      </x:c>
      <x:c r="C13" s="7" t="str">
        <x:v>Sun Pharma</x:v>
      </x:c>
      <x:c r="D13" s="7" t="str">
        <x:v>Cipla</x:v>
      </x:c>
      <x:c r="E13" s="7" t="str">
        <x:v>Interpretation</x:v>
      </x:c>
    </x:row>
    <x:row r="14" ht="63" customHeight="1">
      <x:c r="A14" s="8" t="str">
        <x:v>Anti-infectives</x:v>
      </x:c>
      <x:c r="B14" s="8" t="str">
        <x:v>Polymyxin / ceftazidime-avibactam initiatives; brand/date gap</x:v>
      </x:c>
      <x:c r="C14" s="8" t="str">
        <x:v>Starizo</x:v>
      </x:c>
      <x:c r="D14" s="8" t="str">
        <x:v>Cipenmet; Zemdri; Cipkavi; Rizontem; Tedispan</x:v>
      </x:c>
      <x:c r="E14" s="8" t="str">
        <x:v>Hospital AMR launches differ commercially from seasonal oral antibiotics.</x:v>
      </x:c>
    </x:row>
    <x:row r="15" ht="63" customHeight="1">
      <x:c r="A15" s="8" t="str">
        <x:v>Cough / cold / sore throat</x:v>
      </x:c>
      <x:c r="B15" s="8" t="str">
        <x:v>No dated new parent brand verified</x:v>
      </x:c>
      <x:c r="C15" s="8" t="str">
        <x:v>Chericof 12 is a 2021 launch</x:v>
      </x:c>
      <x:c r="D15" s="8" t="str">
        <x:v>Cofsils Mulethi; Mucinac solution; Erdostyne suspension</x:v>
      </x:c>
      <x:c r="E15" s="8" t="str">
        <x:v>Mostly format / flavour extensions in the evidence reviewed.</x:v>
      </x:c>
    </x:row>
    <x:row r="16" ht="63" customHeight="1">
      <x:c r="A16" s="8" t="str">
        <x:v>Allergy / nasal care</x:v>
      </x:c>
      <x:c r="B16" s="8" t="str">
        <x:v>Histoglob PFS through BSV; date only FY25</x:v>
      </x:c>
      <x:c r="C16" s="8" t="str">
        <x:v>No additional dated brand verified</x:v>
      </x:c>
      <x:c r="D16" s="8" t="str">
        <x:v>Bilafav M; Nasowash NS</x:v>
      </x:c>
      <x:c r="E16" s="8" t="str">
        <x:v>Separate allergic rhinitis from chronic maintenance asthma / COPD.</x:v>
      </x:c>
    </x:row>
    <x:row r="17" ht="63" customHeight="1">
      <x:c r="A17" s="8" t="str">
        <x:v>Pain / analgesics</x:v>
      </x:c>
      <x:c r="B17" s="8" t="str">
        <x:v>Nimulid Strong gel / spray</x:v>
      </x:c>
      <x:c r="C17" s="8" t="str">
        <x:v>Volini Roll-on</x:v>
      </x:c>
      <x:c r="D17" s="8" t="str">
        <x:v>Ciplostem; Doloneuron ER</x:v>
      </x:c>
      <x:c r="E17" s="8" t="str">
        <x:v>Osteoarthritis / neuropathic pain differ from short-course analgesics.</x:v>
      </x:c>
    </x:row>
    <x:row r="18" ht="63" customHeight="1">
      <x:c r="A18" s="8" t="str">
        <x:v>Cardiology / lipids</x:v>
      </x:c>
      <x:c r="B18" s="8" t="str">
        <x:v>Crenzlo; Lipirose CV / Statpure EZ timing gap</x:v>
      </x:c>
      <x:c r="C18" s="8" t="str">
        <x:v>No additional dated brand verified</x:v>
      </x:c>
      <x:c r="D18" s="8" t="str">
        <x:v>Dytor MD</x:v>
      </x:c>
      <x:c r="E18" s="8" t="str">
        <x:v>Launch activity not fully disclosed brand by brand.</x:v>
      </x:c>
    </x:row>
    <x:row r="19" ht="63" customHeight="1">
      <x:c r="A19" s="8" t="str">
        <x:v>Diabetes / obesity</x:v>
      </x:c>
      <x:c r="B19" s="8" t="str">
        <x:v>Empagliflozin portfolio; Samakind plan unverified</x:v>
      </x:c>
      <x:c r="C19" s="8" t="str">
        <x:v>Noveltreat; Sematrinity</x:v>
      </x:c>
      <x:c r="D19" s="8" t="str">
        <x:v>Empagliflozin portfolio; Yurpeak; Afrezza; Galvus D</x:v>
      </x:c>
      <x:c r="E19" s="8" t="str">
        <x:v>Differentiate generic molecule entries, licensed brands and FDCs.</x:v>
      </x:c>
    </x:row>
    <x:row r="20" ht="63" customHeight="1">
      <x:c r="A20" s="8" t="str">
        <x:v>Chronic respiratory</x:v>
      </x:c>
      <x:c r="B20" s="8" t="str">
        <x:v>Combihale extensions; Symbicort entry predates window</x:v>
      </x:c>
      <x:c r="C20" s="8" t="str">
        <x:v>No additional dated brand verified</x:v>
      </x:c>
      <x:c r="D20" s="8" t="str">
        <x:v>Voltido Trio; Foracort / Glycohale / Budecort / Indaflo formats</x:v>
      </x:c>
      <x:c r="E20" s="8" t="str">
        <x:v>Device / formulation launches support existing brand franchises.</x:v>
      </x:c>
    </x:row>
    <x:row r="21" ht="63" customHeight="1">
      <x:c r="A21" s="8" t="str">
        <x:v>Gastroenterology</x:v>
      </x:c>
      <x:c r="B21" s="8" t="str">
        <x:v>Vonalong; Vonatime</x:v>
      </x:c>
      <x:c r="C21" s="8" t="str">
        <x:v>Fexuclue; Voltapraz first-sale date gap</x:v>
      </x:c>
      <x:c r="D21" s="8" t="str">
        <x:v>Vonoprazan entry; Elbicip</x:v>
      </x:c>
      <x:c r="E21" s="8" t="str">
        <x:v>P-CABs add a newer class to the reflux market.</x:v>
      </x:c>
    </x:row>
    <x:row r="22" ht="63" customHeight="1">
      <x:c r="A22" s="8" t="str">
        <x:v>CNS / neurology</x:v>
      </x:c>
      <x:c r="B22" s="8" t="str">
        <x:v>Rivotril acquisition</x:v>
      </x:c>
      <x:c r="C22" s="8" t="str">
        <x:v>No additional dated brand verified</x:v>
      </x:c>
      <x:c r="D22" s="8" t="str">
        <x:v>Doloneuron / Zolsoma acquisitions; Doloneuron ER; Peabocip</x:v>
      </x:c>
      <x:c r="E22" s="8" t="str">
        <x:v>Acquisitions excluded from organic new-brand classification.</x:v>
      </x:c>
    </x:row>
    <x:row r="23" ht="63" customHeight="1">
      <x:c r="A23" s="8" t="str">
        <x:v>Urology</x:v>
      </x:c>
      <x:c r="B23" s="8" t="str">
        <x:v>FY25 specialty division is not itself a product launch</x:v>
      </x:c>
      <x:c r="C23" s="8" t="str">
        <x:v>No additional dated brand verified</x:v>
      </x:c>
      <x:c r="D23" s="8" t="str">
        <x:v>Xtiktr; Huena</x:v>
      </x:c>
      <x:c r="E23" s="8" t="str">
        <x:v>Huena prevents recurrent infection; Xtiktr treats urethral strictures.</x:v>
      </x:c>
    </x:row>
    <x:row r="24" ht="63" customHeight="1">
      <x:c r="A24" s="8" t="str">
        <x:v>Dermatology / immunology</x:v>
      </x:c>
      <x:c r="B24" s="8" t="str">
        <x:v>Daffy acquired in 2022; not recent launch</x:v>
      </x:c>
      <x:c r="C24" s="8" t="str">
        <x:v>Ilumya</x:v>
      </x:c>
      <x:c r="D24" s="8" t="str">
        <x:v>Upadazen / Upadacip; Aprela still unverified</x:v>
      </x:c>
      <x:c r="E24" s="8" t="str">
        <x:v>Psoriasis biologics and oral JAK products extend chronic specialist care.</x:v>
      </x:c>
    </x:row>
    <x:row r="25" ht="63" customHeight="1">
      <x:c r="A25" s="8" t="str">
        <x:v>Ophthalmology</x:v>
      </x:c>
      <x:c r="B25" s="8" t="str">
        <x:v>No dated India launch verified</x:v>
      </x:c>
      <x:c r="C25" s="8" t="str">
        <x:v>Cequa launched Apr 2023</x:v>
      </x:c>
      <x:c r="D25" s="8" t="str">
        <x:v>9 PM PF; Nepcinac Pro; Moxicip packaging relaunch</x:v>
      </x:c>
      <x:c r="E25" s="8" t="str">
        <x:v>Do not treat packaging relaunch as a new molecule.</x:v>
      </x:c>
    </x:row>
    <x:row r="26" ht="63" customHeight="1">
      <x:c r="A26" s="8" t="str">
        <x:v>Women's health / fertility</x:v>
      </x:c>
      <x:c r="B26" s="8" t="str">
        <x:v>BSV acquisition; FCM launch initiative</x:v>
      </x:c>
      <x:c r="C26" s="8" t="str">
        <x:v>No additional dated brand verified</x:v>
      </x:c>
      <x:c r="D26" s="8" t="str">
        <x:v>No additional dated brand verified</x:v>
      </x:c>
      <x:c r="E26" s="8" t="str">
        <x:v>Existing acquired brands must not inflate launch totals.</x:v>
      </x:c>
    </x:row>
    <x:row r="27" ht="63" customHeight="1">
      <x:c r="A27" s="8" t="str">
        <x:v>Oncology / haematology</x:v>
      </x:c>
      <x:c r="B27" s="8" t="str">
        <x:v>Sintilimab licensing / pipeline</x:v>
      </x:c>
      <x:c r="C27" s="8" t="str">
        <x:v>Leqselvi / Unloxcyt launches reviewed are US</x:v>
      </x:c>
      <x:c r="D27" s="8" t="str">
        <x:v>Olaparib India; other US oncology launches excluded</x:v>
      </x:c>
      <x:c r="E27" s="8" t="str">
        <x:v>Approval / licensing / international launch is not India commercial launch.</x:v>
      </x:c>
    </x:row>
    <x:row r="28" ht="63" customHeight="1">
      <x:c r="A28" s="8" t="str">
        <x:v>Nephrology / transplant</x:v>
      </x:c>
      <x:c r="B28" s="8" t="str">
        <x:v>Panacea transplant acquisition predates window</x:v>
      </x:c>
      <x:c r="C28" s="8" t="str">
        <x:v>Gimliand agreement; first sale undated</x:v>
      </x:c>
      <x:c r="D28" s="8" t="str">
        <x:v>No additional dated brand verified</x:v>
      </x:c>
      <x:c r="E28" s="8" t="str">
        <x:v>No verified launch does not mean no launch occurred.</x:v>
      </x:c>
    </x:row>
    <x:row r="29" ht="63" customHeight="1">
      <x:c r="A29" s="8" t="str">
        <x:v>Nutrition / hydration</x:v>
      </x:c>
      <x:c r="B29" s="8" t="str">
        <x:v>No additional dated brand verified</x:v>
      </x:c>
      <x:c r="C29" s="8" t="str">
        <x:v>Revital Biotin; Omega; Recharge</x:v>
      </x:c>
      <x:c r="D29" s="8" t="str">
        <x:v>Prolyte ElectroShot; Byefilm; Peabocip</x:v>
      </x:c>
      <x:c r="E29" s="8" t="str">
        <x:v>Consumer and supportive products kept distinct from prescription new molecules.</x:v>
      </x:c>
    </x:row>
    <x:row r="30" ht="24" customHeight="1">
      <x:c r="A30" s="8"/>
      <x:c r="B30" s="8"/>
      <x:c r="C30" s="8"/>
      <x:c r="D30" s="8"/>
      <x:c r="E30" s="8"/>
    </x:row>
    <x:row r="31" ht="24" customHeight="1">
      <x:c r="A31" s="8"/>
      <x:c r="B31" s="8"/>
      <x:c r="C31" s="8"/>
      <x:c r="D31" s="8"/>
      <x:c r="E31" s="8"/>
    </x:row>
    <x:row r="32" ht="24" customHeight="1">
      <x:c r="A32" s="8"/>
      <x:c r="B32" s="8"/>
      <x:c r="C32" s="8"/>
      <x:c r="D32" s="8"/>
      <x:c r="E32" s="8"/>
    </x:row>
    <x:row r="33" ht="30" customHeight="1">
      <x:c r="A33" s="7" t="str">
        <x:v>Rules</x:v>
      </x:c>
      <x:c r="B33" s="7" t="str">
        <x:v>New parent brand</x:v>
      </x:c>
      <x:c r="C33" s="7" t="str">
        <x:v>New formulation / strength / device</x:v>
      </x:c>
      <x:c r="D33" s="7" t="str">
        <x:v>Acquired brand</x:v>
      </x:c>
      <x:c r="E33" s="7" t="str">
        <x:v>Agreement / pipeline</x:v>
      </x:c>
    </x:row>
    <x:row r="34" ht="50" customHeight="1">
      <x:c r="A34" s="8" t="str">
        <x:v>Treatment</x:v>
      </x:c>
      <x:c r="B34" s="8" t="str">
        <x:v>Keep distinct from SKU extensions</x:v>
      </x:c>
      <x:c r="C34" s="8" t="str">
        <x:v>Record separately; do not infer new molecule</x:v>
      </x:c>
      <x:c r="D34" s="8" t="str">
        <x:v>Portfolio addition, not organic launch</x:v>
      </x:c>
      <x:c r="E34" s="8" t="str">
        <x:v>Do not count until commercial launch confirmed</x:v>
      </x:c>
    </x:row>
    <x:row r="35" ht="50" customHeight="1">
      <x:c r="A35" s="8" t="str">
        <x:v>Data gap</x:v>
      </x:c>
      <x:c r="B35" s="8" t="str">
        <x:v>No complete monthly SKU launch file supplied</x:v>
      </x:c>
      <x:c r="C35" s="8" t="str">
        <x:v>Undisclosed is not zero</x:v>
      </x:c>
      <x:c r="D35" s="8" t="str">
        <x:v>FY25 annual disclosures include Apr–Jun 2024</x:v>
      </x:c>
      <x:c r="E35" s="8" t="str">
        <x:v>Use IQVIA / Pharmarack first-sale records for an exhaustive census</x:v>
      </x:c>
    </x:row>
    <x:row r="36" ht="50" customHeight="1">
      <x:c r="A36" s="8" t="str">
        <x:v>Source detail</x:v>
      </x:c>
      <x:c r="B36" s="8" t="str">
        <x:v>URLs and timing evidence accompany every register row</x:v>
      </x:c>
      <x:c r="C36" s="8" t="str">
        <x:v>No launch-sales contribution estimated</x:v>
      </x:c>
      <x:c r="D36" s="8" t="str">
        <x:v>No fabricated quarter / molecule mappings</x:v>
      </x:c>
      <x:c r="E36" s="8" t="str">
        <x:v>Reviewed disclosures do not list every commercial SKU</x:v>
      </x:c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8" hidden="0" customWidth="1"/>
    <x:col min="4" max="4" width="34" hidden="0" customWidth="1"/>
    <x:col min="5" max="5" width="46" hidden="0" customWidth="1"/>
    <x:col min="6" max="6" width="33" hidden="0" customWidth="1"/>
    <x:col min="7" max="7" width="34" hidden="0" customWidth="1"/>
    <x:col min="8" max="8" width="34" hidden="0" customWidth="1"/>
    <x:col min="9" max="9" width="47" hidden="0" customWidth="1"/>
    <x:col min="10" max="10" width="52" hidden="0" customWidth="1"/>
    <x:col min="11" max="11" width="7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India launch register: commercial launches, extensions and exclusions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7" t="str">
        <x:v>Company</x:v>
      </x:c>
      <x:c r="B4" s="7" t="str">
        <x:v>Bucket</x:v>
      </x:c>
      <x:c r="C4" s="7" t="str">
        <x:v>Therapy</x:v>
      </x:c>
      <x:c r="D4" s="7" t="str">
        <x:v>Brand / product</x:v>
      </x:c>
      <x:c r="E4" s="7" t="str">
        <x:v>Molecule / formulation</x:v>
      </x:c>
      <x:c r="F4" s="7" t="str">
        <x:v>Timing</x:v>
      </x:c>
      <x:c r="G4" s="7" t="str">
        <x:v>Event type</x:v>
      </x:c>
      <x:c r="H4" s="7" t="str">
        <x:v>Evidence status</x:v>
      </x:c>
      <x:c r="I4" s="7" t="str">
        <x:v>Timing basis / source location</x:v>
      </x:c>
      <x:c r="J4" s="7" t="str">
        <x:v>Analytical note</x:v>
      </x:c>
      <x:c r="K4" s="7" t="str">
        <x:v>Source URL</x:v>
      </x:c>
    </x:row>
    <x:row r="5" ht="78" customHeight="1">
      <x:c r="A5" s="8" t="str">
        <x:v>Mankind</x:v>
      </x:c>
      <x:c r="B5" s="8" t="str">
        <x:v>Other acute</x:v>
      </x:c>
      <x:c r="C5" s="8" t="str">
        <x:v>Pain / analgesics</x:v>
      </x:c>
      <x:c r="D5" s="8" t="str">
        <x:v>Nimulid Strong gel &amp; spray</x:v>
      </x:c>
      <x:c r="E5" s="8" t="str">
        <x:v>Diclofenac-based topical analgesic</x:v>
      </x:c>
      <x:c r="F5" s="8" t="str">
        <x:v>Q2 FY25</x:v>
      </x:c>
      <x:c r="G5" s="8" t="str">
        <x:v>Brand extension / new formats</x:v>
      </x:c>
      <x:c r="H5" s="8" t="str">
        <x:v>Launch confirmed</x:v>
      </x:c>
      <x:c r="I5" s="8" t="str">
        <x:v>2 Sep 2024 announcement</x:v>
      </x:c>
      <x:c r="J5" s="8" t="str">
        <x:v>Two formats under existing Nimulid brand.</x:v>
      </x:c>
      <x:c r="K5" s="8" t="str">
        <x:v>https://www.financialexpress.com/business/healthcare-mankind-pharma-announces-entry-into-topical-analgesic-market-launches-nimulid-strong-3599237/</x:v>
      </x:c>
    </x:row>
    <x:row r="6" ht="78" customHeight="1">
      <x:c r="A6" s="8" t="str">
        <x:v>Mankind</x:v>
      </x:c>
      <x:c r="B6" s="8" t="str">
        <x:v>Chronic</x:v>
      </x:c>
      <x:c r="C6" s="8" t="str">
        <x:v>Cardiology / lipids</x:v>
      </x:c>
      <x:c r="D6" s="8" t="str">
        <x:v>Crenzlo</x:v>
      </x:c>
      <x:c r="E6" s="8" t="str">
        <x:v>Inclisiran</x:v>
      </x:c>
      <x:c r="F6" s="8" t="str">
        <x:v>Q2 FY25</x:v>
      </x:c>
      <x:c r="G6" s="8" t="str">
        <x:v>In-licensed new brand</x:v>
      </x:c>
      <x:c r="H6" s="8" t="str">
        <x:v>Launch confirmed</x:v>
      </x:c>
      <x:c r="I6" s="8" t="str">
        <x:v>Q2 FY25 call says launched</x:v>
      </x:c>
      <x:c r="J6" s="8" t="str">
        <x:v>Adds injectable lipid management via Novartis partnership.</x:v>
      </x:c>
      <x:c r="K6" s="8" t="str">
        <x:v>https://www.mankindpharma.com/wp-content/uploads/2024/12/q2_fy25-transcript_11112024-1731327465.pdf</x:v>
      </x:c>
    </x:row>
    <x:row r="7" ht="78" customHeight="1">
      <x:c r="A7" s="8" t="str">
        <x:v>Mankind</x:v>
      </x:c>
      <x:c r="B7" s="8" t="str">
        <x:v>Chronic</x:v>
      </x:c>
      <x:c r="C7" s="8" t="str">
        <x:v>Diabetes</x:v>
      </x:c>
      <x:c r="D7" s="8" t="str">
        <x:v>Empaglyde</x:v>
      </x:c>
      <x:c r="E7" s="8" t="str">
        <x:v>Empagliflozin portfolio; check individual FDC label</x:v>
      </x:c>
      <x:c r="F7" s="8" t="str">
        <x:v>Q4 FY25</x:v>
      </x:c>
      <x:c r="G7" s="8" t="str">
        <x:v>New brand / portfolio entry</x:v>
      </x:c>
      <x:c r="H7" s="8" t="str">
        <x:v>Launch confirmed</x:v>
      </x:c>
      <x:c r="I7" s="8" t="str">
        <x:v>12 Mar 2025 announcement</x:v>
      </x:c>
      <x:c r="J7" s="8" t="str">
        <x:v>Three named brands; do not equate with three new molecules.</x:v>
      </x:c>
      <x:c r="K7" s="8" t="str">
        <x:v>https://www.theweek.in/wire-updates/business/2025/03/12/dcm51-biz-mankind.amp.html</x:v>
      </x:c>
    </x:row>
    <x:row r="8" ht="78" customHeight="1">
      <x:c r="A8" s="8" t="str">
        <x:v>Mankind</x:v>
      </x:c>
      <x:c r="B8" s="8" t="str">
        <x:v>Chronic</x:v>
      </x:c>
      <x:c r="C8" s="8" t="str">
        <x:v>Diabetes</x:v>
      </x:c>
      <x:c r="D8" s="8" t="str">
        <x:v>Empagreat</x:v>
      </x:c>
      <x:c r="E8" s="8" t="str">
        <x:v>Empagliflozin portfolio; check individual FDC label</x:v>
      </x:c>
      <x:c r="F8" s="8" t="str">
        <x:v>Q4 FY25</x:v>
      </x:c>
      <x:c r="G8" s="8" t="str">
        <x:v>New brand / portfolio entry</x:v>
      </x:c>
      <x:c r="H8" s="8" t="str">
        <x:v>Launch confirmed</x:v>
      </x:c>
      <x:c r="I8" s="8" t="str">
        <x:v>12 Mar 2025 announcement</x:v>
      </x:c>
      <x:c r="J8" s="8" t="str">
        <x:v>Three named brands; do not equate with three new molecules.</x:v>
      </x:c>
      <x:c r="K8" s="8" t="str">
        <x:v>https://www.theweek.in/wire-updates/business/2025/03/12/dcm51-biz-mankind.amp.html</x:v>
      </x:c>
    </x:row>
    <x:row r="9" ht="78" customHeight="1">
      <x:c r="A9" s="8" t="str">
        <x:v>Mankind</x:v>
      </x:c>
      <x:c r="B9" s="8" t="str">
        <x:v>Chronic</x:v>
      </x:c>
      <x:c r="C9" s="8" t="str">
        <x:v>Diabetes</x:v>
      </x:c>
      <x:c r="D9" s="8" t="str">
        <x:v>Dynaduo</x:v>
      </x:c>
      <x:c r="E9" s="8" t="str">
        <x:v>Empagliflozin portfolio; check individual FDC label</x:v>
      </x:c>
      <x:c r="F9" s="8" t="str">
        <x:v>Q4 FY25</x:v>
      </x:c>
      <x:c r="G9" s="8" t="str">
        <x:v>New brand / portfolio entry</x:v>
      </x:c>
      <x:c r="H9" s="8" t="str">
        <x:v>Launch confirmed</x:v>
      </x:c>
      <x:c r="I9" s="8" t="str">
        <x:v>12 Mar 2025 announcement</x:v>
      </x:c>
      <x:c r="J9" s="8" t="str">
        <x:v>Three named brands; do not equate with three new molecules.</x:v>
      </x:c>
      <x:c r="K9" s="8" t="str">
        <x:v>https://www.theweek.in/wire-updates/business/2025/03/12/dcm51-biz-mankind.amp.html</x:v>
      </x:c>
    </x:row>
    <x:row r="10" ht="78" customHeight="1">
      <x:c r="A10" s="8" t="str">
        <x:v>Mankind</x:v>
      </x:c>
      <x:c r="B10" s="8" t="str">
        <x:v>Chronic / episodic</x:v>
      </x:c>
      <x:c r="C10" s="8" t="str">
        <x:v>Gastroenterology</x:v>
      </x:c>
      <x:c r="D10" s="8" t="str">
        <x:v>Vonalong</x:v>
      </x:c>
      <x:c r="E10" s="8" t="str">
        <x:v>Vonoprazan</x:v>
      </x:c>
      <x:c r="F10" s="8" t="str">
        <x:v>FY25; quarter undisclosed</x:v>
      </x:c>
      <x:c r="G10" s="8" t="str">
        <x:v>In-licensed new brand</x:v>
      </x:c>
      <x:c r="H10" s="8" t="str">
        <x:v>Launched by FY25; quarter unverified</x:v>
      </x:c>
      <x:c r="I10" s="8" t="str">
        <x:v>FY25 AR pp28-29</x:v>
      </x:c>
      <x:c r="J10" s="8" t="str">
        <x:v>Takeda-licensed P-CAB; July 2024 agreement is not launch date.</x:v>
      </x:c>
      <x:c r="K10" s="8" t="str">
        <x:v>https://nsearchives.nseindia.com/annual_reports/AR_26946_MANKIND_2024_2025_A_15072025185802.pdf</x:v>
      </x:c>
    </x:row>
    <x:row r="11" ht="78" customHeight="1">
      <x:c r="A11" s="8" t="str">
        <x:v>Mankind</x:v>
      </x:c>
      <x:c r="B11" s="8" t="str">
        <x:v>Chronic / episodic</x:v>
      </x:c>
      <x:c r="C11" s="8" t="str">
        <x:v>Gastroenterology</x:v>
      </x:c>
      <x:c r="D11" s="8" t="str">
        <x:v>Vonatime</x:v>
      </x:c>
      <x:c r="E11" s="8" t="str">
        <x:v>Vonoprazan</x:v>
      </x:c>
      <x:c r="F11" s="8" t="str">
        <x:v>FY25; quarter undisclosed</x:v>
      </x:c>
      <x:c r="G11" s="8" t="str">
        <x:v>In-licensed new brand</x:v>
      </x:c>
      <x:c r="H11" s="8" t="str">
        <x:v>Launched by FY25; quarter unverified</x:v>
      </x:c>
      <x:c r="I11" s="8" t="str">
        <x:v>FY25 AR pp28-29</x:v>
      </x:c>
      <x:c r="J11" s="8" t="str">
        <x:v>Takeda-licensed P-CAB; July 2024 agreement is not launch date.</x:v>
      </x:c>
      <x:c r="K11" s="8" t="str">
        <x:v>https://nsearchives.nseindia.com/annual_reports/AR_26946_MANKIND_2024_2025_A_15072025185802.pdf</x:v>
      </x:c>
    </x:row>
    <x:row r="12" ht="78" customHeight="1">
      <x:c r="A12" s="8" t="str">
        <x:v>Mankind</x:v>
      </x:c>
      <x:c r="B12" s="8" t="str">
        <x:v>Chronic</x:v>
      </x:c>
      <x:c r="C12" s="8" t="str">
        <x:v>Cardiology / lipids</x:v>
      </x:c>
      <x:c r="D12" s="8" t="str">
        <x:v>Lipirose CV</x:v>
      </x:c>
      <x:c r="E12" s="8" t="str">
        <x:v>Rosuvastatin combinations</x:v>
      </x:c>
      <x:c r="F12" s="8" t="str">
        <x:v>FY25 initiative; first sale undated</x:v>
      </x:c>
      <x:c r="G12" s="8" t="str">
        <x:v>Brand extension</x:v>
      </x:c>
      <x:c r="H12" s="8" t="str">
        <x:v>Timing unverified</x:v>
      </x:c>
      <x:c r="I12" s="8" t="str">
        <x:v>Listed among key launches / growth initiatives, FY25 AR</x:v>
      </x:c>
      <x:c r="J12" s="8" t="str">
        <x:v>Cannot assign to eight-quarter launch total without first-sale date.</x:v>
      </x:c>
      <x:c r="K12" s="8" t="str">
        <x:v>https://nsearchives.nseindia.com/annual_reports/AR_26946_MANKIND_2024_2025_A_15072025185802.pdf</x:v>
      </x:c>
    </x:row>
    <x:row r="13" ht="78" customHeight="1">
      <x:c r="A13" s="8" t="str">
        <x:v>Mankind</x:v>
      </x:c>
      <x:c r="B13" s="8" t="str">
        <x:v>Chronic</x:v>
      </x:c>
      <x:c r="C13" s="8" t="str">
        <x:v>Cardiology / lipids</x:v>
      </x:c>
      <x:c r="D13" s="8" t="str">
        <x:v>Statpure EZ</x:v>
      </x:c>
      <x:c r="E13" s="8" t="str">
        <x:v>Rosuvastatin combinations</x:v>
      </x:c>
      <x:c r="F13" s="8" t="str">
        <x:v>FY25 initiative; first sale undated</x:v>
      </x:c>
      <x:c r="G13" s="8" t="str">
        <x:v>Brand extension</x:v>
      </x:c>
      <x:c r="H13" s="8" t="str">
        <x:v>Timing unverified</x:v>
      </x:c>
      <x:c r="I13" s="8" t="str">
        <x:v>Listed among key launches / growth initiatives, FY25 AR</x:v>
      </x:c>
      <x:c r="J13" s="8" t="str">
        <x:v>Cannot assign to eight-quarter launch total without first-sale date.</x:v>
      </x:c>
      <x:c r="K13" s="8" t="str">
        <x:v>https://nsearchives.nseindia.com/annual_reports/AR_26946_MANKIND_2024_2025_A_15072025185802.pdf</x:v>
      </x:c>
    </x:row>
    <x:row r="14" ht="78" customHeight="1">
      <x:c r="A14" s="8" t="str">
        <x:v>Mankind</x:v>
      </x:c>
      <x:c r="B14" s="8" t="str">
        <x:v>Anti-infectives</x:v>
      </x:c>
      <x:c r="C14" s="8" t="str">
        <x:v>Hospital antibiotics</x:v>
      </x:c>
      <x:c r="D14" s="8" t="str">
        <x:v>Brand undisclosed</x:v>
      </x:c>
      <x:c r="E14" s="8" t="str">
        <x:v>Polymyxin injectable</x:v>
      </x:c>
      <x:c r="F14" s="8" t="str">
        <x:v>FY25 initiative; first sale undated</x:v>
      </x:c>
      <x:c r="G14" s="8" t="str">
        <x:v>Molecule-level initiative</x:v>
      </x:c>
      <x:c r="H14" s="8" t="str">
        <x:v>Timing unverified</x:v>
      </x:c>
      <x:c r="I14" s="8" t="str">
        <x:v>FY25 AR pp28-29</x:v>
      </x:c>
      <x:c r="J14" s="8" t="str">
        <x:v>Hospital acute care; distinct from seasonal oral antibiotics.</x:v>
      </x:c>
      <x:c r="K14" s="8" t="str">
        <x:v>https://nsearchives.nseindia.com/annual_reports/AR_26946_MANKIND_2024_2025_A_15072025185802.pdf</x:v>
      </x:c>
    </x:row>
    <x:row r="15" ht="78" customHeight="1">
      <x:c r="A15" s="8" t="str">
        <x:v>Mankind</x:v>
      </x:c>
      <x:c r="B15" s="8" t="str">
        <x:v>Anti-infectives</x:v>
      </x:c>
      <x:c r="C15" s="8" t="str">
        <x:v>Hospital antibiotics</x:v>
      </x:c>
      <x:c r="D15" s="8" t="str">
        <x:v>Brand undisclosed</x:v>
      </x:c>
      <x:c r="E15" s="8" t="str">
        <x:v>Ceftazidime + avibactam injectable</x:v>
      </x:c>
      <x:c r="F15" s="8" t="str">
        <x:v>FY25 initiative; first sale undated</x:v>
      </x:c>
      <x:c r="G15" s="8" t="str">
        <x:v>Molecule-level initiative</x:v>
      </x:c>
      <x:c r="H15" s="8" t="str">
        <x:v>Timing unverified</x:v>
      </x:c>
      <x:c r="I15" s="8" t="str">
        <x:v>FY25 AR pp28-29</x:v>
      </x:c>
      <x:c r="J15" s="8" t="str">
        <x:v>No brand/date disclosed in the reviewed table.</x:v>
      </x:c>
      <x:c r="K15" s="8" t="str">
        <x:v>https://nsearchives.nseindia.com/annual_reports/AR_26946_MANKIND_2024_2025_A_15072025185802.pdf</x:v>
      </x:c>
    </x:row>
    <x:row r="16" ht="78" customHeight="1">
      <x:c r="A16" s="8" t="str">
        <x:v>Mankind / BSV</x:v>
      </x:c>
      <x:c r="B16" s="8" t="str">
        <x:v>Seasonal acute</x:v>
      </x:c>
      <x:c r="C16" s="8" t="str">
        <x:v>Allergy</x:v>
      </x:c>
      <x:c r="D16" s="8" t="str">
        <x:v>Histoglob PFS</x:v>
      </x:c>
      <x:c r="E16" s="8" t="str">
        <x:v>Histamine + human normal immunoglobulin</x:v>
      </x:c>
      <x:c r="F16" s="8" t="str">
        <x:v>FY25; quarter undisclosed</x:v>
      </x:c>
      <x:c r="G16" s="8" t="str">
        <x:v>Device / presentation extension</x:v>
      </x:c>
      <x:c r="H16" s="8" t="str">
        <x:v>Presentation launch disclosed</x:v>
      </x:c>
      <x:c r="I16" s="8" t="str">
        <x:v>FY25 AR p32</x:v>
      </x:c>
      <x:c r="J16" s="8" t="str">
        <x:v>PFS extension of existing Histoglob, not a new parent brand.</x:v>
      </x:c>
      <x:c r="K16" s="8" t="str">
        <x:v>https://nsearchives.nseindia.com/annual_reports/AR_26946_MANKIND_2024_2025_A_15072025185802.pdf</x:v>
      </x:c>
    </x:row>
    <x:row r="17" ht="78" customHeight="1">
      <x:c r="A17" s="8" t="str">
        <x:v>Mankind</x:v>
      </x:c>
      <x:c r="B17" s="8" t="str">
        <x:v>Chronic</x:v>
      </x:c>
      <x:c r="C17" s="8" t="str">
        <x:v>Diabetes / obesity</x:v>
      </x:c>
      <x:c r="D17" s="8" t="str">
        <x:v>Samakind</x:v>
      </x:c>
      <x:c r="E17" s="8" t="str">
        <x:v>Semaglutide</x:v>
      </x:c>
      <x:c r="F17" s="8" t="str">
        <x:v>Planned Mar 2026</x:v>
      </x:c>
      <x:c r="G17" s="8" t="str">
        <x:v>Proposed new brand</x:v>
      </x:c>
      <x:c r="H17" s="8" t="str">
        <x:v>Plan confirmed; commercial launch unverified</x:v>
      </x:c>
      <x:c r="I17" s="8" t="str">
        <x:v>19 Mar 2026 reporting</x:v>
      </x:c>
      <x:c r="J17" s="8" t="str">
        <x:v>Retained separately from confirmed sales launches.</x:v>
      </x:c>
      <x:c r="K17" s="8" t="str">
        <x:v>https://www.businesstoday.in/industry/pharma/story/pharma-firms-opt-for-partnerships-as-indias-semaglutide-market-opens-post-patent-expiry-521341-2026-03-19</x:v>
      </x:c>
    </x:row>
    <x:row r="18" ht="78" customHeight="1">
      <x:c r="A18" s="8" t="str">
        <x:v>Mankind</x:v>
      </x:c>
      <x:c r="B18" s="8" t="str">
        <x:v>Chronic</x:v>
      </x:c>
      <x:c r="C18" s="8" t="str">
        <x:v>CNS</x:v>
      </x:c>
      <x:c r="D18" s="8" t="str">
        <x:v>Rivotril</x:v>
      </x:c>
      <x:c r="E18" s="8" t="str">
        <x:v>Clonazepam</x:v>
      </x:c>
      <x:c r="F18" s="8" t="str">
        <x:v>FY26</x:v>
      </x:c>
      <x:c r="G18" s="8" t="str">
        <x:v>Acquired existing brand</x:v>
      </x:c>
      <x:c r="H18" s="8" t="str">
        <x:v>Acquisition</x:v>
      </x:c>
      <x:c r="I18" s="8" t="str">
        <x:v>FY26 AR / Q1 FY27 presentation</x:v>
      </x:c>
      <x:c r="J18" s="8" t="str">
        <x:v>Portfolio addition; exclude from organic new-brand launches.</x:v>
      </x:c>
      <x:c r="K18" s="8" t="str">
        <x:v>https://www.mankindpharma.com/wp-content/uploads/2026/07/Mankind-AR-2025-26_Final.pdf</x:v>
      </x:c>
    </x:row>
    <x:row r="19" ht="78" customHeight="1">
      <x:c r="A19" s="8" t="str">
        <x:v>Mankind</x:v>
      </x:c>
      <x:c r="B19" s="8" t="str">
        <x:v>Chronic</x:v>
      </x:c>
      <x:c r="C19" s="8" t="str">
        <x:v>Oncology</x:v>
      </x:c>
      <x:c r="D19" s="8" t="str">
        <x:v>Sintilimab brand not confirmed</x:v>
      </x:c>
      <x:c r="E19" s="8" t="str">
        <x:v>Sintilimab</x:v>
      </x:c>
      <x:c r="F19" s="8" t="str">
        <x:v>Dec 2024 agreement</x:v>
      </x:c>
      <x:c r="G19" s="8" t="str">
        <x:v>Licensing / pipeline</x:v>
      </x:c>
      <x:c r="H19" s="8" t="str">
        <x:v>Pipeline; not launch</x:v>
      </x:c>
      <x:c r="I19" s="8" t="str">
        <x:v>Company partnership release</x:v>
      </x:c>
      <x:c r="J19" s="8" t="str">
        <x:v>Registration and commercialisation agreement does not establish launch.</x:v>
      </x:c>
      <x:c r="K19" s="8" t="str">
        <x:v>https://www.mankindpharma.com/media/press-release/mankind-pharma-and-innovent-biologics-partner-to-revolutionize-cancer-care-in-india-with-innovative-immunotherapy-sintilimab/</x:v>
      </x:c>
    </x:row>
    <x:row r="20" ht="78" customHeight="1">
      <x:c r="A20" s="8" t="str">
        <x:v>Mankind</x:v>
      </x:c>
      <x:c r="B20" s="8" t="str">
        <x:v>Chronic</x:v>
      </x:c>
      <x:c r="C20" s="8" t="str">
        <x:v>Respiratory</x:v>
      </x:c>
      <x:c r="D20" s="8" t="str">
        <x:v>Symbicort</x:v>
      </x:c>
      <x:c r="E20" s="8" t="str">
        <x:v>Budesonide + formoterol</x:v>
      </x:c>
      <x:c r="F20" s="8" t="str">
        <x:v>FY24 agreement / entry</x:v>
      </x:c>
      <x:c r="G20" s="8" t="str">
        <x:v>Distribution of existing brand</x:v>
      </x:c>
      <x:c r="H20" s="8" t="str">
        <x:v>Before / outside main window</x:v>
      </x:c>
      <x:c r="I20" s="8" t="str">
        <x:v>FY25 presentation labels FY24</x:v>
      </x:c>
      <x:c r="J20" s="8" t="str">
        <x:v>Growth in window is not a fresh parent-brand launch.</x:v>
      </x:c>
      <x:c r="K20" s="8" t="str">
        <x:v>https://nsearchives.nseindia.com/annual_reports/AR_26946_MANKIND_2024_2025_A_15072025185802.pdf</x:v>
      </x:c>
    </x:row>
    <x:row r="21" ht="78" customHeight="1">
      <x:c r="A21" s="8" t="str">
        <x:v>Mankind</x:v>
      </x:c>
      <x:c r="B21" s="8" t="str">
        <x:v>Chronic</x:v>
      </x:c>
      <x:c r="C21" s="8" t="str">
        <x:v>Respiratory</x:v>
      </x:c>
      <x:c r="D21" s="8" t="str">
        <x:v>Combihale extensions</x:v>
      </x:c>
      <x:c r="E21" s="8" t="str">
        <x:v>Inhaled combinations; SKU-specific</x:v>
      </x:c>
      <x:c r="F21" s="8" t="str">
        <x:v>FY25 initiative; dates undisclosed</x:v>
      </x:c>
      <x:c r="G21" s="8" t="str">
        <x:v>Brand extensions</x:v>
      </x:c>
      <x:c r="H21" s="8" t="str">
        <x:v>Timing unverified</x:v>
      </x:c>
      <x:c r="I21" s="8" t="str">
        <x:v>FY25 AR pp28-29</x:v>
      </x:c>
      <x:c r="J21" s="8" t="str">
        <x:v>Parent brand acquired in 2022; extensions need SKU-level dates.</x:v>
      </x:c>
      <x:c r="K21" s="8" t="str">
        <x:v>https://nsearchives.nseindia.com/annual_reports/AR_26946_MANKIND_2024_2025_A_15072025185802.pdf</x:v>
      </x:c>
    </x:row>
    <x:row r="22" ht="78" customHeight="1">
      <x:c r="A22" s="8" t="str">
        <x:v>Mankind</x:v>
      </x:c>
      <x:c r="B22" s="8" t="str">
        <x:v>Chronic</x:v>
      </x:c>
      <x:c r="C22" s="8" t="str">
        <x:v>Diabetes</x:v>
      </x:c>
      <x:c r="D22" s="8" t="str">
        <x:v>Nobeglar</x:v>
      </x:c>
      <x:c r="E22" s="8" t="str">
        <x:v>Insulin glargine</x:v>
      </x:c>
      <x:c r="F22" s="8" t="str">
        <x:v>FY23</x:v>
      </x:c>
      <x:c r="G22" s="8" t="str">
        <x:v>In-licensed existing brand</x:v>
      </x:c>
      <x:c r="H22" s="8" t="str">
        <x:v>Before window</x:v>
      </x:c>
      <x:c r="I22" s="8" t="str">
        <x:v>FY25 presentation</x:v>
      </x:c>
      <x:c r="J22" s="8" t="str">
        <x:v>Do not count as a FY25-FY27 new launch.</x:v>
      </x:c>
      <x:c r="K22" s="8" t="str">
        <x:v>https://nsearchives.nseindia.com/annual_reports/AR_26946_MANKIND_2024_2025_A_15072025185802.pdf</x:v>
      </x:c>
    </x:row>
    <x:row r="23" ht="78" customHeight="1">
      <x:c r="A23" s="8" t="str">
        <x:v>Mankind / BSV</x:v>
      </x:c>
      <x:c r="B23" s="8" t="str">
        <x:v>Chronic / specialty</x:v>
      </x:c>
      <x:c r="C23" s="8" t="str">
        <x:v>Women's health / fertility</x:v>
      </x:c>
      <x:c r="D23" s="8" t="str">
        <x:v>Anti-D, Foligraf, Humog and BSV portfolio</x:v>
      </x:c>
      <x:c r="E23" s="8" t="str">
        <x:v>Multiple biologics / hormones</x:v>
      </x:c>
      <x:c r="F23" s="8" t="str">
        <x:v>Q3 FY25 acquisition</x:v>
      </x:c>
      <x:c r="G23" s="8" t="str">
        <x:v>Acquired existing portfolio</x:v>
      </x:c>
      <x:c r="H23" s="8" t="str">
        <x:v>Acquisition</x:v>
      </x:c>
      <x:c r="I23" s="8" t="str">
        <x:v>BSV consolidated from 23 Oct 2024</x:v>
      </x:c>
      <x:c r="J23" s="8" t="str">
        <x:v>Existing BSV brands do not represent organic launch events.</x:v>
      </x:c>
      <x:c r="K23" s="8" t="str">
        <x:v>https://www.mankindpharma.com/wp-content/uploads/2026/07/Investor-Presentation-1.pdf</x:v>
      </x:c>
    </x:row>
    <x:row r="24" ht="78" customHeight="1">
      <x:c r="A24" s="8" t="str">
        <x:v>Mankind</x:v>
      </x:c>
      <x:c r="B24" s="8" t="str">
        <x:v>Chronic / episodic</x:v>
      </x:c>
      <x:c r="C24" s="8" t="str">
        <x:v>Women's health / iron</x:v>
      </x:c>
      <x:c r="D24" s="8" t="str">
        <x:v>FCM brand undisclosed</x:v>
      </x:c>
      <x:c r="E24" s="8" t="str">
        <x:v>Ferric carboxymaltose</x:v>
      </x:c>
      <x:c r="F24" s="8" t="str">
        <x:v>FY25 initiative; date undisclosed</x:v>
      </x:c>
      <x:c r="G24" s="8" t="str">
        <x:v>Molecule-level initiative</x:v>
      </x:c>
      <x:c r="H24" s="8" t="str">
        <x:v>Timing unverified</x:v>
      </x:c>
      <x:c r="I24" s="8" t="str">
        <x:v>FY25 AR pp28-29</x:v>
      </x:c>
      <x:c r="J24" s="8" t="str">
        <x:v>Listed as growth / launch initiative; first sale not established.</x:v>
      </x:c>
      <x:c r="K24" s="8" t="str">
        <x:v>https://nsearchives.nseindia.com/annual_reports/AR_26946_MANKIND_2024_2025_A_15072025185802.pdf</x:v>
      </x:c>
    </x:row>
    <x:row r="25" ht="78" customHeight="1">
      <x:c r="A25" s="8" t="str">
        <x:v>Sun Pharma</x:v>
      </x:c>
      <x:c r="B25" s="8" t="str">
        <x:v>Anti-infectives</x:v>
      </x:c>
      <x:c r="C25" s="8" t="str">
        <x:v>Acute bacterial infections</x:v>
      </x:c>
      <x:c r="D25" s="8" t="str">
        <x:v>Starizo</x:v>
      </x:c>
      <x:c r="E25" s="8" t="str">
        <x:v>Tedizolid phosphate 200 mg</x:v>
      </x:c>
      <x:c r="F25" s="8" t="str">
        <x:v>Q2 FY25</x:v>
      </x:c>
      <x:c r="G25" s="8" t="str">
        <x:v>In-licensed new India brand</x:v>
      </x:c>
      <x:c r="H25" s="8" t="str">
        <x:v>Launch confirmed</x:v>
      </x:c>
      <x:c r="I25" s="8" t="str">
        <x:v>23 Aug 2024</x:v>
      </x:c>
      <x:c r="J25" s="8" t="str">
        <x:v>MSD-licensed; ABSSSI, including resistant gram-positive infections.</x:v>
      </x:c>
      <x:c r="K25" s="8" t="str">
        <x:v>https://sunpharma.com/wp-content/uploads/2024/08/Press-Release-Sun-Pharma-introduces-a-novel-treatment-STARIZO-Tedizolid-Phosphate-in-India.pdf</x:v>
      </x:c>
    </x:row>
    <x:row r="26" ht="78" customHeight="1">
      <x:c r="A26" s="8" t="str">
        <x:v>Sun Pharma</x:v>
      </x:c>
      <x:c r="B26" s="8" t="str">
        <x:v>Chronic / episodic</x:v>
      </x:c>
      <x:c r="C26" s="8" t="str">
        <x:v>Gastroenterology</x:v>
      </x:c>
      <x:c r="D26" s="8" t="str">
        <x:v>Fexuclue</x:v>
      </x:c>
      <x:c r="E26" s="8" t="str">
        <x:v>Fexuprazan 40 mg</x:v>
      </x:c>
      <x:c r="F26" s="8" t="str">
        <x:v>Q1 FY26</x:v>
      </x:c>
      <x:c r="G26" s="8" t="str">
        <x:v>In-licensed new India brand</x:v>
      </x:c>
      <x:c r="H26" s="8" t="str">
        <x:v>Launch confirmed</x:v>
      </x:c>
      <x:c r="I26" s="8" t="str">
        <x:v>7 Apr 2025</x:v>
      </x:c>
      <x:c r="J26" s="8" t="str">
        <x:v>Daewoong-licensed P-CAB for erosive esophagitis.</x:v>
      </x:c>
      <x:c r="K26" s="8" t="str">
        <x:v>https://sunpharma.com/wp-content/uploads/2025/04/Press-Release-Sun-Pharma-introduces-a-novel-class-of-drug-Fexuclue%C2%AE-in-India.pdf</x:v>
      </x:c>
    </x:row>
    <x:row r="27" ht="78" customHeight="1">
      <x:c r="A27" s="8" t="str">
        <x:v>Sun Pharma</x:v>
      </x:c>
      <x:c r="B27" s="8" t="str">
        <x:v>Chronic</x:v>
      </x:c>
      <x:c r="C27" s="8" t="str">
        <x:v>Dermatology / immunology</x:v>
      </x:c>
      <x:c r="D27" s="8" t="str">
        <x:v>Ilumya</x:v>
      </x:c>
      <x:c r="E27" s="8" t="str">
        <x:v>Tildrakizumab</x:v>
      </x:c>
      <x:c r="F27" s="8" t="str">
        <x:v>Q3 FY26</x:v>
      </x:c>
      <x:c r="G27" s="8" t="str">
        <x:v>New India launch of global brand</x:v>
      </x:c>
      <x:c r="H27" s="8" t="str">
        <x:v>Launch confirmed</x:v>
      </x:c>
      <x:c r="I27" s="8" t="str">
        <x:v>1 Dec 2025</x:v>
      </x:c>
      <x:c r="J27" s="8" t="str">
        <x:v>Biologic for moderate-to-severe plaque psoriasis.</x:v>
      </x:c>
      <x:c r="K27" s="8" t="str">
        <x:v>https://sunpharma.com/wp-content/uploads/2025/12/Press-Release-Sun-Pharma-introduces-it-global-innovative-drug-Ilumya-in-India.pdf</x:v>
      </x:c>
    </x:row>
    <x:row r="28" ht="78" customHeight="1">
      <x:c r="A28" s="8" t="str">
        <x:v>Sun Pharma</x:v>
      </x:c>
      <x:c r="B28" s="8" t="str">
        <x:v>Chronic</x:v>
      </x:c>
      <x:c r="C28" s="8" t="str">
        <x:v>Diabetes</x:v>
      </x:c>
      <x:c r="D28" s="8" t="str">
        <x:v>Sematrinity</x:v>
      </x:c>
      <x:c r="E28" s="8" t="str">
        <x:v>Semaglutide injection</x:v>
      </x:c>
      <x:c r="F28" s="8" t="str">
        <x:v>Q4 FY26</x:v>
      </x:c>
      <x:c r="G28" s="8" t="str">
        <x:v>New brand</x:v>
      </x:c>
      <x:c r="H28" s="8" t="str">
        <x:v>Launch confirmed</x:v>
      </x:c>
      <x:c r="I28" s="8" t="str">
        <x:v>21 Mar 2026</x:v>
      </x:c>
      <x:c r="J28" s="8" t="str">
        <x:v>Diabetes brand; same molecule as Noveltreat.</x:v>
      </x:c>
      <x:c r="K28" s="8" t="str">
        <x:v>https://sunpharma.com/wp-content/uploads/2026/03/PR-for-Semaglutide.pdf</x:v>
      </x:c>
    </x:row>
    <x:row r="29" ht="78" customHeight="1">
      <x:c r="A29" s="8" t="str">
        <x:v>Sun Pharma</x:v>
      </x:c>
      <x:c r="B29" s="8" t="str">
        <x:v>Chronic</x:v>
      </x:c>
      <x:c r="C29" s="8" t="str">
        <x:v>Obesity</x:v>
      </x:c>
      <x:c r="D29" s="8" t="str">
        <x:v>Noveltreat</x:v>
      </x:c>
      <x:c r="E29" s="8" t="str">
        <x:v>Semaglutide injection</x:v>
      </x:c>
      <x:c r="F29" s="8" t="str">
        <x:v>Q4 FY26</x:v>
      </x:c>
      <x:c r="G29" s="8" t="str">
        <x:v>New brand</x:v>
      </x:c>
      <x:c r="H29" s="8" t="str">
        <x:v>Launch confirmed</x:v>
      </x:c>
      <x:c r="I29" s="8" t="str">
        <x:v>21 Mar 2026</x:v>
      </x:c>
      <x:c r="J29" s="8" t="str">
        <x:v>Chronic weight management brand.</x:v>
      </x:c>
      <x:c r="K29" s="8" t="str">
        <x:v>https://sunpharma.com/wp-content/uploads/2026/03/PR-for-Semaglutide.pdf</x:v>
      </x:c>
    </x:row>
    <x:row r="30" ht="78" customHeight="1">
      <x:c r="A30" s="8" t="str">
        <x:v>Sun Pharma</x:v>
      </x:c>
      <x:c r="B30" s="8" t="str">
        <x:v>Chronic</x:v>
      </x:c>
      <x:c r="C30" s="8" t="str">
        <x:v>Nephrology / hyperkalaemia</x:v>
      </x:c>
      <x:c r="D30" s="8" t="str">
        <x:v>Gimliand</x:v>
      </x:c>
      <x:c r="E30" s="8" t="str">
        <x:v>Sodium zirconium cyclosilicate</x:v>
      </x:c>
      <x:c r="F30" s="8" t="str">
        <x:v>Q3 FY26 agreement</x:v>
      </x:c>
      <x:c r="G30" s="8" t="str">
        <x:v>Second-brand partnership</x:v>
      </x:c>
      <x:c r="H30" s="8" t="str">
        <x:v>Agreement confirmed; first sale undated</x:v>
      </x:c>
      <x:c r="I30" s="8" t="str">
        <x:v>17 Nov 2025 partner release</x:v>
      </x:c>
      <x:c r="J30" s="8" t="str">
        <x:v>Different Sun brand from AstraZeneca's Lokelma; verify first commercial sale.</x:v>
      </x:c>
      <x:c r="K30" s="8" t="str">
        <x:v>https://www.astrazeneca.in/media/press-releases/2025/astrazeneca-pharma-india-limited-and-sun-pharma-partner-to-help-patients-living-with-hyperkalaemia-in-india.html</x:v>
      </x:c>
    </x:row>
    <x:row r="31" ht="78" customHeight="1">
      <x:c r="A31" s="8" t="str">
        <x:v>Sun Pharma</x:v>
      </x:c>
      <x:c r="B31" s="8" t="str">
        <x:v>Chronic / episodic</x:v>
      </x:c>
      <x:c r="C31" s="8" t="str">
        <x:v>Gastroenterology</x:v>
      </x:c>
      <x:c r="D31" s="8" t="str">
        <x:v>Voltapraz</x:v>
      </x:c>
      <x:c r="E31" s="8" t="str">
        <x:v>Vonoprazan</x:v>
      </x:c>
      <x:c r="F31" s="8" t="str">
        <x:v>Jun 2024 agreement</x:v>
      </x:c>
      <x:c r="G31" s="8" t="str">
        <x:v>In-licensed proposed brand</x:v>
      </x:c>
      <x:c r="H31" s="8" t="str">
        <x:v>Agreement before window; launch undated</x:v>
      </x:c>
      <x:c r="I31" s="8" t="str">
        <x:v>21 Jun 2024 company release</x:v>
      </x:c>
      <x:c r="J31" s="8" t="str">
        <x:v>Do not force licensing date into a launch quarter.</x:v>
      </x:c>
      <x:c r="K31" s="8" t="str">
        <x:v>https://sunpharma.com/wp-content/uploads/2024/06/Press-Release-patent-licensing-agreement-with-Takeda-for-Voltapraz.pdf</x:v>
      </x:c>
    </x:row>
    <x:row r="32" ht="78" customHeight="1">
      <x:c r="A32" s="8" t="str">
        <x:v>Sun Pharma</x:v>
      </x:c>
      <x:c r="B32" s="8" t="str">
        <x:v>Other acute / wellness</x:v>
      </x:c>
      <x:c r="C32" s="8" t="str">
        <x:v>Pain / nutrition / hydration</x:v>
      </x:c>
      <x:c r="D32" s="8" t="str">
        <x:v>Revital Biotin</x:v>
      </x:c>
      <x:c r="E32" s="8" t="str">
        <x:v>Biotin supplement</x:v>
      </x:c>
      <x:c r="F32" s="8" t="str">
        <x:v>FY26; quarter undisclosed</x:v>
      </x:c>
      <x:c r="G32" s="8" t="str">
        <x:v>Brand / format extension</x:v>
      </x:c>
      <x:c r="H32" s="8" t="str">
        <x:v>Launch disclosed</x:v>
      </x:c>
      <x:c r="I32" s="8" t="str">
        <x:v>FY26 AR p41</x:v>
      </x:c>
      <x:c r="J32" s="8" t="str">
        <x:v>Consumer extensions; not new prescription molecules.</x:v>
      </x:c>
      <x:c r="K32" s="8" t="str">
        <x:v>https://sunpharma.com/wp-content/uploads/2026/07/Sun-Pharma_AR-2025-26.pdf</x:v>
      </x:c>
    </x:row>
    <x:row r="33" ht="78" customHeight="1">
      <x:c r="A33" s="8" t="str">
        <x:v>Sun Pharma</x:v>
      </x:c>
      <x:c r="B33" s="8" t="str">
        <x:v>Other acute / wellness</x:v>
      </x:c>
      <x:c r="C33" s="8" t="str">
        <x:v>Pain / nutrition / hydration</x:v>
      </x:c>
      <x:c r="D33" s="8" t="str">
        <x:v>Revital Omega</x:v>
      </x:c>
      <x:c r="E33" s="8" t="str">
        <x:v>Omega supplement</x:v>
      </x:c>
      <x:c r="F33" s="8" t="str">
        <x:v>FY26; quarter undisclosed</x:v>
      </x:c>
      <x:c r="G33" s="8" t="str">
        <x:v>Brand / format extension</x:v>
      </x:c>
      <x:c r="H33" s="8" t="str">
        <x:v>Launch disclosed</x:v>
      </x:c>
      <x:c r="I33" s="8" t="str">
        <x:v>FY26 AR p41</x:v>
      </x:c>
      <x:c r="J33" s="8" t="str">
        <x:v>Consumer extensions; not new prescription molecules.</x:v>
      </x:c>
      <x:c r="K33" s="8" t="str">
        <x:v>https://sunpharma.com/wp-content/uploads/2026/07/Sun-Pharma_AR-2025-26.pdf</x:v>
      </x:c>
    </x:row>
    <x:row r="34" ht="78" customHeight="1">
      <x:c r="A34" s="8" t="str">
        <x:v>Sun Pharma</x:v>
      </x:c>
      <x:c r="B34" s="8" t="str">
        <x:v>Other acute / wellness</x:v>
      </x:c>
      <x:c r="C34" s="8" t="str">
        <x:v>Pain / nutrition / hydration</x:v>
      </x:c>
      <x:c r="D34" s="8" t="str">
        <x:v>Volini Roll-on</x:v>
      </x:c>
      <x:c r="E34" s="8" t="str">
        <x:v>Topical analgesic roll-on</x:v>
      </x:c>
      <x:c r="F34" s="8" t="str">
        <x:v>FY26; quarter undisclosed</x:v>
      </x:c>
      <x:c r="G34" s="8" t="str">
        <x:v>Brand / format extension</x:v>
      </x:c>
      <x:c r="H34" s="8" t="str">
        <x:v>Launch disclosed</x:v>
      </x:c>
      <x:c r="I34" s="8" t="str">
        <x:v>FY26 AR p41</x:v>
      </x:c>
      <x:c r="J34" s="8" t="str">
        <x:v>Consumer extensions; not new prescription molecules.</x:v>
      </x:c>
      <x:c r="K34" s="8" t="str">
        <x:v>https://sunpharma.com/wp-content/uploads/2026/07/Sun-Pharma_AR-2025-26.pdf</x:v>
      </x:c>
    </x:row>
    <x:row r="35" ht="78" customHeight="1">
      <x:c r="A35" s="8" t="str">
        <x:v>Sun Pharma</x:v>
      </x:c>
      <x:c r="B35" s="8" t="str">
        <x:v>Other acute / wellness</x:v>
      </x:c>
      <x:c r="C35" s="8" t="str">
        <x:v>Pain / nutrition / hydration</x:v>
      </x:c>
      <x:c r="D35" s="8" t="str">
        <x:v>Revital Recharge</x:v>
      </x:c>
      <x:c r="E35" s="8" t="str">
        <x:v>Hydration product</x:v>
      </x:c>
      <x:c r="F35" s="8" t="str">
        <x:v>FY26; quarter undisclosed</x:v>
      </x:c>
      <x:c r="G35" s="8" t="str">
        <x:v>Brand / format extension</x:v>
      </x:c>
      <x:c r="H35" s="8" t="str">
        <x:v>Launch disclosed</x:v>
      </x:c>
      <x:c r="I35" s="8" t="str">
        <x:v>FY26 AR p41</x:v>
      </x:c>
      <x:c r="J35" s="8" t="str">
        <x:v>Consumer extensions; not new prescription molecules.</x:v>
      </x:c>
      <x:c r="K35" s="8" t="str">
        <x:v>https://sunpharma.com/wp-content/uploads/2026/07/Sun-Pharma_AR-2025-26.pdf</x:v>
      </x:c>
    </x:row>
    <x:row r="36" ht="78" customHeight="1">
      <x:c r="A36" s="8" t="str">
        <x:v>Sun Pharma</x:v>
      </x:c>
      <x:c r="B36" s="8" t="str">
        <x:v>Seasonal acute</x:v>
      </x:c>
      <x:c r="C36" s="8" t="str">
        <x:v>Cough</x:v>
      </x:c>
      <x:c r="D36" s="8" t="str">
        <x:v>Chericof 12</x:v>
      </x:c>
      <x:c r="E36" s="8" t="str">
        <x:v>Dextromethorphan + chlorpheniramine extended release</x:v>
      </x:c>
      <x:c r="F36" s="8" t="str">
        <x:v>Sep 2021</x:v>
      </x:c>
      <x:c r="G36" s="8" t="str">
        <x:v>Existing brand / formulation</x:v>
      </x:c>
      <x:c r="H36" s="8" t="str">
        <x:v>Before window</x:v>
      </x:c>
      <x:c r="I36" s="8" t="str">
        <x:v>28 Sep 2021 company release</x:v>
      </x:c>
      <x:c r="J36" s="8" t="str">
        <x:v>Exclude from recent-launch count.</x:v>
      </x:c>
      <x:c r="K36" s="8" t="str">
        <x:v>https://sunpharma.com/media/</x:v>
      </x:c>
    </x:row>
    <x:row r="37" ht="78" customHeight="1">
      <x:c r="A37" s="8" t="str">
        <x:v>Sun Pharma</x:v>
      </x:c>
      <x:c r="B37" s="8" t="str">
        <x:v>Chronic</x:v>
      </x:c>
      <x:c r="C37" s="8" t="str">
        <x:v>Ophthalmology</x:v>
      </x:c>
      <x:c r="D37" s="8" t="str">
        <x:v>Cequa</x:v>
      </x:c>
      <x:c r="E37" s="8" t="str">
        <x:v>Cyclosporine ophthalmic solution</x:v>
      </x:c>
      <x:c r="F37" s="8" t="str">
        <x:v>Apr 2023</x:v>
      </x:c>
      <x:c r="G37" s="8" t="str">
        <x:v>Existing India brand</x:v>
      </x:c>
      <x:c r="H37" s="8" t="str">
        <x:v>Before window</x:v>
      </x:c>
      <x:c r="I37" s="8" t="str">
        <x:v>25 Apr 2023 company release</x:v>
      </x:c>
      <x:c r="J37" s="8" t="str">
        <x:v>A later annual report mention is not launch evidence.</x:v>
      </x:c>
      <x:c r="K37" s="8" t="str">
        <x:v>https://sunpharma.com/media/</x:v>
      </x:c>
    </x:row>
    <x:row r="38" ht="78" customHeight="1">
      <x:c r="A38" s="8" t="str">
        <x:v>Sun Pharma</x:v>
      </x:c>
      <x:c r="B38" s="8" t="str">
        <x:v>Chronic</x:v>
      </x:c>
      <x:c r="C38" s="8" t="str">
        <x:v>Dermatology / oncology</x:v>
      </x:c>
      <x:c r="D38" s="8" t="str">
        <x:v>Leqselvi / Unloxcyt</x:v>
      </x:c>
      <x:c r="E38" s="8" t="str">
        <x:v>Deuruxolitinib / cosibelimab</x:v>
      </x:c>
      <x:c r="F38" s="8" t="str">
        <x:v>FY26 US launches</x:v>
      </x:c>
      <x:c r="G38" s="8" t="str">
        <x:v>Overseas launches</x:v>
      </x:c>
      <x:c r="H38" s="8" t="str">
        <x:v>Outside geography</x:v>
      </x:c>
      <x:c r="I38" s="8" t="str">
        <x:v>FY26 AR</x:v>
      </x:c>
      <x:c r="J38" s="8" t="str">
        <x:v>Exclude US launch events from India register.</x:v>
      </x:c>
      <x:c r="K38" s="8" t="str">
        <x:v>https://sunpharma.com/wp-content/uploads/2026/07/Sun-Pharma_AR-2025-26.pdf</x:v>
      </x:c>
    </x:row>
    <x:row r="39" ht="78" customHeight="1">
      <x:c r="A39" s="8" t="str">
        <x:v>Cipla</x:v>
      </x:c>
      <x:c r="B39" s="8" t="str">
        <x:v>Anti-infectives</x:v>
      </x:c>
      <x:c r="C39" s="8" t="str">
        <x:v>Hospital antibiotics</x:v>
      </x:c>
      <x:c r="D39" s="8" t="str">
        <x:v>Cipenmet</x:v>
      </x:c>
      <x:c r="E39" s="8" t="str">
        <x:v>Cefepime + enmetazobactam</x:v>
      </x:c>
      <x:c r="F39" s="8" t="str">
        <x:v>Q2 FY25</x:v>
      </x:c>
      <x:c r="G39" s="8" t="str">
        <x:v>New brand / partnership</x:v>
      </x:c>
      <x:c r="H39" s="8" t="str">
        <x:v>Launch confirmed</x:v>
      </x:c>
      <x:c r="I39" s="8" t="str">
        <x:v>Q2 FY25 investor presentation</x:v>
      </x:c>
      <x:c r="J39" s="8" t="str">
        <x:v>Presentation spelling Cipemnet; subsequent company disclosures use Cipenmet.</x:v>
      </x:c>
      <x:c r="K39" s="8" t="str">
        <x:v>https://www.cipla.com/sites/default/files/CiplaQ2FY25InvestorPresentationSigned.pdf</x:v>
      </x:c>
    </x:row>
    <x:row r="40" ht="78" customHeight="1">
      <x:c r="A40" s="8" t="str">
        <x:v>Cipla</x:v>
      </x:c>
      <x:c r="B40" s="8" t="str">
        <x:v>Chronic / episodic</x:v>
      </x:c>
      <x:c r="C40" s="8" t="str">
        <x:v>Gastroenterology</x:v>
      </x:c>
      <x:c r="D40" s="8" t="str">
        <x:v>Vonoprazan brand not named</x:v>
      </x:c>
      <x:c r="E40" s="8" t="str">
        <x:v>Vonoprazan</x:v>
      </x:c>
      <x:c r="F40" s="8" t="str">
        <x:v>Q2 FY25</x:v>
      </x:c>
      <x:c r="G40" s="8" t="str">
        <x:v>New molecule entry</x:v>
      </x:c>
      <x:c r="H40" s="8" t="str">
        <x:v>Launch confirmed</x:v>
      </x:c>
      <x:c r="I40" s="8" t="str">
        <x:v>Q2 FY25 investor presentation</x:v>
      </x:c>
      <x:c r="J40" s="8" t="str">
        <x:v>Brand identity not established from this disclosure.</x:v>
      </x:c>
      <x:c r="K40" s="8" t="str">
        <x:v>https://www.cipla.com/sites/default/files/CiplaQ2FY25InvestorPresentationSigned.pdf</x:v>
      </x:c>
    </x:row>
    <x:row r="41" ht="78" customHeight="1">
      <x:c r="A41" s="8" t="str">
        <x:v>Cipla Health</x:v>
      </x:c>
      <x:c r="B41" s="8" t="str">
        <x:v>Seasonal acute</x:v>
      </x:c>
      <x:c r="C41" s="8" t="str">
        <x:v>Sore throat</x:v>
      </x:c>
      <x:c r="D41" s="8" t="str">
        <x:v>Cofsils Mulethi lozenges</x:v>
      </x:c>
      <x:c r="E41" s="8" t="str">
        <x:v>Lozenge flavour extension</x:v>
      </x:c>
      <x:c r="F41" s="8" t="str">
        <x:v>Q2 FY25</x:v>
      </x:c>
      <x:c r="G41" s="8" t="str">
        <x:v>Brand / flavour extension</x:v>
      </x:c>
      <x:c r="H41" s="8" t="str">
        <x:v>Launch reported</x:v>
      </x:c>
      <x:c r="I41" s="8" t="str">
        <x:v>13 Sep 2024 company announcement reproduced in media</x:v>
      </x:c>
      <x:c r="J41" s="8" t="str">
        <x:v>Existing Cofsils parent brand.</x:v>
      </x:c>
      <x:c r="K41" s="8" t="str">
        <x:v>https://www.passionateinmarketing.com/cofsils-introduces-a-sweet-relief-from-sore-throat-with-the-launch-of-its-new-cofsils-mulethi-flavour-lozenges/</x:v>
      </x:c>
    </x:row>
    <x:row r="42" ht="78" customHeight="1">
      <x:c r="A42" s="8" t="str">
        <x:v>Cipla</x:v>
      </x:c>
      <x:c r="B42" s="8" t="str">
        <x:v>Seasonal acute / respiratory</x:v>
      </x:c>
      <x:c r="C42" s="8" t="str">
        <x:v>Mucolytics</x:v>
      </x:c>
      <x:c r="D42" s="8" t="str">
        <x:v>Erdostyne oral suspension</x:v>
      </x:c>
      <x:c r="E42" s="8" t="str">
        <x:v>Erdosteine</x:v>
      </x:c>
      <x:c r="F42" s="8" t="str">
        <x:v>FY25; quarter undisclosed</x:v>
      </x:c>
      <x:c r="G42" s="8" t="str">
        <x:v>New presentation</x:v>
      </x:c>
      <x:c r="H42" s="8" t="str">
        <x:v>Launch disclosed; quarter unverified</x:v>
      </x:c>
      <x:c r="I42" s="8" t="str">
        <x:v>FY25 AR p73</x:v>
      </x:c>
      <x:c r="J42" s="8" t="str">
        <x:v>Separate mucolytic from antibiotics and chronic maintenance inhalers.</x:v>
      </x:c>
      <x:c r="K42" s="8" t="str">
        <x:v>https://www.cipla.com/sites/default/files/Cipla-AR-2024-25.pdf</x:v>
      </x:c>
    </x:row>
    <x:row r="43" ht="78" customHeight="1">
      <x:c r="A43" s="8" t="str">
        <x:v>Cipla</x:v>
      </x:c>
      <x:c r="B43" s="8" t="str">
        <x:v>Seasonal acute / respiratory</x:v>
      </x:c>
      <x:c r="C43" s="8" t="str">
        <x:v>Mucolytics</x:v>
      </x:c>
      <x:c r="D43" s="8" t="str">
        <x:v>Mucinac oral solution</x:v>
      </x:c>
      <x:c r="E43" s="8" t="str">
        <x:v>N-acetyl L-cysteine</x:v>
      </x:c>
      <x:c r="F43" s="8" t="str">
        <x:v>FY25; quarter undisclosed</x:v>
      </x:c>
      <x:c r="G43" s="8" t="str">
        <x:v>Brand / format extension</x:v>
      </x:c>
      <x:c r="H43" s="8" t="str">
        <x:v>Launch disclosed; quarter unverified</x:v>
      </x:c>
      <x:c r="I43" s="8" t="str">
        <x:v>FY25 AR p73</x:v>
      </x:c>
      <x:c r="J43" s="8" t="str">
        <x:v>FSSAI-route launch; do not classify as a new antibiotic.</x:v>
      </x:c>
      <x:c r="K43" s="8" t="str">
        <x:v>https://www.cipla.com/sites/default/files/Cipla-AR-2024-25.pdf</x:v>
      </x:c>
    </x:row>
    <x:row r="44" ht="78" customHeight="1">
      <x:c r="A44" s="8" t="str">
        <x:v>Cipla</x:v>
      </x:c>
      <x:c r="B44" s="8" t="str">
        <x:v>Chronic</x:v>
      </x:c>
      <x:c r="C44" s="8" t="str">
        <x:v>Cardiology</x:v>
      </x:c>
      <x:c r="D44" s="8" t="str">
        <x:v>Dytor MD</x:v>
      </x:c>
      <x:c r="E44" s="8" t="str">
        <x:v>Torsemide mouth-dissolving tablets</x:v>
      </x:c>
      <x:c r="F44" s="8" t="str">
        <x:v>FY25; quarter undisclosed</x:v>
      </x:c>
      <x:c r="G44" s="8" t="str">
        <x:v>Brand / formulation extension</x:v>
      </x:c>
      <x:c r="H44" s="8" t="str">
        <x:v>Launch disclosed; quarter unverified</x:v>
      </x:c>
      <x:c r="I44" s="8" t="str">
        <x:v>FY25 AR p73</x:v>
      </x:c>
      <x:c r="J44" s="8" t="str">
        <x:v>New formulation under existing Dytor brand.</x:v>
      </x:c>
      <x:c r="K44" s="8" t="str">
        <x:v>https://www.cipla.com/sites/default/files/Cipla-AR-2024-25.pdf</x:v>
      </x:c>
    </x:row>
    <x:row r="45" ht="78" customHeight="1">
      <x:c r="A45" s="8" t="str">
        <x:v>Cipla</x:v>
      </x:c>
      <x:c r="B45" s="8" t="str">
        <x:v>Chronic</x:v>
      </x:c>
      <x:c r="C45" s="8" t="str">
        <x:v>Diabetes</x:v>
      </x:c>
      <x:c r="D45" s="8" t="str">
        <x:v>Brand not identified in AR launch table</x:v>
      </x:c>
      <x:c r="E45" s="8" t="str">
        <x:v>Empagliflozin; empagliflozin + linagliptin</x:v>
      </x:c>
      <x:c r="F45" s="8" t="str">
        <x:v>Q4 FY25</x:v>
      </x:c>
      <x:c r="G45" s="8" t="str">
        <x:v>New molecule / FDC entry</x:v>
      </x:c>
      <x:c r="H45" s="8" t="str">
        <x:v>Launch disclosed</x:v>
      </x:c>
      <x:c r="I45" s="8" t="str">
        <x:v>FY25 AR p73: day-one loss-of-exclusivity launch</x:v>
      </x:c>
      <x:c r="J45" s="8" t="str">
        <x:v>Do not infer parent-brand names from pharmacy listings.</x:v>
      </x:c>
      <x:c r="K45" s="8" t="str">
        <x:v>https://www.cipla.com/sites/default/files/Cipla-AR-2024-25.pdf</x:v>
      </x:c>
    </x:row>
    <x:row r="46" ht="78" customHeight="1">
      <x:c r="A46" s="8" t="str">
        <x:v>Cipla</x:v>
      </x:c>
      <x:c r="B46" s="8" t="str">
        <x:v>Chronic</x:v>
      </x:c>
      <x:c r="C46" s="8" t="str">
        <x:v>Oncology</x:v>
      </x:c>
      <x:c r="D46" s="8" t="str">
        <x:v>Brand not identified in AR launch table</x:v>
      </x:c>
      <x:c r="E46" s="8" t="str">
        <x:v>Olaparib 100 / 150 mg</x:v>
      </x:c>
      <x:c r="F46" s="8" t="str">
        <x:v>FY25; quarter undisclosed</x:v>
      </x:c>
      <x:c r="G46" s="8" t="str">
        <x:v>Generic product launch</x:v>
      </x:c>
      <x:c r="H46" s="8" t="str">
        <x:v>Launch disclosed; quarter unverified</x:v>
      </x:c>
      <x:c r="I46" s="8" t="str">
        <x:v>FY25 AR p73</x:v>
      </x:c>
      <x:c r="J46" s="8" t="str">
        <x:v>PARP inhibitor; India geography explicitly labelled.</x:v>
      </x:c>
      <x:c r="K46" s="8" t="str">
        <x:v>https://www.cipla.com/sites/default/files/Cipla-AR-2024-25.pdf</x:v>
      </x:c>
    </x:row>
    <x:row r="47" ht="78" customHeight="1">
      <x:c r="A47" s="8" t="str">
        <x:v>Cipla</x:v>
      </x:c>
      <x:c r="B47" s="8" t="str">
        <x:v>Chronic</x:v>
      </x:c>
      <x:c r="C47" s="8" t="str">
        <x:v>Respiratory</x:v>
      </x:c>
      <x:c r="D47" s="8" t="str">
        <x:v>Glycopyrronium respules</x:v>
      </x:c>
      <x:c r="E47" s="8" t="str">
        <x:v>Glycopyrronium 2 ml respules</x:v>
      </x:c>
      <x:c r="F47" s="8" t="str">
        <x:v>FY25; quarter undisclosed</x:v>
      </x:c>
      <x:c r="G47" s="8" t="str">
        <x:v>New formulation</x:v>
      </x:c>
      <x:c r="H47" s="8" t="str">
        <x:v>Launch disclosed; quarter unverified</x:v>
      </x:c>
      <x:c r="I47" s="8" t="str">
        <x:v>FY25 AR p73</x:v>
      </x:c>
      <x:c r="J47" s="8" t="str">
        <x:v>COPD maintenance.</x:v>
      </x:c>
      <x:c r="K47" s="8" t="str">
        <x:v>https://www.cipla.com/sites/default/files/Cipla-AR-2024-25.pdf</x:v>
      </x:c>
    </x:row>
    <x:row r="48" ht="78" customHeight="1">
      <x:c r="A48" s="8" t="str">
        <x:v>Cipla</x:v>
      </x:c>
      <x:c r="B48" s="8" t="str">
        <x:v>Chronic</x:v>
      </x:c>
      <x:c r="C48" s="8" t="str">
        <x:v>Respiratory</x:v>
      </x:c>
      <x:c r="D48" s="8" t="str">
        <x:v>Foracort G Synchrobreathe</x:v>
      </x:c>
      <x:c r="E48" s="8" t="str">
        <x:v>Inhaled maintenance therapy; formulation-specific</x:v>
      </x:c>
      <x:c r="F48" s="8" t="str">
        <x:v>FY25; quarter undisclosed</x:v>
      </x:c>
      <x:c r="G48" s="8" t="str">
        <x:v>Brand / device / formulation extension</x:v>
      </x:c>
      <x:c r="H48" s="8" t="str">
        <x:v>Launch disclosed; quarter unverified</x:v>
      </x:c>
      <x:c r="I48" s="8" t="str">
        <x:v>Six named launches, FY25 AR p73</x:v>
      </x:c>
      <x:c r="J48" s="8" t="str">
        <x:v>FY25 includes Q1 FY25 outside window; exact inclusion cannot be established.</x:v>
      </x:c>
      <x:c r="K48" s="8" t="str">
        <x:v>https://www.cipla.com/sites/default/files/Cipla-AR-2024-25.pdf</x:v>
      </x:c>
    </x:row>
    <x:row r="49" ht="78" customHeight="1">
      <x:c r="A49" s="8" t="str">
        <x:v>Cipla</x:v>
      </x:c>
      <x:c r="B49" s="8" t="str">
        <x:v>Chronic</x:v>
      </x:c>
      <x:c r="C49" s="8" t="str">
        <x:v>Respiratory</x:v>
      </x:c>
      <x:c r="D49" s="8" t="str">
        <x:v>Glycohale FB Synchrobreathe</x:v>
      </x:c>
      <x:c r="E49" s="8" t="str">
        <x:v>Inhaled maintenance therapy; formulation-specific</x:v>
      </x:c>
      <x:c r="F49" s="8" t="str">
        <x:v>FY25; quarter undisclosed</x:v>
      </x:c>
      <x:c r="G49" s="8" t="str">
        <x:v>Brand / device / formulation extension</x:v>
      </x:c>
      <x:c r="H49" s="8" t="str">
        <x:v>Launch disclosed; quarter unverified</x:v>
      </x:c>
      <x:c r="I49" s="8" t="str">
        <x:v>Six named launches, FY25 AR p73</x:v>
      </x:c>
      <x:c r="J49" s="8" t="str">
        <x:v>FY25 includes Q1 FY25 outside window; exact inclusion cannot be established.</x:v>
      </x:c>
      <x:c r="K49" s="8" t="str">
        <x:v>https://www.cipla.com/sites/default/files/Cipla-AR-2024-25.pdf</x:v>
      </x:c>
    </x:row>
    <x:row r="50" ht="78" customHeight="1">
      <x:c r="A50" s="8" t="str">
        <x:v>Cipla</x:v>
      </x:c>
      <x:c r="B50" s="8" t="str">
        <x:v>Chronic</x:v>
      </x:c>
      <x:c r="C50" s="8" t="str">
        <x:v>Respiratory</x:v>
      </x:c>
      <x:c r="D50" s="8" t="str">
        <x:v>Foracort 200 Ciphaler</x:v>
      </x:c>
      <x:c r="E50" s="8" t="str">
        <x:v>Inhaled maintenance therapy; formulation-specific</x:v>
      </x:c>
      <x:c r="F50" s="8" t="str">
        <x:v>FY25; quarter undisclosed</x:v>
      </x:c>
      <x:c r="G50" s="8" t="str">
        <x:v>Brand / device / formulation extension</x:v>
      </x:c>
      <x:c r="H50" s="8" t="str">
        <x:v>Launch disclosed; quarter unverified</x:v>
      </x:c>
      <x:c r="I50" s="8" t="str">
        <x:v>Six named launches, FY25 AR p73</x:v>
      </x:c>
      <x:c r="J50" s="8" t="str">
        <x:v>FY25 includes Q1 FY25 outside window; exact inclusion cannot be established.</x:v>
      </x:c>
      <x:c r="K50" s="8" t="str">
        <x:v>https://www.cipla.com/sites/default/files/Cipla-AR-2024-25.pdf</x:v>
      </x:c>
    </x:row>
    <x:row r="51" ht="78" customHeight="1">
      <x:c r="A51" s="8" t="str">
        <x:v>Cipla</x:v>
      </x:c>
      <x:c r="B51" s="8" t="str">
        <x:v>Chronic</x:v>
      </x:c>
      <x:c r="C51" s="8" t="str">
        <x:v>Respiratory</x:v>
      </x:c>
      <x:c r="D51" s="8" t="str">
        <x:v>Foracort 400 Ciphaler</x:v>
      </x:c>
      <x:c r="E51" s="8" t="str">
        <x:v>Inhaled maintenance therapy; formulation-specific</x:v>
      </x:c>
      <x:c r="F51" s="8" t="str">
        <x:v>FY25; quarter undisclosed</x:v>
      </x:c>
      <x:c r="G51" s="8" t="str">
        <x:v>Brand / device / formulation extension</x:v>
      </x:c>
      <x:c r="H51" s="8" t="str">
        <x:v>Launch disclosed; quarter unverified</x:v>
      </x:c>
      <x:c r="I51" s="8" t="str">
        <x:v>Six named launches, FY25 AR p73</x:v>
      </x:c>
      <x:c r="J51" s="8" t="str">
        <x:v>FY25 includes Q1 FY25 outside window; exact inclusion cannot be established.</x:v>
      </x:c>
      <x:c r="K51" s="8" t="str">
        <x:v>https://www.cipla.com/sites/default/files/Cipla-AR-2024-25.pdf</x:v>
      </x:c>
    </x:row>
    <x:row r="52" ht="78" customHeight="1">
      <x:c r="A52" s="8" t="str">
        <x:v>Cipla</x:v>
      </x:c>
      <x:c r="B52" s="8" t="str">
        <x:v>Chronic</x:v>
      </x:c>
      <x:c r="C52" s="8" t="str">
        <x:v>Respiratory</x:v>
      </x:c>
      <x:c r="D52" s="8" t="str">
        <x:v>Indaflo G 160 Rotacaps</x:v>
      </x:c>
      <x:c r="E52" s="8" t="str">
        <x:v>Inhaled maintenance therapy; formulation-specific</x:v>
      </x:c>
      <x:c r="F52" s="8" t="str">
        <x:v>FY25; quarter undisclosed</x:v>
      </x:c>
      <x:c r="G52" s="8" t="str">
        <x:v>Brand / device / formulation extension</x:v>
      </x:c>
      <x:c r="H52" s="8" t="str">
        <x:v>Launch disclosed; quarter unverified</x:v>
      </x:c>
      <x:c r="I52" s="8" t="str">
        <x:v>Six named launches, FY25 AR p73</x:v>
      </x:c>
      <x:c r="J52" s="8" t="str">
        <x:v>FY25 includes Q1 FY25 outside window; exact inclusion cannot be established.</x:v>
      </x:c>
      <x:c r="K52" s="8" t="str">
        <x:v>https://www.cipla.com/sites/default/files/Cipla-AR-2024-25.pdf</x:v>
      </x:c>
    </x:row>
    <x:row r="53" ht="78" customHeight="1">
      <x:c r="A53" s="8" t="str">
        <x:v>Cipla</x:v>
      </x:c>
      <x:c r="B53" s="8" t="str">
        <x:v>Chronic</x:v>
      </x:c>
      <x:c r="C53" s="8" t="str">
        <x:v>Respiratory</x:v>
      </x:c>
      <x:c r="D53" s="8" t="str">
        <x:v>Budecort Synchrobreathe 200</x:v>
      </x:c>
      <x:c r="E53" s="8" t="str">
        <x:v>Inhaled maintenance therapy; formulation-specific</x:v>
      </x:c>
      <x:c r="F53" s="8" t="str">
        <x:v>FY25; quarter undisclosed</x:v>
      </x:c>
      <x:c r="G53" s="8" t="str">
        <x:v>Brand / device / formulation extension</x:v>
      </x:c>
      <x:c r="H53" s="8" t="str">
        <x:v>Launch disclosed; quarter unverified</x:v>
      </x:c>
      <x:c r="I53" s="8" t="str">
        <x:v>Six named launches, FY25 AR p73</x:v>
      </x:c>
      <x:c r="J53" s="8" t="str">
        <x:v>FY25 includes Q1 FY25 outside window; exact inclusion cannot be established.</x:v>
      </x:c>
      <x:c r="K53" s="8" t="str">
        <x:v>https://www.cipla.com/sites/default/files/Cipla-AR-2024-25.pdf</x:v>
      </x:c>
    </x:row>
    <x:row r="54" ht="78" customHeight="1">
      <x:c r="A54" s="8" t="str">
        <x:v>Cipla</x:v>
      </x:c>
      <x:c r="B54" s="8" t="str">
        <x:v>Anti-infectives</x:v>
      </x:c>
      <x:c r="C54" s="8" t="str">
        <x:v>Hospital antibiotics</x:v>
      </x:c>
      <x:c r="D54" s="8" t="str">
        <x:v>Zemdri</x:v>
      </x:c>
      <x:c r="E54" s="8" t="str">
        <x:v>Plazomicin</x:v>
      </x:c>
      <x:c r="F54" s="8" t="str">
        <x:v>Q1 FY26</x:v>
      </x:c>
      <x:c r="G54" s="8" t="str">
        <x:v>New India brand launch</x:v>
      </x:c>
      <x:c r="H54" s="8" t="str">
        <x:v>Launch confirmed</x:v>
      </x:c>
      <x:c r="I54" s="8" t="str">
        <x:v>20 May 2025</x:v>
      </x:c>
      <x:c r="J54" s="8" t="str">
        <x:v>cUTI / pyelonephritis; approval in 2024 preceded commercial launch.</x:v>
      </x:c>
      <x:c r="K54" s="8" t="str">
        <x:v>https://www.cipla.com/sites/default/files/Cipla-becomes-first-to-launch-ZEMDRI-%28Plazomicin%29-in-India-leading-the-charge-against-AMR_2.pdf</x:v>
      </x:c>
    </x:row>
    <x:row r="55" ht="78" customHeight="1">
      <x:c r="A55" s="8" t="str">
        <x:v>Cipla</x:v>
      </x:c>
      <x:c r="B55" s="8" t="str">
        <x:v>Chronic</x:v>
      </x:c>
      <x:c r="C55" s="8" t="str">
        <x:v>Respiratory</x:v>
      </x:c>
      <x:c r="D55" s="8" t="str">
        <x:v>Voltido Trio Ciphaler</x:v>
      </x:c>
      <x:c r="E55" s="8" t="str">
        <x:v>Fluticasone furoate + umeclidinium + vilanterol</x:v>
      </x:c>
      <x:c r="F55" s="8" t="str">
        <x:v>Q1 FY26</x:v>
      </x:c>
      <x:c r="G55" s="8" t="str">
        <x:v>New combination / device offering</x:v>
      </x:c>
      <x:c r="H55" s="8" t="str">
        <x:v>Launch confirmed</x:v>
      </x:c>
      <x:c r="I55" s="8" t="str">
        <x:v>FY26 AR: introduced in Q1</x:v>
      </x:c>
      <x:c r="J55" s="8" t="str">
        <x:v>Maintenance triple therapy for asthma / COPD; direct SITT competitor.</x:v>
      </x:c>
      <x:c r="K55" s="8" t="str">
        <x:v>https://www.cipla.com/sites/default/files/Cipla-Annual-Report-FY2025-26.pdf</x:v>
      </x:c>
    </x:row>
    <x:row r="56" ht="78" customHeight="1">
      <x:c r="A56" s="8" t="str">
        <x:v>Cipla Health</x:v>
      </x:c>
      <x:c r="B56" s="8" t="str">
        <x:v>Other acute</x:v>
      </x:c>
      <x:c r="C56" s="8" t="str">
        <x:v>Hydration</x:v>
      </x:c>
      <x:c r="D56" s="8" t="str">
        <x:v>Prolyte ElectroShot</x:v>
      </x:c>
      <x:c r="E56" s="8" t="str">
        <x:v>Ready-to-drink electrolyte beverage</x:v>
      </x:c>
      <x:c r="F56" s="8" t="str">
        <x:v>Q1 FY26</x:v>
      </x:c>
      <x:c r="G56" s="8" t="str">
        <x:v>Brand / format extension</x:v>
      </x:c>
      <x:c r="H56" s="8" t="str">
        <x:v>Launch confirmed</x:v>
      </x:c>
      <x:c r="I56" s="8" t="str">
        <x:v>24 Jun 2025</x:v>
      </x:c>
      <x:c r="J56" s="8" t="str">
        <x:v>Seasonal hydration / wellness; not prescription ORS equivalence.</x:v>
      </x:c>
      <x:c r="K56" s="8" t="str">
        <x:v>https://www.prnewswire.com/in/news-releases/cipla-health-expands-wellness-portfolio-with-prolyte-electroshot-for-everyday-hydration-302489383.html</x:v>
      </x:c>
    </x:row>
    <x:row r="57" ht="78" customHeight="1">
      <x:c r="A57" s="8" t="str">
        <x:v>Cipla</x:v>
      </x:c>
      <x:c r="B57" s="8" t="str">
        <x:v>Urinary care</x:v>
      </x:c>
      <x:c r="C57" s="8" t="str">
        <x:v>Recurrent UTI prevention</x:v>
      </x:c>
      <x:c r="D57" s="8" t="str">
        <x:v>Huena</x:v>
      </x:c>
      <x:c r="E57" s="8" t="str">
        <x:v>Methenamine hippurate</x:v>
      </x:c>
      <x:c r="F57" s="8" t="str">
        <x:v>Q2 FY26</x:v>
      </x:c>
      <x:c r="G57" s="8" t="str">
        <x:v>New India brand / treatment entry</x:v>
      </x:c>
      <x:c r="H57" s="8" t="str">
        <x:v>Launch confirmed</x:v>
      </x:c>
      <x:c r="I57" s="8" t="str">
        <x:v>5 Sep 2025</x:v>
      </x:c>
      <x:c r="J57" s="8" t="str">
        <x:v>Non-antibiotic urinary antiseptic; separate from acute antibiotic treatment.</x:v>
      </x:c>
      <x:c r="K57" s="8" t="str">
        <x:v>https://firstwordpharma.com/story/5995151</x:v>
      </x:c>
    </x:row>
    <x:row r="58" ht="78" customHeight="1">
      <x:c r="A58" s="8" t="str">
        <x:v>Cipla</x:v>
      </x:c>
      <x:c r="B58" s="8" t="str">
        <x:v>Chronic</x:v>
      </x:c>
      <x:c r="C58" s="8" t="str">
        <x:v>Urology</x:v>
      </x:c>
      <x:c r="D58" s="8" t="str">
        <x:v>Xtiktr</x:v>
      </x:c>
      <x:c r="E58" s="8" t="str">
        <x:v>Regenerative urethral-stricture intervention</x:v>
      </x:c>
      <x:c r="F58" s="8" t="str">
        <x:v>By Q2 FY26</x:v>
      </x:c>
      <x:c r="G58" s="8" t="str">
        <x:v>New therapy offering</x:v>
      </x:c>
      <x:c r="H58" s="8" t="str">
        <x:v>Launch confirmed by disclosure</x:v>
      </x:c>
      <x:c r="I58" s="8" t="str">
        <x:v>Q2 FY26 earnings call, 30 Oct 2025</x:v>
      </x:c>
      <x:c r="J58" s="8" t="str">
        <x:v>Exact first-sale quarter not independently established.</x:v>
      </x:c>
      <x:c r="K58" s="8" t="str">
        <x:v>https://www.cipla.com/sites/default/files/Cipla-Earnings-Oct30-2025.pdf</x:v>
      </x:c>
    </x:row>
    <x:row r="59" ht="78" customHeight="1">
      <x:c r="A59" s="8" t="str">
        <x:v>Cipla</x:v>
      </x:c>
      <x:c r="B59" s="8" t="str">
        <x:v>Chronic</x:v>
      </x:c>
      <x:c r="C59" s="8" t="str">
        <x:v>Diabetes / obesity</x:v>
      </x:c>
      <x:c r="D59" s="8" t="str">
        <x:v>Yurpeak</x:v>
      </x:c>
      <x:c r="E59" s="8" t="str">
        <x:v>Tirzepatide</x:v>
      </x:c>
      <x:c r="F59" s="8" t="str">
        <x:v>Q3 FY26</x:v>
      </x:c>
      <x:c r="G59" s="8" t="str">
        <x:v>In-licensed new India brand</x:v>
      </x:c>
      <x:c r="H59" s="8" t="str">
        <x:v>Launch confirmed</x:v>
      </x:c>
      <x:c r="I59" s="8" t="str">
        <x:v>10 Dec 2025</x:v>
      </x:c>
      <x:c r="J59" s="8" t="str">
        <x:v>Lilly alliance; avoid counting October deal as launch.</x:v>
      </x:c>
      <x:c r="K59" s="8" t="str">
        <x:v>https://www.cipla.com/press-releases-statements/cipla-launches-yurpeakr-tirzepatide-treatment-obesity-and-type-2-diabetes</x:v>
      </x:c>
    </x:row>
    <x:row r="60" ht="78" customHeight="1">
      <x:c r="A60" s="8" t="str">
        <x:v>Cipla</x:v>
      </x:c>
      <x:c r="B60" s="8" t="str">
        <x:v>Chronic</x:v>
      </x:c>
      <x:c r="C60" s="8" t="str">
        <x:v>Diabetes</x:v>
      </x:c>
      <x:c r="D60" s="8" t="str">
        <x:v>Afrezza</x:v>
      </x:c>
      <x:c r="E60" s="8" t="str">
        <x:v>Inhaled human insulin</x:v>
      </x:c>
      <x:c r="F60" s="8" t="str">
        <x:v>Q3 FY26</x:v>
      </x:c>
      <x:c r="G60" s="8" t="str">
        <x:v>In-licensed new India therapy</x:v>
      </x:c>
      <x:c r="H60" s="8" t="str">
        <x:v>Launch confirmed</x:v>
      </x:c>
      <x:c r="I60" s="8" t="str">
        <x:v>22 Dec 2025</x:v>
      </x:c>
      <x:c r="J60" s="8" t="str">
        <x:v>MannKind Corporation partner, unrelated to Mankind Pharma.</x:v>
      </x:c>
      <x:c r="K60" s="8" t="str">
        <x:v>https://www.business-standard.com/companies/news/cipla-launches-inhaled-insulin-afrezza-in-india-125122200788_1.html</x:v>
      </x:c>
    </x:row>
    <x:row r="61" ht="78" customHeight="1">
      <x:c r="A61" s="8" t="str">
        <x:v>Cipla</x:v>
      </x:c>
      <x:c r="B61" s="8" t="str">
        <x:v>Chronic / episodic</x:v>
      </x:c>
      <x:c r="C61" s="8" t="str">
        <x:v>Musculoskeletal / osteoarthritis</x:v>
      </x:c>
      <x:c r="D61" s="8" t="str">
        <x:v>Ciplostem</x:v>
      </x:c>
      <x:c r="E61" s="8" t="str">
        <x:v>Allogeneic mesenchymal stromal cells</x:v>
      </x:c>
      <x:c r="F61" s="8" t="str">
        <x:v>Q3 FY26</x:v>
      </x:c>
      <x:c r="G61" s="8" t="str">
        <x:v>New cell-therapy brand</x:v>
      </x:c>
      <x:c r="H61" s="8" t="str">
        <x:v>Launch confirmed</x:v>
      </x:c>
      <x:c r="I61" s="8" t="str">
        <x:v>3 Dec 2025</x:v>
      </x:c>
      <x:c r="J61" s="8" t="str">
        <x:v>Stempeutics partnership for knee osteoarthritis.</x:v>
      </x:c>
      <x:c r="K61" s="8" t="str">
        <x:v>https://www.cipla.com/press-releases-statements/cipla-partners-stempeutics-launches-stem-cell-therapy-knee-osteoarthritis</x:v>
      </x:c>
    </x:row>
    <x:row r="62" ht="78" customHeight="1">
      <x:c r="A62" s="8" t="str">
        <x:v>Cipla</x:v>
      </x:c>
      <x:c r="B62" s="8" t="str">
        <x:v>Anti-infectives</x:v>
      </x:c>
      <x:c r="C62" s="8" t="str">
        <x:v>Acute bacterial infections</x:v>
      </x:c>
      <x:c r="D62" s="8" t="str">
        <x:v>Rizontem</x:v>
      </x:c>
      <x:c r="E62" s="8" t="str">
        <x:v>Anti-infective; molecule not stated in reviewed AR</x:v>
      </x:c>
      <x:c r="F62" s="8" t="str">
        <x:v>FY26; after Oct 2025 pipeline disclosure</x:v>
      </x:c>
      <x:c r="G62" s="8" t="str">
        <x:v>New brand</x:v>
      </x:c>
      <x:c r="H62" s="8" t="str">
        <x:v>Launch confirmed by FY26 AR</x:v>
      </x:c>
      <x:c r="I62" s="8" t="str">
        <x:v>Upcoming at Q2 call; introduced by FY26 AR</x:v>
      </x:c>
      <x:c r="J62" s="8" t="str">
        <x:v>Avoid guessing molecule or exact launch quarter.</x:v>
      </x:c>
      <x:c r="K62" s="8" t="str">
        <x:v>https://www.cipla.com/sites/default/files/Cipla-Annual-Report-FY2025-26.pdf</x:v>
      </x:c>
    </x:row>
    <x:row r="63" ht="78" customHeight="1">
      <x:c r="A63" s="8" t="str">
        <x:v>Cipla</x:v>
      </x:c>
      <x:c r="B63" s="8" t="str">
        <x:v>Anti-infectives</x:v>
      </x:c>
      <x:c r="C63" s="8" t="str">
        <x:v>Acute bacterial infections</x:v>
      </x:c>
      <x:c r="D63" s="8" t="str">
        <x:v>Tedispan</x:v>
      </x:c>
      <x:c r="E63" s="8" t="str">
        <x:v>Tedizolid phosphate</x:v>
      </x:c>
      <x:c r="F63" s="8" t="str">
        <x:v>FY26; after Oct 2025 pipeline disclosure</x:v>
      </x:c>
      <x:c r="G63" s="8" t="str">
        <x:v>New brand</x:v>
      </x:c>
      <x:c r="H63" s="8" t="str">
        <x:v>Launch confirmed by FY26 AR</x:v>
      </x:c>
      <x:c r="I63" s="8" t="str">
        <x:v>Upcoming at Q2 call; launched by FY26 AR</x:v>
      </x:c>
      <x:c r="J63" s="8" t="str">
        <x:v>Same molecule category as Sun Starizo; ABSSSI.</x:v>
      </x:c>
      <x:c r="K63" s="8" t="str">
        <x:v>https://www.cipla.com/sites/default/files/Cipla-Annual-Report-FY2025-26.pdf</x:v>
      </x:c>
    </x:row>
    <x:row r="64" ht="78" customHeight="1">
      <x:c r="A64" s="8" t="str">
        <x:v>Cipla</x:v>
      </x:c>
      <x:c r="B64" s="8" t="str">
        <x:v>Chronic</x:v>
      </x:c>
      <x:c r="C64" s="8" t="str">
        <x:v>Gastroenterology</x:v>
      </x:c>
      <x:c r="D64" s="8" t="str">
        <x:v>Elbicip</x:v>
      </x:c>
      <x:c r="E64" s="8" t="str">
        <x:v>Elobixibat</x:v>
      </x:c>
      <x:c r="F64" s="8" t="str">
        <x:v>FY26; after Oct 2025 pipeline disclosure</x:v>
      </x:c>
      <x:c r="G64" s="8" t="str">
        <x:v>New brand / molecule entry</x:v>
      </x:c>
      <x:c r="H64" s="8" t="str">
        <x:v>Launch confirmed by FY26 AR</x:v>
      </x:c>
      <x:c r="I64" s="8" t="str">
        <x:v>AR plus Ciplamed product monograph</x:v>
      </x:c>
      <x:c r="J64" s="8" t="str">
        <x:v>Chronic constipation therapy.</x:v>
      </x:c>
      <x:c r="K64" s="8" t="str">
        <x:v>https://www.cipla.com/sites/default/files/Cipla-Annual-Report-FY2025-26.pdf</x:v>
      </x:c>
    </x:row>
    <x:row r="65" ht="78" customHeight="1">
      <x:c r="A65" s="8" t="str">
        <x:v>Cipla</x:v>
      </x:c>
      <x:c r="B65" s="8" t="str">
        <x:v>Anti-infectives</x:v>
      </x:c>
      <x:c r="C65" s="8" t="str">
        <x:v>Hospital antibiotics</x:v>
      </x:c>
      <x:c r="D65" s="8" t="str">
        <x:v>Cipkavi</x:v>
      </x:c>
      <x:c r="E65" s="8" t="str">
        <x:v>Ceftazidime + avibactam</x:v>
      </x:c>
      <x:c r="F65" s="8" t="str">
        <x:v>FY26; quarter undisclosed</x:v>
      </x:c>
      <x:c r="G65" s="8" t="str">
        <x:v>Product launch</x:v>
      </x:c>
      <x:c r="H65" s="8" t="str">
        <x:v>Launch disclosed</x:v>
      </x:c>
      <x:c r="I65" s="8" t="str">
        <x:v>FY26 AR p67</x:v>
      </x:c>
      <x:c r="J65" s="8" t="str">
        <x:v>Separate anti-infective from seasonal cough portfolio.</x:v>
      </x:c>
      <x:c r="K65" s="8" t="str">
        <x:v>https://www.cipla.com/sites/default/files/Cipla-Annual-Report-FY2025-26.pdf</x:v>
      </x:c>
    </x:row>
    <x:row r="66" ht="78" customHeight="1">
      <x:c r="A66" s="8" t="str">
        <x:v>Cipla</x:v>
      </x:c>
      <x:c r="B66" s="8" t="str">
        <x:v>Chronic</x:v>
      </x:c>
      <x:c r="C66" s="8" t="str">
        <x:v>Respiratory</x:v>
      </x:c>
      <x:c r="D66" s="8" t="str">
        <x:v>Pirfenidone 801 mg easy-swallow tablets</x:v>
      </x:c>
      <x:c r="E66" s="8" t="str">
        <x:v>Pirfenidone</x:v>
      </x:c>
      <x:c r="F66" s="8" t="str">
        <x:v>FY26; quarter undisclosed</x:v>
      </x:c>
      <x:c r="G66" s="8" t="str">
        <x:v>Strength / formulation addition</x:v>
      </x:c>
      <x:c r="H66" s="8" t="str">
        <x:v>Launch disclosed</x:v>
      </x:c>
      <x:c r="I66" s="8" t="str">
        <x:v>FY26 AR p67</x:v>
      </x:c>
      <x:c r="J66" s="8" t="str">
        <x:v>IPF treatment; brand not named in launch table.</x:v>
      </x:c>
      <x:c r="K66" s="8" t="str">
        <x:v>https://www.cipla.com/sites/default/files/Cipla-Annual-Report-FY2025-26.pdf</x:v>
      </x:c>
    </x:row>
    <x:row r="67" ht="78" customHeight="1">
      <x:c r="A67" s="8" t="str">
        <x:v>Cipla</x:v>
      </x:c>
      <x:c r="B67" s="8" t="str">
        <x:v>Chronic / episodic</x:v>
      </x:c>
      <x:c r="C67" s="8" t="str">
        <x:v>Ophthalmology</x:v>
      </x:c>
      <x:c r="D67" s="8" t="str">
        <x:v>9 PM PF</x:v>
      </x:c>
      <x:c r="E67" s="8" t="str">
        <x:v>Latanoprost preservative-free 0.005%</x:v>
      </x:c>
      <x:c r="F67" s="8" t="str">
        <x:v>FY26; quarter undisclosed</x:v>
      </x:c>
      <x:c r="G67" s="8" t="str">
        <x:v>Formulation / packaging extension</x:v>
      </x:c>
      <x:c r="H67" s="8" t="str">
        <x:v>Launch or relaunch disclosed</x:v>
      </x:c>
      <x:c r="I67" s="8" t="str">
        <x:v>FY26 AR p67</x:v>
      </x:c>
      <x:c r="J67" s="8" t="str">
        <x:v>Moxicip is a packaging relaunch; glaucoma and post-op products classified separately.</x:v>
      </x:c>
      <x:c r="K67" s="8" t="str">
        <x:v>https://www.cipla.com/sites/default/files/Cipla-Annual-Report-FY2025-26.pdf</x:v>
      </x:c>
    </x:row>
    <x:row r="68" ht="78" customHeight="1">
      <x:c r="A68" s="8" t="str">
        <x:v>Cipla</x:v>
      </x:c>
      <x:c r="B68" s="8" t="str">
        <x:v>Chronic / episodic</x:v>
      </x:c>
      <x:c r="C68" s="8" t="str">
        <x:v>Ophthalmology</x:v>
      </x:c>
      <x:c r="D68" s="8" t="str">
        <x:v>Nepcinac Pro</x:v>
      </x:c>
      <x:c r="E68" s="8" t="str">
        <x:v>Nepafenac ophthalmic suspension 0.1%</x:v>
      </x:c>
      <x:c r="F68" s="8" t="str">
        <x:v>FY26; quarter undisclosed</x:v>
      </x:c>
      <x:c r="G68" s="8" t="str">
        <x:v>Formulation / packaging extension</x:v>
      </x:c>
      <x:c r="H68" s="8" t="str">
        <x:v>Launch or relaunch disclosed</x:v>
      </x:c>
      <x:c r="I68" s="8" t="str">
        <x:v>FY26 AR p67</x:v>
      </x:c>
      <x:c r="J68" s="8" t="str">
        <x:v>Moxicip is a packaging relaunch; glaucoma and post-op products classified separately.</x:v>
      </x:c>
      <x:c r="K68" s="8" t="str">
        <x:v>https://www.cipla.com/sites/default/files/Cipla-Annual-Report-FY2025-26.pdf</x:v>
      </x:c>
    </x:row>
    <x:row r="69" ht="78" customHeight="1">
      <x:c r="A69" s="8" t="str">
        <x:v>Cipla</x:v>
      </x:c>
      <x:c r="B69" s="8" t="str">
        <x:v>Chronic / episodic</x:v>
      </x:c>
      <x:c r="C69" s="8" t="str">
        <x:v>Ophthalmology</x:v>
      </x:c>
      <x:c r="D69" s="8" t="str">
        <x:v>Moxicip upgraded ointment pack</x:v>
      </x:c>
      <x:c r="E69" s="8" t="str">
        <x:v>Moxifloxacin eye ointment 0.5%</x:v>
      </x:c>
      <x:c r="F69" s="8" t="str">
        <x:v>FY26; quarter undisclosed</x:v>
      </x:c>
      <x:c r="G69" s="8" t="str">
        <x:v>Formulation / packaging extension</x:v>
      </x:c>
      <x:c r="H69" s="8" t="str">
        <x:v>Launch or relaunch disclosed</x:v>
      </x:c>
      <x:c r="I69" s="8" t="str">
        <x:v>FY26 AR p67</x:v>
      </x:c>
      <x:c r="J69" s="8" t="str">
        <x:v>Moxicip is a packaging relaunch; glaucoma and post-op products classified separately.</x:v>
      </x:c>
      <x:c r="K69" s="8" t="str">
        <x:v>https://www.cipla.com/sites/default/files/Cipla-Annual-Report-FY2025-26.pdf</x:v>
      </x:c>
    </x:row>
    <x:row r="70" ht="78" customHeight="1">
      <x:c r="A70" s="8" t="str">
        <x:v>Cipla</x:v>
      </x:c>
      <x:c r="B70" s="8" t="str">
        <x:v>Chronic</x:v>
      </x:c>
      <x:c r="C70" s="8" t="str">
        <x:v>Respiratory</x:v>
      </x:c>
      <x:c r="D70" s="8" t="str">
        <x:v>Voltido Trio 100 Rotacaps</x:v>
      </x:c>
      <x:c r="E70" s="8" t="str">
        <x:v>Maintenance inhaled combinations</x:v>
      </x:c>
      <x:c r="F70" s="8" t="str">
        <x:v>FY26; quarter undisclosed</x:v>
      </x:c>
      <x:c r="G70" s="8" t="str">
        <x:v>Brand / device / formulation extension</x:v>
      </x:c>
      <x:c r="H70" s="8" t="str">
        <x:v>Launch disclosed</x:v>
      </x:c>
      <x:c r="I70" s="8" t="str">
        <x:v>FY26 AR p67</x:v>
      </x:c>
      <x:c r="J70" s="8" t="str">
        <x:v>Do not count each strength as a distinct parent brand.</x:v>
      </x:c>
      <x:c r="K70" s="8" t="str">
        <x:v>https://www.cipla.com/sites/default/files/Cipla-Annual-Report-FY2025-26.pdf</x:v>
      </x:c>
    </x:row>
    <x:row r="71" ht="78" customHeight="1">
      <x:c r="A71" s="8" t="str">
        <x:v>Cipla</x:v>
      </x:c>
      <x:c r="B71" s="8" t="str">
        <x:v>Chronic</x:v>
      </x:c>
      <x:c r="C71" s="8" t="str">
        <x:v>Respiratory</x:v>
      </x:c>
      <x:c r="D71" s="8" t="str">
        <x:v>Foracort G Ciphaler</x:v>
      </x:c>
      <x:c r="E71" s="8" t="str">
        <x:v>Maintenance inhaled combinations</x:v>
      </x:c>
      <x:c r="F71" s="8" t="str">
        <x:v>FY26; quarter undisclosed</x:v>
      </x:c>
      <x:c r="G71" s="8" t="str">
        <x:v>Brand / device / formulation extension</x:v>
      </x:c>
      <x:c r="H71" s="8" t="str">
        <x:v>Launch disclosed</x:v>
      </x:c>
      <x:c r="I71" s="8" t="str">
        <x:v>FY26 AR p67</x:v>
      </x:c>
      <x:c r="J71" s="8" t="str">
        <x:v>Do not count each strength as a distinct parent brand.</x:v>
      </x:c>
      <x:c r="K71" s="8" t="str">
        <x:v>https://www.cipla.com/sites/default/files/Cipla-Annual-Report-FY2025-26.pdf</x:v>
      </x:c>
    </x:row>
    <x:row r="72" ht="78" customHeight="1">
      <x:c r="A72" s="8" t="str">
        <x:v>Cipla</x:v>
      </x:c>
      <x:c r="B72" s="8" t="str">
        <x:v>Chronic</x:v>
      </x:c>
      <x:c r="C72" s="8" t="str">
        <x:v>Respiratory</x:v>
      </x:c>
      <x:c r="D72" s="8" t="str">
        <x:v>Foracort MDI, three strengths</x:v>
      </x:c>
      <x:c r="E72" s="8" t="str">
        <x:v>Maintenance inhaled combinations</x:v>
      </x:c>
      <x:c r="F72" s="8" t="str">
        <x:v>FY26; quarter undisclosed</x:v>
      </x:c>
      <x:c r="G72" s="8" t="str">
        <x:v>Brand / device / formulation extension</x:v>
      </x:c>
      <x:c r="H72" s="8" t="str">
        <x:v>Launch disclosed</x:v>
      </x:c>
      <x:c r="I72" s="8" t="str">
        <x:v>FY26 AR p67</x:v>
      </x:c>
      <x:c r="J72" s="8" t="str">
        <x:v>Do not count each strength as a distinct parent brand.</x:v>
      </x:c>
      <x:c r="K72" s="8" t="str">
        <x:v>https://www.cipla.com/sites/default/files/Cipla-Annual-Report-FY2025-26.pdf</x:v>
      </x:c>
    </x:row>
    <x:row r="73" ht="78" customHeight="1">
      <x:c r="A73" s="8" t="str">
        <x:v>Cipla</x:v>
      </x:c>
      <x:c r="B73" s="8" t="str">
        <x:v>Chronic</x:v>
      </x:c>
      <x:c r="C73" s="8" t="str">
        <x:v>Respiratory</x:v>
      </x:c>
      <x:c r="D73" s="8" t="str">
        <x:v>Glycohale-F MDI / Synchrobreathe</x:v>
      </x:c>
      <x:c r="E73" s="8" t="str">
        <x:v>Maintenance inhaled combinations</x:v>
      </x:c>
      <x:c r="F73" s="8" t="str">
        <x:v>FY26; quarter undisclosed</x:v>
      </x:c>
      <x:c r="G73" s="8" t="str">
        <x:v>Brand / device / formulation extension</x:v>
      </x:c>
      <x:c r="H73" s="8" t="str">
        <x:v>Launch disclosed</x:v>
      </x:c>
      <x:c r="I73" s="8" t="str">
        <x:v>FY26 AR p67</x:v>
      </x:c>
      <x:c r="J73" s="8" t="str">
        <x:v>Do not count each strength as a distinct parent brand.</x:v>
      </x:c>
      <x:c r="K73" s="8" t="str">
        <x:v>https://www.cipla.com/sites/default/files/Cipla-Annual-Report-FY2025-26.pdf</x:v>
      </x:c>
    </x:row>
    <x:row r="74" ht="78" customHeight="1">
      <x:c r="A74" s="8" t="str">
        <x:v>Cipla</x:v>
      </x:c>
      <x:c r="B74" s="8" t="str">
        <x:v>Chronic / supportive</x:v>
      </x:c>
      <x:c r="C74" s="8" t="str">
        <x:v>Respiratory</x:v>
      </x:c>
      <x:c r="D74" s="8" t="str">
        <x:v>Duolin Synchrobreathe</x:v>
      </x:c>
      <x:c r="E74" s="8" t="str">
        <x:v>Levosalbutamol + ipratropium</x:v>
      </x:c>
      <x:c r="F74" s="8" t="str">
        <x:v>Recent by Q1 FY27; exact launch quarter unstated</x:v>
      </x:c>
      <x:c r="G74" s="8" t="str">
        <x:v>Device extension</x:v>
      </x:c>
      <x:c r="H74" s="8" t="str">
        <x:v>Recent-launch exhibit; quarter unverified</x:v>
      </x:c>
      <x:c r="I74" s="8" t="str">
        <x:v>Q1 FY27 presentation p7; pack images inspected</x:v>
      </x:c>
      <x:c r="J74" s="8" t="str">
        <x:v>Exhibit is not an assertion that all eight launched during Q1 FY27.</x:v>
      </x:c>
      <x:c r="K74" s="8" t="str">
        <x:v>https://www.cipla.com/sites/default/files/Q1-FY27-Investor-Presentation_0.pdf</x:v>
      </x:c>
    </x:row>
    <x:row r="75" ht="78" customHeight="1">
      <x:c r="A75" s="8" t="str">
        <x:v>Cipla</x:v>
      </x:c>
      <x:c r="B75" s="8" t="str">
        <x:v>Seasonal acute / allergy</x:v>
      </x:c>
      <x:c r="C75" s="8" t="str">
        <x:v>Upper respiratory / nasal care</x:v>
      </x:c>
      <x:c r="D75" s="8" t="str">
        <x:v>Nasowash NS</x:v>
      </x:c>
      <x:c r="E75" s="8" t="str">
        <x:v>Isotonic saline nasal spray</x:v>
      </x:c>
      <x:c r="F75" s="8" t="str">
        <x:v>Recent by Q1 FY27; exact launch quarter unstated</x:v>
      </x:c>
      <x:c r="G75" s="8" t="str">
        <x:v>Format / product addition</x:v>
      </x:c>
      <x:c r="H75" s="8" t="str">
        <x:v>Recent-launch exhibit; quarter unverified</x:v>
      </x:c>
      <x:c r="I75" s="8" t="str">
        <x:v>Q1 FY27 presentation p7; pack images inspected</x:v>
      </x:c>
      <x:c r="J75" s="8" t="str">
        <x:v>Exhibit is not an assertion that all eight launched during Q1 FY27.</x:v>
      </x:c>
      <x:c r="K75" s="8" t="str">
        <x:v>https://www.cipla.com/sites/default/files/Q1-FY27-Investor-Presentation_0.pdf</x:v>
      </x:c>
    </x:row>
    <x:row r="76" ht="78" customHeight="1">
      <x:c r="A76" s="8" t="str">
        <x:v>Cipla</x:v>
      </x:c>
      <x:c r="B76" s="8" t="str">
        <x:v>Seasonal acute / allergy</x:v>
      </x:c>
      <x:c r="C76" s="8" t="str">
        <x:v>Allergic rhinitis</x:v>
      </x:c>
      <x:c r="D76" s="8" t="str">
        <x:v>Bilafav M</x:v>
      </x:c>
      <x:c r="E76" s="8" t="str">
        <x:v>Bilastine + montelukast</x:v>
      </x:c>
      <x:c r="F76" s="8" t="str">
        <x:v>Recent by Q1 FY27; exact launch quarter unstated</x:v>
      </x:c>
      <x:c r="G76" s="8" t="str">
        <x:v>Combination / brand extension</x:v>
      </x:c>
      <x:c r="H76" s="8" t="str">
        <x:v>Recent-launch exhibit; quarter unverified</x:v>
      </x:c>
      <x:c r="I76" s="8" t="str">
        <x:v>Q1 FY27 presentation p7; pack images inspected</x:v>
      </x:c>
      <x:c r="J76" s="8" t="str">
        <x:v>Exhibit is not an assertion that all eight launched during Q1 FY27.</x:v>
      </x:c>
      <x:c r="K76" s="8" t="str">
        <x:v>https://www.cipla.com/sites/default/files/Q1-FY27-Investor-Presentation_0.pdf</x:v>
      </x:c>
    </x:row>
    <x:row r="77" ht="78" customHeight="1">
      <x:c r="A77" s="8" t="str">
        <x:v>Cipla</x:v>
      </x:c>
      <x:c r="B77" s="8" t="str">
        <x:v>Chronic / supportive</x:v>
      </x:c>
      <x:c r="C77" s="8" t="str">
        <x:v>CNS / neuropathic pain</x:v>
      </x:c>
      <x:c r="D77" s="8" t="str">
        <x:v>Doloneuron ER</x:v>
      </x:c>
      <x:c r="E77" s="8" t="str">
        <x:v>Gabapentin extended-release</x:v>
      </x:c>
      <x:c r="F77" s="8" t="str">
        <x:v>Recent by Q1 FY27; exact launch quarter unstated</x:v>
      </x:c>
      <x:c r="G77" s="8" t="str">
        <x:v>Formulation extension of acquired brand</x:v>
      </x:c>
      <x:c r="H77" s="8" t="str">
        <x:v>Recent-launch exhibit; quarter unverified</x:v>
      </x:c>
      <x:c r="I77" s="8" t="str">
        <x:v>Q1 FY27 presentation p7; pack images inspected</x:v>
      </x:c>
      <x:c r="J77" s="8" t="str">
        <x:v>Exhibit is not an assertion that all eight launched during Q1 FY27.</x:v>
      </x:c>
      <x:c r="K77" s="8" t="str">
        <x:v>https://www.cipla.com/sites/default/files/Q1-FY27-Investor-Presentation_0.pdf</x:v>
      </x:c>
    </x:row>
    <x:row r="78" ht="78" customHeight="1">
      <x:c r="A78" s="8" t="str">
        <x:v>Cipla</x:v>
      </x:c>
      <x:c r="B78" s="8" t="str">
        <x:v>Chronic / supportive</x:v>
      </x:c>
      <x:c r="C78" s="8" t="str">
        <x:v>Supportive care</x:v>
      </x:c>
      <x:c r="D78" s="8" t="str">
        <x:v>Byefilm</x:v>
      </x:c>
      <x:c r="E78" s="8" t="str">
        <x:v>N-acetyl L-cysteine + hyaluronic acid</x:v>
      </x:c>
      <x:c r="F78" s="8" t="str">
        <x:v>Recent by Q1 FY27; exact launch quarter unstated</x:v>
      </x:c>
      <x:c r="G78" s="8" t="str">
        <x:v>New supportive-care brand</x:v>
      </x:c>
      <x:c r="H78" s="8" t="str">
        <x:v>Recent-launch exhibit; quarter unverified</x:v>
      </x:c>
      <x:c r="I78" s="8" t="str">
        <x:v>Q1 FY27 presentation p7; pack images inspected</x:v>
      </x:c>
      <x:c r="J78" s="8" t="str">
        <x:v>Exhibit is not an assertion that all eight launched during Q1 FY27.</x:v>
      </x:c>
      <x:c r="K78" s="8" t="str">
        <x:v>https://www.cipla.com/sites/default/files/Q1-FY27-Investor-Presentation_0.pdf</x:v>
      </x:c>
    </x:row>
    <x:row r="79" ht="78" customHeight="1">
      <x:c r="A79" s="8" t="str">
        <x:v>Cipla</x:v>
      </x:c>
      <x:c r="B79" s="8" t="str">
        <x:v>Chronic / supportive</x:v>
      </x:c>
      <x:c r="C79" s="8" t="str">
        <x:v>Immunology / chronic inflammation</x:v>
      </x:c>
      <x:c r="D79" s="8" t="str">
        <x:v>Upadazen / Upadacip</x:v>
      </x:c>
      <x:c r="E79" s="8" t="str">
        <x:v>Upadacitinib extended-release</x:v>
      </x:c>
      <x:c r="F79" s="8" t="str">
        <x:v>Recent by Q1 FY27; exact launch quarter unstated</x:v>
      </x:c>
      <x:c r="G79" s="8" t="str">
        <x:v>New brands / formulations</x:v>
      </x:c>
      <x:c r="H79" s="8" t="str">
        <x:v>Recent-launch exhibit; quarter unverified</x:v>
      </x:c>
      <x:c r="I79" s="8" t="str">
        <x:v>Q1 FY27 presentation p7; pack images inspected</x:v>
      </x:c>
      <x:c r="J79" s="8" t="str">
        <x:v>Exhibit is not an assertion that all eight launched during Q1 FY27.</x:v>
      </x:c>
      <x:c r="K79" s="8" t="str">
        <x:v>https://www.cipla.com/sites/default/files/Q1-FY27-Investor-Presentation_0.pdf</x:v>
      </x:c>
    </x:row>
    <x:row r="80" ht="78" customHeight="1">
      <x:c r="A80" s="8" t="str">
        <x:v>Cipla</x:v>
      </x:c>
      <x:c r="B80" s="8" t="str">
        <x:v>Chronic / supportive</x:v>
      </x:c>
      <x:c r="C80" s="8" t="str">
        <x:v>Neuro-supportive nutrition</x:v>
      </x:c>
      <x:c r="D80" s="8" t="str">
        <x:v>Peabocip</x:v>
      </x:c>
      <x:c r="E80" s="8" t="str">
        <x:v>PEA + acetyl-L-carnitine + Boscurin + uridine monophosphate</x:v>
      </x:c>
      <x:c r="F80" s="8" t="str">
        <x:v>Recent by Q1 FY27; exact launch quarter unstated</x:v>
      </x:c>
      <x:c r="G80" s="8" t="str">
        <x:v>New supportive-care brand</x:v>
      </x:c>
      <x:c r="H80" s="8" t="str">
        <x:v>Recent-launch exhibit; quarter unverified</x:v>
      </x:c>
      <x:c r="I80" s="8" t="str">
        <x:v>Q1 FY27 presentation p7; pack images inspected</x:v>
      </x:c>
      <x:c r="J80" s="8" t="str">
        <x:v>Exhibit is not an assertion that all eight launched during Q1 FY27.</x:v>
      </x:c>
      <x:c r="K80" s="8" t="str">
        <x:v>https://www.cipla.com/sites/default/files/Q1-FY27-Investor-Presentation_0.pdf</x:v>
      </x:c>
    </x:row>
    <x:row r="81" ht="78" customHeight="1">
      <x:c r="A81" s="8" t="str">
        <x:v>Cipla</x:v>
      </x:c>
      <x:c r="B81" s="8" t="str">
        <x:v>Chronic / supportive</x:v>
      </x:c>
      <x:c r="C81" s="8" t="str">
        <x:v>Diabetes</x:v>
      </x:c>
      <x:c r="D81" s="8" t="str">
        <x:v>Galvus D</x:v>
      </x:c>
      <x:c r="E81" s="8" t="str">
        <x:v>Vildagliptin SR + dapagliflozin</x:v>
      </x:c>
      <x:c r="F81" s="8" t="str">
        <x:v>Recent by Q1 FY27; exact launch quarter unstated</x:v>
      </x:c>
      <x:c r="G81" s="8" t="str">
        <x:v>Combination / brand extension</x:v>
      </x:c>
      <x:c r="H81" s="8" t="str">
        <x:v>Recent-launch exhibit; quarter unverified</x:v>
      </x:c>
      <x:c r="I81" s="8" t="str">
        <x:v>Q1 FY27 presentation p7; pack images inspected</x:v>
      </x:c>
      <x:c r="J81" s="8" t="str">
        <x:v>Exhibit is not an assertion that all eight launched during Q1 FY27.</x:v>
      </x:c>
      <x:c r="K81" s="8" t="str">
        <x:v>https://www.cipla.com/sites/default/files/Q1-FY27-Investor-Presentation_0.pdf</x:v>
      </x:c>
    </x:row>
    <x:row r="82" ht="78" customHeight="1">
      <x:c r="A82" s="8" t="str">
        <x:v>Cipla</x:v>
      </x:c>
      <x:c r="B82" s="8" t="str">
        <x:v>Chronic</x:v>
      </x:c>
      <x:c r="C82" s="8" t="str">
        <x:v>CNS</x:v>
      </x:c>
      <x:c r="D82" s="8" t="str">
        <x:v>Doloneuron / Zolsoma</x:v>
      </x:c>
      <x:c r="E82" s="8" t="str">
        <x:v>Neuropathic pain / sleep disorder brands</x:v>
      </x:c>
      <x:c r="F82" s="8" t="str">
        <x:v>Q1 FY26 acquisition</x:v>
      </x:c>
      <x:c r="G82" s="8" t="str">
        <x:v>Acquired existing brands</x:v>
      </x:c>
      <x:c r="H82" s="8" t="str">
        <x:v>Acquisition</x:v>
      </x:c>
      <x:c r="I82" s="8" t="str">
        <x:v>12 May 2025; FY26 AR intangible note</x:v>
      </x:c>
      <x:c r="J82" s="8" t="str">
        <x:v>Exclude acquisition from organic parent-brand launch counts.</x:v>
      </x:c>
      <x:c r="K82" s="8" t="str">
        <x:v>https://www.cipla.com/sites/default/files/Cipla-Annual-Report-FY2025-26.pdf</x:v>
      </x:c>
    </x:row>
    <x:row r="83" ht="78" customHeight="1">
      <x:c r="A83" s="8" t="str">
        <x:v>Cipla</x:v>
      </x:c>
      <x:c r="B83" s="8" t="str">
        <x:v>Chronic</x:v>
      </x:c>
      <x:c r="C83" s="8" t="str">
        <x:v>Dermatology</x:v>
      </x:c>
      <x:c r="D83" s="8" t="str">
        <x:v>Aprela</x:v>
      </x:c>
      <x:c r="E83" s="8" t="str">
        <x:v>Topical apremilast</x:v>
      </x:c>
      <x:c r="F83" s="8" t="str">
        <x:v>Oct 2025 planned launch</x:v>
      </x:c>
      <x:c r="G83" s="8" t="str">
        <x:v>Pipeline formulation</x:v>
      </x:c>
      <x:c r="H83" s="8" t="str">
        <x:v>Upcoming; launch unverified</x:v>
      </x:c>
      <x:c r="I83" s="8" t="str">
        <x:v>Q2 FY26 earnings call</x:v>
      </x:c>
      <x:c r="J83" s="8" t="str">
        <x:v>Do not substitute existing oral Aprezo for the disclosed topical candidate.</x:v>
      </x:c>
      <x:c r="K83" s="8" t="str">
        <x:v>https://www.cipla.com/sites/default/files/Cipla-Earnings-Oct30-2025.pdf</x:v>
      </x:c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</x:sheetData>
  <x:pageMargins left="0.7" right="0.7" top="0.75" bottom="0.75" header="0.3" footer="0.3"/>
  <x:tableParts count="1">
    <x:tablePart xmlns:r="http://schemas.openxmlformats.org/officeDocument/2006/relationships" r:id="R02074e5b8dd349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52" hidden="0" customWidth="1"/>
    <x:col min="5" max="5" width="62" hidden="0" customWidth="1"/>
    <x:col min="6" max="6" width="56" hidden="0" customWidth="1"/>
    <x:col min="7" max="7" width="66" hidden="0" customWidth="1"/>
    <x:col min="8" max="8" width="6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Eight-quarter review: India launch cadence and named events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Quarter</x:v>
      </x:c>
      <x:c r="B5" s="7" t="str">
        <x:v>Calendar period</x:v>
      </x:c>
      <x:c r="C5" s="7" t="str">
        <x:v>Sun: India new products</x:v>
      </x:c>
      <x:c r="D5" s="7" t="str">
        <x:v>Mankind named evidence / event</x:v>
      </x:c>
      <x:c r="E5" s="7" t="str">
        <x:v>Cipla named evidence / event</x:v>
      </x:c>
      <x:c r="F5" s="7" t="str">
        <x:v>Cipla count scope</x:v>
      </x:c>
      <x:c r="G5" s="7" t="str">
        <x:v>Sun source</x:v>
      </x:c>
      <x:c r="H5" s="7" t="str">
        <x:v>Other source</x:v>
      </x:c>
    </x:row>
    <x:row r="6" ht="98" customHeight="1">
      <x:c r="A6" s="8" t="str">
        <x:v>Q2 FY25</x:v>
      </x:c>
      <x:c r="B6" s="8" t="str">
        <x:v>Jul–Sep 2024</x:v>
      </x:c>
      <x:c r="C6" s="8" t="n">
        <x:v>14</x:v>
      </x:c>
      <x:c r="D6" s="8" t="str">
        <x:v>Crenzlo; Nimulid Strong</x:v>
      </x:c>
      <x:c r="E6" s="8" t="str">
        <x:v>Cipenmet; vonoprazan; Cofsils Mulethi</x:v>
      </x:c>
      <x:c r="F6" s="8" t="str">
        <x:v>Trade Gx: 9 launches in H1 FY25; not India total</x:v>
      </x:c>
      <x:c r="G6" s="8" t="str">
        <x:v>https://sunpharma.com/wp-content/uploads/2024/10/Press-Release-Sun-Pharma-Q2FY25-Financial-Result.pdf</x:v>
      </x:c>
      <x:c r="H6" s="8" t="str">
        <x:v>https://www.cipla.com/sites/default/files/CiplaQ2FY25InvestorPresentationSigned.pdf</x:v>
      </x:c>
    </x:row>
    <x:row r="7" ht="98" customHeight="1">
      <x:c r="A7" s="8" t="str">
        <x:v>Q3 FY25</x:v>
      </x:c>
      <x:c r="B7" s="8" t="str">
        <x:v>Oct–Dec 2024</x:v>
      </x:c>
      <x:c r="C7" s="8" t="n">
        <x:v>12</x:v>
      </x:c>
      <x:c r="D7" s="8" t="str">
        <x:v>BSV acquisition; sintilimab agreement</x:v>
      </x:c>
      <x:c r="E7" s="8" t="str">
        <x:v>Afrezza approval only; launch occurred Dec 2025</x:v>
      </x:c>
      <x:c r="F7" s="8" t="str">
        <x:v>No comparable total retained</x:v>
      </x:c>
      <x:c r="G7" s="8" t="str">
        <x:v>https://sunpharma.com/wp-content/uploads/2025/01/Press-Release-Sun-Pharma-Q3FY25-Financial-Result.pdf</x:v>
      </x:c>
      <x:c r="H7" s="8" t="str">
        <x:v>https://www.cipla.com/sites/default/files/Cipla-AR-2024-25.pdf</x:v>
      </x:c>
    </x:row>
    <x:row r="8" ht="98" customHeight="1">
      <x:c r="A8" s="8" t="str">
        <x:v>Q4 FY25</x:v>
      </x:c>
      <x:c r="B8" s="8" t="str">
        <x:v>Jan–Mar 2025</x:v>
      </x:c>
      <x:c r="C8" s="8" t="n">
        <x:v>10</x:v>
      </x:c>
      <x:c r="D8" s="8" t="str">
        <x:v>Empagliflozin brands; annual-only items remain unallocated</x:v>
      </x:c>
      <x:c r="E8" s="8" t="str">
        <x:v>Empagliflozin / linagliptin LoE entry</x:v>
      </x:c>
      <x:c r="F8" s="8" t="str">
        <x:v>FY25 India product count 30 includes Q1 outside window</x:v>
      </x:c>
      <x:c r="G8" s="8" t="str">
        <x:v>https://sunpharma.com/wp-content/uploads/2025/05/Press-Release-Sun-Pharma-Q4FY25-Financial-Result.pdf</x:v>
      </x:c>
      <x:c r="H8" s="8" t="str">
        <x:v>https://www.cipla.com/sites/default/files/Cipla-AR-2024-25.pdf</x:v>
      </x:c>
    </x:row>
    <x:row r="9" ht="98" customHeight="1">
      <x:c r="A9" s="8" t="str">
        <x:v>Q1 FY26</x:v>
      </x:c>
      <x:c r="B9" s="8" t="str">
        <x:v>Apr–Jun 2025</x:v>
      </x:c>
      <x:c r="C9" s="8" t="n">
        <x:v>5</x:v>
      </x:c>
      <x:c r="D9" s="8" t="str">
        <x:v>No complete dated brand list disclosed</x:v>
      </x:c>
      <x:c r="E9" s="8" t="str">
        <x:v>Zemdri; Voltido Trio Ciphaler; Prolyte ElectroShot; acquired CNS brands</x:v>
      </x:c>
      <x:c r="F9" s="8" t="str">
        <x:v>No comparable India-total count retained</x:v>
      </x:c>
      <x:c r="G9" s="8" t="str">
        <x:v>https://sunpharma.com/wp-content/uploads/2025/07/Press-Release-Sun-Pharma-Q1FY26-Financial-Result.pdf</x:v>
      </x:c>
      <x:c r="H9" s="8" t="str">
        <x:v>https://www.cipla.com/sites/default/files/Cipla-becomes-first-to-launch-ZEMDRI-%28Plazomicin%29-in-India-leading-the-charge-against-AMR_2.pdf</x:v>
      </x:c>
    </x:row>
    <x:row r="10" ht="98" customHeight="1">
      <x:c r="A10" s="8" t="str">
        <x:v>Q2 FY26</x:v>
      </x:c>
      <x:c r="B10" s="8" t="str">
        <x:v>Jul–Sep 2025</x:v>
      </x:c>
      <x:c r="C10" s="8" t="n">
        <x:v>9</x:v>
      </x:c>
      <x:c r="D10" s="8" t="str">
        <x:v>No complete dated brand list disclosed</x:v>
      </x:c>
      <x:c r="E10" s="8" t="str">
        <x:v>Huena; Xtiktr confirmed by results call</x:v>
      </x:c>
      <x:c r="F10" s="8" t="str">
        <x:v>Trade Gx: 6; not India total</x:v>
      </x:c>
      <x:c r="G10" s="8" t="str">
        <x:v>https://sunpharma.com/wp-content/uploads/2025/11/Press-Release-Sun-Pharma-Q2FY26-Financial-Result.pdf</x:v>
      </x:c>
      <x:c r="H10" s="8" t="str">
        <x:v>https://www.cipla.com/sites/default/files/Cipla-Earnings-Oct30-2025.pdf</x:v>
      </x:c>
    </x:row>
    <x:row r="11" ht="98" customHeight="1">
      <x:c r="A11" s="8" t="str">
        <x:v>Q3 FY26</x:v>
      </x:c>
      <x:c r="B11" s="8" t="str">
        <x:v>Oct–Dec 2025</x:v>
      </x:c>
      <x:c r="C11" s="8" t="n">
        <x:v>12</x:v>
      </x:c>
      <x:c r="D11" s="8" t="str">
        <x:v>New-launch discussion; exact dated list unavailable</x:v>
      </x:c>
      <x:c r="E11" s="8" t="str">
        <x:v>Yurpeak; Afrezza; Ciplostem</x:v>
      </x:c>
      <x:c r="F11" s="8" t="str">
        <x:v>No comparable India-total count retained</x:v>
      </x:c>
      <x:c r="G11" s="8" t="str">
        <x:v>https://sunpharma.com/wp-content/uploads/2026/01/Press-Release-Sun-Pharma-Q3FY26-Financial-Result.pdf</x:v>
      </x:c>
      <x:c r="H11" s="8" t="str">
        <x:v>https://www.cipla.com/press-releases-statements/cipla-launches-yurpeakr-tirzepatide-treatment-obesity-and-type-2-diabetes</x:v>
      </x:c>
    </x:row>
    <x:row r="12" ht="98" customHeight="1">
      <x:c r="A12" s="8" t="str">
        <x:v>Q4 FY26</x:v>
      </x:c>
      <x:c r="B12" s="8" t="str">
        <x:v>Jan–Mar 2026</x:v>
      </x:c>
      <x:c r="C12" s="8" t="n">
        <x:v>11</x:v>
      </x:c>
      <x:c r="D12" s="8" t="str">
        <x:v>Samakind launch plan; commercial confirmation missing</x:v>
      </x:c>
      <x:c r="E12" s="8" t="str">
        <x:v>Annual FY26 items cannot all be assigned to Q4</x:v>
      </x:c>
      <x:c r="F12" s="8" t="str">
        <x:v>FY26 India R&amp;D product count 15; differs from Gx counts</x:v>
      </x:c>
      <x:c r="G12" s="8" t="str">
        <x:v>https://sunpharma.com/wp-content/uploads/2026/05/Press-Release-Sun-Pharma-Q4FY26-Financial-Result.pdf</x:v>
      </x:c>
      <x:c r="H12" s="8" t="str">
        <x:v>https://www.cipla.com/sites/default/files/Cipla-Annual-Report-FY2025-26.pdf</x:v>
      </x:c>
    </x:row>
    <x:row r="13" ht="98" customHeight="1">
      <x:c r="A13" s="8" t="str">
        <x:v>Q1 FY27</x:v>
      </x:c>
      <x:c r="B13" s="8" t="str">
        <x:v>Apr–Jun 2026</x:v>
      </x:c>
      <x:c r="C13" s="8" t="n">
        <x:v>5</x:v>
      </x:c>
      <x:c r="D13" s="8" t="str">
        <x:v>Launch contribution and existing-brand growth are not a complete launch list</x:v>
      </x:c>
      <x:c r="E13" s="8" t="str">
        <x:v>Recent-launch exhibit includes eight brand / formulation groups; not all newly launched in Q1</x:v>
      </x:c>
      <x:c r="F13" s="8" t="str">
        <x:v>Trade Gx: 3; not India total</x:v>
      </x:c>
      <x:c r="G13" s="8" t="str">
        <x:v>https://sunpharma.com/wp-content/uploads/2026/07/Press-Release-Sun-Pharma-Q1FY27-Financial-Result.pdf</x:v>
      </x:c>
      <x:c r="H13" s="8" t="str">
        <x:v>https://www.cipla.com/sites/default/files/Q1-FY27-Investor-Presentation_0.pdf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76" customHeight="1">
      <x:c r="A15" s="2" t="str">
        <x:v>Eight-quarter Sun total</x:v>
      </x:c>
      <x:c r="B15" s="2"/>
      <x:c r="C15" s="2" t="n">
        <x:f>SUM(C6:C13)</x:f>
        <x:v>78</x:v>
      </x:c>
      <x:c r="D15" s="8" t="str">
        <x:v>Counts are company-reported products, not unique parent brands.</x:v>
      </x:c>
      <x:c r="E15" s="8" t="str">
        <x:v>Mankind / Cipla totals are not comparable from disclosures reviewed.</x:v>
      </x:c>
      <x:c r="F15" s="8" t="str">
        <x:v>Sun Q2 FY26 release says 15 YTD vs 5 + 9 = 14. Quarterly counts used; FY26 reconciles to 37.</x:v>
      </x:c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</x:sheetData>
  <x:pageMargins left="0.7" right="0.7" top="0.75" bottom="0.75" header="0.3" footer="0.3"/>
</x:worksheet>
</file>