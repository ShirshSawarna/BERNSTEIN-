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shirshsawarna/Desktop/"/>
    </mc:Choice>
  </mc:AlternateContent>
  <xr:revisionPtr revIDLastSave="0" documentId="8_{E4C99CC8-6D08-B045-85E6-F3D7EB09F0E2}" xr6:coauthVersionLast="47" xr6:coauthVersionMax="47" xr10:uidLastSave="{00000000-0000-0000-0000-000000000000}"/>
  <bookViews>
    <workbookView xWindow="0" yWindow="600" windowWidth="28800" windowHeight="15660" activeTab="4" xr2:uid="{00000000-000D-0000-FFFF-FFFF00000000}"/>
  </bookViews>
  <sheets>
    <sheet name="Summary" sheetId="1" r:id="rId1"/>
    <sheet name="Assumptions &amp; Sources" sheetId="2" r:id="rId2"/>
    <sheet name="Revenue Build" sheetId="3" r:id="rId3"/>
    <sheet name="3-Statement" sheetId="4" r:id="rId4"/>
    <sheet name="Valuation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5" l="1"/>
  <c r="C25" i="5"/>
  <c r="C24" i="5"/>
  <c r="C23" i="5"/>
  <c r="B17" i="5"/>
  <c r="B15" i="5"/>
  <c r="B11" i="5"/>
  <c r="B9" i="5"/>
  <c r="D61" i="4"/>
  <c r="D62" i="4" s="1"/>
  <c r="C61" i="4"/>
  <c r="C62" i="4" s="1"/>
  <c r="B61" i="4"/>
  <c r="B62" i="4" s="1"/>
  <c r="E58" i="4"/>
  <c r="E53" i="4"/>
  <c r="H52" i="4"/>
  <c r="G52" i="4"/>
  <c r="I49" i="4"/>
  <c r="H49" i="4"/>
  <c r="G49" i="4"/>
  <c r="F49" i="4"/>
  <c r="E49" i="4"/>
  <c r="D39" i="4"/>
  <c r="C39" i="4"/>
  <c r="B39" i="4"/>
  <c r="D34" i="4"/>
  <c r="C34" i="4"/>
  <c r="B34" i="4"/>
  <c r="I30" i="4"/>
  <c r="I52" i="4" s="1"/>
  <c r="H30" i="4"/>
  <c r="G30" i="4"/>
  <c r="F30" i="4"/>
  <c r="F52" i="4" s="1"/>
  <c r="E30" i="4"/>
  <c r="E52" i="4" s="1"/>
  <c r="E54" i="4" s="1"/>
  <c r="D17" i="4"/>
  <c r="C17" i="4"/>
  <c r="B17" i="4"/>
  <c r="D13" i="4"/>
  <c r="B13" i="4"/>
  <c r="I12" i="4"/>
  <c r="H12" i="4"/>
  <c r="G12" i="4"/>
  <c r="F12" i="4"/>
  <c r="E12" i="4"/>
  <c r="D11" i="4"/>
  <c r="C11" i="4"/>
  <c r="C13" i="4" s="1"/>
  <c r="B11" i="4"/>
  <c r="D9" i="4"/>
  <c r="D16" i="1" s="1"/>
  <c r="C9" i="4"/>
  <c r="C16" i="1" s="1"/>
  <c r="B9" i="4"/>
  <c r="D7" i="4"/>
  <c r="C7" i="4"/>
  <c r="B7" i="4"/>
  <c r="B38" i="3"/>
  <c r="D31" i="3"/>
  <c r="C31" i="3"/>
  <c r="B31" i="3"/>
  <c r="D30" i="3"/>
  <c r="C30" i="3"/>
  <c r="B30" i="3"/>
  <c r="G27" i="3"/>
  <c r="F27" i="3"/>
  <c r="E27" i="3"/>
  <c r="D25" i="3"/>
  <c r="C25" i="3"/>
  <c r="B25" i="3"/>
  <c r="I20" i="3"/>
  <c r="D20" i="3"/>
  <c r="C20" i="3"/>
  <c r="B20" i="3"/>
  <c r="I19" i="3"/>
  <c r="H19" i="3"/>
  <c r="H20" i="3" s="1"/>
  <c r="G19" i="3"/>
  <c r="F19" i="3"/>
  <c r="E19" i="3"/>
  <c r="I18" i="3"/>
  <c r="H18" i="3"/>
  <c r="G18" i="3"/>
  <c r="G20" i="3" s="1"/>
  <c r="F18" i="3"/>
  <c r="F20" i="3" s="1"/>
  <c r="E18" i="3"/>
  <c r="E20" i="3" s="1"/>
  <c r="E21" i="3" s="1"/>
  <c r="I15" i="3"/>
  <c r="H15" i="3"/>
  <c r="G15" i="3"/>
  <c r="F15" i="3"/>
  <c r="E15" i="3"/>
  <c r="E16" i="3" s="1"/>
  <c r="D15" i="3"/>
  <c r="C15" i="3"/>
  <c r="B15" i="3"/>
  <c r="D12" i="3"/>
  <c r="C12" i="3"/>
  <c r="B12" i="3"/>
  <c r="I11" i="3"/>
  <c r="H11" i="3"/>
  <c r="G11" i="3"/>
  <c r="F11" i="3"/>
  <c r="E11" i="3"/>
  <c r="I10" i="3"/>
  <c r="H10" i="3"/>
  <c r="G10" i="3"/>
  <c r="F10" i="3"/>
  <c r="E10" i="3"/>
  <c r="H9" i="3"/>
  <c r="H12" i="3" s="1"/>
  <c r="I8" i="3"/>
  <c r="H8" i="3"/>
  <c r="G8" i="3"/>
  <c r="F8" i="3"/>
  <c r="E8" i="3"/>
  <c r="I7" i="3"/>
  <c r="I9" i="3" s="1"/>
  <c r="I12" i="3" s="1"/>
  <c r="H7" i="3"/>
  <c r="D7" i="3"/>
  <c r="C7" i="3"/>
  <c r="B7" i="3"/>
  <c r="I6" i="3"/>
  <c r="H6" i="3"/>
  <c r="G6" i="3"/>
  <c r="F6" i="3"/>
  <c r="E6" i="3"/>
  <c r="I7" i="2"/>
  <c r="H7" i="2"/>
  <c r="G7" i="2"/>
  <c r="G7" i="3" s="1"/>
  <c r="G9" i="3" s="1"/>
  <c r="G12" i="3" s="1"/>
  <c r="F7" i="2"/>
  <c r="F7" i="3" s="1"/>
  <c r="F9" i="3" s="1"/>
  <c r="F12" i="3" s="1"/>
  <c r="E7" i="2"/>
  <c r="E7" i="3" s="1"/>
  <c r="E9" i="3" s="1"/>
  <c r="E12" i="3" s="1"/>
  <c r="E13" i="3" s="1"/>
  <c r="D7" i="2"/>
  <c r="C7" i="2"/>
  <c r="C34" i="1"/>
  <c r="C33" i="1"/>
  <c r="C32" i="1"/>
  <c r="B27" i="1"/>
  <c r="B26" i="1"/>
  <c r="B25" i="1"/>
  <c r="B24" i="1"/>
  <c r="D19" i="1"/>
  <c r="C19" i="1"/>
  <c r="B19" i="1"/>
  <c r="D18" i="1"/>
  <c r="C18" i="1"/>
  <c r="B18" i="1"/>
  <c r="D17" i="1"/>
  <c r="C17" i="1"/>
  <c r="B17" i="1"/>
  <c r="B16" i="1"/>
  <c r="D15" i="1"/>
  <c r="C15" i="1"/>
  <c r="B15" i="1"/>
  <c r="D14" i="1"/>
  <c r="C14" i="1"/>
  <c r="B14" i="1"/>
  <c r="D13" i="1"/>
  <c r="C13" i="1"/>
  <c r="B13" i="1"/>
  <c r="A4" i="1"/>
  <c r="F21" i="3" l="1"/>
  <c r="C26" i="1"/>
  <c r="C24" i="1"/>
  <c r="E24" i="3"/>
  <c r="F13" i="3"/>
  <c r="F16" i="3"/>
  <c r="C25" i="1"/>
  <c r="G16" i="3" l="1"/>
  <c r="D25" i="1"/>
  <c r="E6" i="4"/>
  <c r="C27" i="1"/>
  <c r="E28" i="3"/>
  <c r="E25" i="3"/>
  <c r="E30" i="3"/>
  <c r="G21" i="3"/>
  <c r="D26" i="1"/>
  <c r="E31" i="3"/>
  <c r="F24" i="3"/>
  <c r="G13" i="3"/>
  <c r="D24" i="1"/>
  <c r="D27" i="1" l="1"/>
  <c r="F28" i="3"/>
  <c r="F25" i="3"/>
  <c r="F6" i="4"/>
  <c r="H13" i="3"/>
  <c r="G24" i="3"/>
  <c r="E24" i="1"/>
  <c r="G30" i="3"/>
  <c r="F31" i="3"/>
  <c r="F30" i="3"/>
  <c r="E22" i="4"/>
  <c r="E41" i="4" s="1"/>
  <c r="E7" i="4"/>
  <c r="E14" i="1" s="1"/>
  <c r="E29" i="4"/>
  <c r="E45" i="4" s="1"/>
  <c r="E23" i="4"/>
  <c r="E42" i="4" s="1"/>
  <c r="E8" i="4"/>
  <c r="B23" i="5"/>
  <c r="D23" i="5" s="1"/>
  <c r="E13" i="1"/>
  <c r="E48" i="4"/>
  <c r="E50" i="4" s="1"/>
  <c r="E24" i="4"/>
  <c r="E43" i="4" s="1"/>
  <c r="E10" i="4"/>
  <c r="E40" i="4" s="1"/>
  <c r="E28" i="4"/>
  <c r="E26" i="1"/>
  <c r="H21" i="3"/>
  <c r="H16" i="3"/>
  <c r="E25" i="1"/>
  <c r="I21" i="3" l="1"/>
  <c r="F26" i="1"/>
  <c r="H31" i="3"/>
  <c r="G25" i="3"/>
  <c r="B39" i="3"/>
  <c r="B36" i="3"/>
  <c r="E27" i="1"/>
  <c r="G28" i="3"/>
  <c r="B37" i="3" s="1"/>
  <c r="G6" i="4"/>
  <c r="H24" i="3"/>
  <c r="I13" i="3"/>
  <c r="F24" i="1"/>
  <c r="H30" i="3"/>
  <c r="I16" i="3"/>
  <c r="G25" i="1" s="1"/>
  <c r="F25" i="1"/>
  <c r="E9" i="4"/>
  <c r="E16" i="1" s="1"/>
  <c r="E11" i="4"/>
  <c r="E13" i="4" s="1"/>
  <c r="E15" i="1"/>
  <c r="E31" i="4"/>
  <c r="E44" i="4"/>
  <c r="E25" i="4"/>
  <c r="F25" i="4" s="1"/>
  <c r="B24" i="5"/>
  <c r="D24" i="5" s="1"/>
  <c r="F29" i="4"/>
  <c r="F45" i="4" s="1"/>
  <c r="F23" i="4"/>
  <c r="F42" i="4" s="1"/>
  <c r="F8" i="4"/>
  <c r="F48" i="4"/>
  <c r="F50" i="4" s="1"/>
  <c r="F10" i="4"/>
  <c r="F40" i="4" s="1"/>
  <c r="F13" i="1"/>
  <c r="F28" i="4"/>
  <c r="F22" i="4"/>
  <c r="F41" i="4" s="1"/>
  <c r="F7" i="4"/>
  <c r="F14" i="1" s="1"/>
  <c r="F24" i="4"/>
  <c r="F43" i="4" s="1"/>
  <c r="G31" i="3"/>
  <c r="I24" i="3" l="1"/>
  <c r="G24" i="1"/>
  <c r="I30" i="3"/>
  <c r="F44" i="4"/>
  <c r="F31" i="4"/>
  <c r="H6" i="4"/>
  <c r="F27" i="1"/>
  <c r="H25" i="3"/>
  <c r="F9" i="4"/>
  <c r="F16" i="1" s="1"/>
  <c r="F15" i="1"/>
  <c r="F11" i="4"/>
  <c r="F13" i="4" s="1"/>
  <c r="E14" i="4"/>
  <c r="E15" i="4"/>
  <c r="G29" i="4"/>
  <c r="G45" i="4" s="1"/>
  <c r="B6" i="5"/>
  <c r="G23" i="4"/>
  <c r="G42" i="4" s="1"/>
  <c r="G8" i="4"/>
  <c r="B32" i="1"/>
  <c r="D32" i="1" s="1"/>
  <c r="G48" i="4"/>
  <c r="G50" i="4" s="1"/>
  <c r="G24" i="4"/>
  <c r="G43" i="4" s="1"/>
  <c r="G10" i="4"/>
  <c r="G40" i="4" s="1"/>
  <c r="B25" i="5"/>
  <c r="D25" i="5" s="1"/>
  <c r="G22" i="4"/>
  <c r="G41" i="4" s="1"/>
  <c r="G7" i="4"/>
  <c r="G14" i="1" s="1"/>
  <c r="G13" i="1"/>
  <c r="G28" i="4"/>
  <c r="G26" i="1"/>
  <c r="I31" i="3"/>
  <c r="F14" i="4" l="1"/>
  <c r="F15" i="4"/>
  <c r="F53" i="4"/>
  <c r="F54" i="4" s="1"/>
  <c r="E16" i="4"/>
  <c r="E32" i="4"/>
  <c r="E39" i="4"/>
  <c r="E46" i="4" s="1"/>
  <c r="E17" i="1"/>
  <c r="H23" i="4"/>
  <c r="H42" i="4" s="1"/>
  <c r="H8" i="4"/>
  <c r="H7" i="4"/>
  <c r="H14" i="1" s="1"/>
  <c r="H48" i="4"/>
  <c r="H50" i="4" s="1"/>
  <c r="H24" i="4"/>
  <c r="H43" i="4" s="1"/>
  <c r="H10" i="4"/>
  <c r="H40" i="4" s="1"/>
  <c r="H13" i="1"/>
  <c r="H28" i="4"/>
  <c r="H22" i="4"/>
  <c r="H41" i="4" s="1"/>
  <c r="H29" i="4"/>
  <c r="H45" i="4" s="1"/>
  <c r="G44" i="4"/>
  <c r="G31" i="4"/>
  <c r="G9" i="4"/>
  <c r="B26" i="5"/>
  <c r="D26" i="5" s="1"/>
  <c r="G15" i="1"/>
  <c r="B33" i="1"/>
  <c r="D33" i="1" s="1"/>
  <c r="B8" i="5"/>
  <c r="G4" i="1"/>
  <c r="G11" i="4"/>
  <c r="G13" i="4" s="1"/>
  <c r="G25" i="4"/>
  <c r="G27" i="1"/>
  <c r="I6" i="4"/>
  <c r="I25" i="3"/>
  <c r="I13" i="1" l="1"/>
  <c r="I48" i="4"/>
  <c r="I50" i="4" s="1"/>
  <c r="I24" i="4"/>
  <c r="I43" i="4" s="1"/>
  <c r="I10" i="4"/>
  <c r="I40" i="4" s="1"/>
  <c r="I28" i="4"/>
  <c r="I22" i="4"/>
  <c r="I41" i="4" s="1"/>
  <c r="I7" i="4"/>
  <c r="I14" i="1" s="1"/>
  <c r="I29" i="4"/>
  <c r="I45" i="4" s="1"/>
  <c r="I23" i="4"/>
  <c r="I42" i="4" s="1"/>
  <c r="I8" i="4"/>
  <c r="G53" i="4"/>
  <c r="G54" i="4" s="1"/>
  <c r="F16" i="4"/>
  <c r="F39" i="4"/>
  <c r="F46" i="4" s="1"/>
  <c r="F17" i="1"/>
  <c r="E57" i="4"/>
  <c r="E59" i="4" s="1"/>
  <c r="E61" i="4"/>
  <c r="E17" i="4"/>
  <c r="E18" i="1"/>
  <c r="H31" i="4"/>
  <c r="H44" i="4"/>
  <c r="F32" i="4"/>
  <c r="E33" i="4"/>
  <c r="B7" i="5"/>
  <c r="G16" i="1"/>
  <c r="B34" i="1"/>
  <c r="D34" i="1" s="1"/>
  <c r="H25" i="4"/>
  <c r="G14" i="4"/>
  <c r="G15" i="4" s="1"/>
  <c r="H9" i="4"/>
  <c r="H16" i="1" s="1"/>
  <c r="H11" i="4"/>
  <c r="H13" i="4" s="1"/>
  <c r="H15" i="1"/>
  <c r="B10" i="5"/>
  <c r="G16" i="4" l="1"/>
  <c r="G39" i="4"/>
  <c r="G46" i="4" s="1"/>
  <c r="H53" i="4"/>
  <c r="H54" i="4" s="1"/>
  <c r="G17" i="1"/>
  <c r="E21" i="4"/>
  <c r="E26" i="4" s="1"/>
  <c r="E34" i="4" s="1"/>
  <c r="F58" i="4"/>
  <c r="F59" i="4" s="1"/>
  <c r="I44" i="4"/>
  <c r="I31" i="4"/>
  <c r="H14" i="4"/>
  <c r="H15" i="4"/>
  <c r="F61" i="4"/>
  <c r="F57" i="4"/>
  <c r="F17" i="4"/>
  <c r="F18" i="1"/>
  <c r="I15" i="1"/>
  <c r="I11" i="4"/>
  <c r="I13" i="4" s="1"/>
  <c r="I9" i="4"/>
  <c r="I16" i="1" s="1"/>
  <c r="G32" i="4"/>
  <c r="F33" i="4"/>
  <c r="I25" i="4"/>
  <c r="E62" i="4"/>
  <c r="E19" i="1"/>
  <c r="I14" i="4" l="1"/>
  <c r="I15" i="4"/>
  <c r="G58" i="4"/>
  <c r="F21" i="4"/>
  <c r="F26" i="4" s="1"/>
  <c r="F34" i="4" s="1"/>
  <c r="F19" i="1"/>
  <c r="F62" i="4"/>
  <c r="H32" i="4"/>
  <c r="G33" i="4"/>
  <c r="G61" i="4"/>
  <c r="G57" i="4"/>
  <c r="H39" i="4"/>
  <c r="H46" i="4" s="1"/>
  <c r="H17" i="1"/>
  <c r="I53" i="4"/>
  <c r="I54" i="4" s="1"/>
  <c r="H16" i="4"/>
  <c r="G17" i="4"/>
  <c r="G18" i="1"/>
  <c r="H18" i="1" l="1"/>
  <c r="H17" i="4"/>
  <c r="I32" i="4"/>
  <c r="I33" i="4" s="1"/>
  <c r="H33" i="4"/>
  <c r="H61" i="4"/>
  <c r="H57" i="4"/>
  <c r="G59" i="4"/>
  <c r="I39" i="4"/>
  <c r="I46" i="4" s="1"/>
  <c r="I17" i="1"/>
  <c r="I16" i="4"/>
  <c r="G19" i="1"/>
  <c r="G62" i="4"/>
  <c r="I61" i="4" l="1"/>
  <c r="I57" i="4"/>
  <c r="I18" i="1"/>
  <c r="I17" i="4"/>
  <c r="H58" i="4"/>
  <c r="H59" i="4" s="1"/>
  <c r="G21" i="4"/>
  <c r="H62" i="4"/>
  <c r="H19" i="1"/>
  <c r="H21" i="4" l="1"/>
  <c r="H26" i="4" s="1"/>
  <c r="H34" i="4" s="1"/>
  <c r="I58" i="4"/>
  <c r="I59" i="4" s="1"/>
  <c r="I21" i="4" s="1"/>
  <c r="I26" i="4" s="1"/>
  <c r="I34" i="4" s="1"/>
  <c r="G26" i="4"/>
  <c r="G34" i="4" s="1"/>
  <c r="B12" i="5"/>
  <c r="B13" i="5" s="1"/>
  <c r="I19" i="1"/>
  <c r="I62" i="4"/>
  <c r="F35" i="5" l="1"/>
  <c r="F33" i="5"/>
  <c r="F31" i="5"/>
  <c r="C33" i="5"/>
  <c r="C34" i="5"/>
  <c r="F34" i="5"/>
  <c r="E33" i="5"/>
  <c r="D31" i="5"/>
  <c r="B34" i="5"/>
  <c r="B35" i="5"/>
  <c r="C32" i="5"/>
  <c r="C35" i="5"/>
  <c r="B33" i="5"/>
  <c r="B32" i="5"/>
  <c r="E31" i="5"/>
  <c r="E32" i="5"/>
  <c r="E34" i="5"/>
  <c r="B31" i="5"/>
  <c r="E35" i="5"/>
  <c r="D34" i="5"/>
  <c r="F32" i="5"/>
  <c r="D35" i="5"/>
  <c r="D33" i="5"/>
  <c r="C31" i="5"/>
  <c r="D32" i="5"/>
  <c r="B14" i="5"/>
  <c r="B16" i="5" s="1"/>
  <c r="C4" i="1" l="1"/>
  <c r="B18" i="5"/>
  <c r="E4" i="1" s="1"/>
</calcChain>
</file>

<file path=xl/sharedStrings.xml><?xml version="1.0" encoding="utf-8"?>
<sst xmlns="http://schemas.openxmlformats.org/spreadsheetml/2006/main" count="277" uniqueCount="219">
  <si>
    <t>VAT GROUP AG — MODEL SUMMARY</t>
  </si>
  <si>
    <t>Simple three-statement support model | 2023A–2025A reported | 2026E–2030E analyst estimates | CHF m unless stated</t>
  </si>
  <si>
    <t>REFERENCE PRICE</t>
  </si>
  <si>
    <t>TARGET PRICE</t>
  </si>
  <si>
    <t>UPSIDE</t>
  </si>
  <si>
    <t>FY28 EBITDA</t>
  </si>
  <si>
    <t>MODEL TAKEAWAY</t>
  </si>
  <si>
    <t>VAT is modeled as a backlog-conversion and WFE-outgrowth story, not a simple top-down growth rate. FY28 sales reach ~CHF2.05bn and EBITDA ~CHF759m at a 37% margin; 31.4x FY28 EV/EBITDA implies ~CHF800/share.</t>
  </si>
  <si>
    <t>KEY FINANCIALS</t>
  </si>
  <si>
    <t>CHF m except EPS</t>
  </si>
  <si>
    <t>2023A</t>
  </si>
  <si>
    <t>2024A</t>
  </si>
  <si>
    <t>2025A</t>
  </si>
  <si>
    <t>2026E</t>
  </si>
  <si>
    <t>2027E</t>
  </si>
  <si>
    <t>2028E</t>
  </si>
  <si>
    <t>2029E</t>
  </si>
  <si>
    <t>2030E</t>
  </si>
  <si>
    <t>Net sales</t>
  </si>
  <si>
    <t>YoY growth</t>
  </si>
  <si>
    <t>EBITDA</t>
  </si>
  <si>
    <t>EBITDA margin</t>
  </si>
  <si>
    <t>Net income</t>
  </si>
  <si>
    <t>Diluted EPS (CHF)</t>
  </si>
  <si>
    <t>Free cash flow</t>
  </si>
  <si>
    <t>REVENUE BUILD — BUSINESS UNIT MIX</t>
  </si>
  <si>
    <t>CHF m</t>
  </si>
  <si>
    <t>Semiconductors</t>
  </si>
  <si>
    <t>Advanced Industrials</t>
  </si>
  <si>
    <t>Global Service</t>
  </si>
  <si>
    <t>Group net sales</t>
  </si>
  <si>
    <t>FY28 VARIANT VS CONSENSUS</t>
  </si>
  <si>
    <t>Metric</t>
  </si>
  <si>
    <t>Model</t>
  </si>
  <si>
    <t>Consensus</t>
  </si>
  <si>
    <t>Difference</t>
  </si>
  <si>
    <t>FY28 revenue</t>
  </si>
  <si>
    <t>FY28 EBITDA margin</t>
  </si>
  <si>
    <t>KEY CHECKS</t>
  </si>
  <si>
    <t>✓ Forecast balance sheet check is zero.</t>
  </si>
  <si>
    <t>✓ Revenue is built by Semiconductors, Advanced Industrials and Global Service; Semis is explicitly driven by WFE, structural outgrowth and backlog/capacity conversion.</t>
  </si>
  <si>
    <t>! FY28 37% EBITDA margin is the top end of VAT's medium-term corridor and is the key profitability assumption.</t>
  </si>
  <si>
    <t>! 2029–2030 WFE values are analyst assumptions, not company guidance or SEMI forecasts.</t>
  </si>
  <si>
    <t>VAT GROUP AG — ASSUMPTIONS &amp; SOURCES</t>
  </si>
  <si>
    <t>Blue font = hardcoded input | Green = same-workbook link | Yellow = key forecast assumption | Forecasts are analyst estimates unless stated.</t>
  </si>
  <si>
    <t>MARKET / OPERATING ASSUMPTIONS</t>
  </si>
  <si>
    <t>CHF m unless stated</t>
  </si>
  <si>
    <t>WFE (US$bn)</t>
  </si>
  <si>
    <t>WFE growth</t>
  </si>
  <si>
    <t>Semis WFE sensitivity</t>
  </si>
  <si>
    <t>Vacuum intensity / share / content outgrowth</t>
  </si>
  <si>
    <t>Backlog / capacity conversion uplift</t>
  </si>
  <si>
    <t>Advanced Industrials growth</t>
  </si>
  <si>
    <t>Service installed-base contribution</t>
  </si>
  <si>
    <t>Service utilization / retrofit contribution</t>
  </si>
  <si>
    <t>D&amp;A as % of sales</t>
  </si>
  <si>
    <t>DSO (days)</t>
  </si>
  <si>
    <t>Inventory days</t>
  </si>
  <si>
    <t>Payables days</t>
  </si>
  <si>
    <t>Other assets as % sales</t>
  </si>
  <si>
    <t>Other liabilities as % sales</t>
  </si>
  <si>
    <t>Capex as % sales</t>
  </si>
  <si>
    <t>Gross debt balance (CHF m)</t>
  </si>
  <si>
    <t>Acquisition cash spend (CHF m)</t>
  </si>
  <si>
    <t>Interest rate on average debt</t>
  </si>
  <si>
    <t>Tax rate</t>
  </si>
  <si>
    <t>Dividend payout (% prior-year NI)</t>
  </si>
  <si>
    <t>Diluted shares (m)</t>
  </si>
  <si>
    <t>2026 dividend cash paid (CHF m)</t>
  </si>
  <si>
    <t>FY28 target EV / EBITDA</t>
  </si>
  <si>
    <t>CURRENT SETUP / EXTERNAL BENCHMARKS</t>
  </si>
  <si>
    <t>H1 2026 order intake</t>
  </si>
  <si>
    <t>H1 2026 is a checkpoint, not annualized mechanically. VAT says the 2027 CHF1.5–1.7bn sales target is under review after WFE expectations rose sharply.</t>
  </si>
  <si>
    <t>H1 2026 backlog</t>
  </si>
  <si>
    <t>H1 2026 sales</t>
  </si>
  <si>
    <t>H1 2026 EBITDA</t>
  </si>
  <si>
    <t>H1 2026 EBITDA margin</t>
  </si>
  <si>
    <t>Jun-26 factory run-rate / quarter</t>
  </si>
  <si>
    <t>YE26 factory run-rate target / quarter</t>
  </si>
  <si>
    <t>H1 2026 net debt</t>
  </si>
  <si>
    <t>Atonarp transaction consideration</t>
  </si>
  <si>
    <t>Consensus revenue</t>
  </si>
  <si>
    <t>Consensus EBITDA</t>
  </si>
  <si>
    <t>Company 2027 sales target — low</t>
  </si>
  <si>
    <t>Company 2027 sales target — high</t>
  </si>
  <si>
    <t>Reference share price (28 Jul 2026)</t>
  </si>
  <si>
    <t>SOURCE REGISTER</t>
  </si>
  <si>
    <t>Source</t>
  </si>
  <si>
    <t>Date / period</t>
  </si>
  <si>
    <t>What it supports</t>
  </si>
  <si>
    <t>URL / file</t>
  </si>
  <si>
    <t>VAT Group Annual Report 2025</t>
  </si>
  <si>
    <t>FY2025 / FY2024</t>
  </si>
  <si>
    <t>Income statement, balance sheet, cash flow, segment sales, capex</t>
  </si>
  <si>
    <t>https://www.vatgroup.com/investor-relations/financial-reports</t>
  </si>
  <si>
    <t>VAT Group Annual Report 2024</t>
  </si>
  <si>
    <t>FY2024 / FY2023</t>
  </si>
  <si>
    <t>FY2023 comparatives, balance sheet, cash flow, segment sales</t>
  </si>
  <si>
    <t>VAT Group H1 2026 Report</t>
  </si>
  <si>
    <t>H1 2026</t>
  </si>
  <si>
    <t>Orders, backlog, sales, margin, run-rate, net debt and outlook</t>
  </si>
  <si>
    <t>https://www.vatgroup.com/investor-relations/half-year-report/letter-to-stakeholders</t>
  </si>
  <si>
    <t>VAT Group Capital Markets Day 2025</t>
  </si>
  <si>
    <t>2025–2029 targets</t>
  </si>
  <si>
    <t>2027 sales target; 30–37% EBITDA margin; ~5% capex; FCF conversion</t>
  </si>
  <si>
    <t>https://www.vatgroup.com/news/kapitalmarkttag-2025-der-vat-group</t>
  </si>
  <si>
    <t>SEMI Mid-Year Equipment Forecast</t>
  </si>
  <si>
    <t>14 Jul 2026</t>
  </si>
  <si>
    <t>WFE: US$116.9bn 2025A; US$143.9bn 2026E; +21.8% 2027; +14.1% 2028</t>
  </si>
  <si>
    <t>https://www.semi.org/en/taxonomy/term/45726</t>
  </si>
  <si>
    <t>MarketScreener consensus snapshot</t>
  </si>
  <si>
    <t>Jul/Aug 2026</t>
  </si>
  <si>
    <t>2026–2028 revenue and EBITDA consensus benchmark</t>
  </si>
  <si>
    <t>https://www.marketscreener.com/quote/stock/VAT-GROUP-AG-27114105/finances/</t>
  </si>
  <si>
    <t>Investing.com VACN historical data</t>
  </si>
  <si>
    <t>28 Jul 2026</t>
  </si>
  <si>
    <t>Reference price CHF611.4</t>
  </si>
  <si>
    <t>https://www.investing.com/equities/vat-group-ag-historical-data</t>
  </si>
  <si>
    <t>VAT Group: Semiconductor Industry 101</t>
  </si>
  <si>
    <t>User file</t>
  </si>
  <si>
    <t>Conceptual revenue equation and semiconductor / vacuum framework</t>
  </si>
  <si>
    <t>VAT 101(1).docx</t>
  </si>
  <si>
    <t>VAT GROUP AG — REVENUE BUILD</t>
  </si>
  <si>
    <t>Business-unit forecast. Semiconductors = WFE contribution + structural vacuum/share/content outgrowth + backlog/capacity conversion; Service = installed base + utilization / retrofit.</t>
  </si>
  <si>
    <t>SEMICONDUCTORS — DRIVER-BASED BUILD</t>
  </si>
  <si>
    <t>WFE sensitivity</t>
  </si>
  <si>
    <t>WFE contribution to VAT growth</t>
  </si>
  <si>
    <t>Semiconductors growth</t>
  </si>
  <si>
    <t>Semiconductors revenue</t>
  </si>
  <si>
    <t>Advanced Industrials revenue</t>
  </si>
  <si>
    <t>Global Service growth</t>
  </si>
  <si>
    <t>Global Service revenue</t>
  </si>
  <si>
    <t>Rounding / reconciliation</t>
  </si>
  <si>
    <t>GROUP NET SALES</t>
  </si>
  <si>
    <t>Consensus net sales</t>
  </si>
  <si>
    <t>Premium / (discount) to consensus</t>
  </si>
  <si>
    <t>Semiconductors mix</t>
  </si>
  <si>
    <t>Global Service mix</t>
  </si>
  <si>
    <t>MODEL READ-THROUGH</t>
  </si>
  <si>
    <t>Model output</t>
  </si>
  <si>
    <t>Interpretation</t>
  </si>
  <si>
    <t>2025–28 sales CAGR</t>
  </si>
  <si>
    <t>WFE + structural vacuum/share/content + backlog conversion</t>
  </si>
  <si>
    <t>FY28 sales vs consensus</t>
  </si>
  <si>
    <t>Deliberate earnings variant, not a pure multiple call</t>
  </si>
  <si>
    <t>Top of VAT's stated 30–37% corridor</t>
  </si>
  <si>
    <t>FY28 group sales</t>
  </si>
  <si>
    <t>~CHF2.05bn supports the CHF800 framework</t>
  </si>
  <si>
    <t>VAT GROUP AG — SIMPLE 3-STATEMENT MODEL</t>
  </si>
  <si>
    <t>CHF m except per-share data. 2023A–2025A reported; 2026E–2030E analyst estimates. Revenue is linked to the driver-based Revenue Build.</t>
  </si>
  <si>
    <t>INCOME STATEMENT</t>
  </si>
  <si>
    <t>D&amp;A</t>
  </si>
  <si>
    <t>EBIT</t>
  </si>
  <si>
    <t>Net finance result</t>
  </si>
  <si>
    <t>Earnings before tax</t>
  </si>
  <si>
    <t>Income tax</t>
  </si>
  <si>
    <t>EPS growth</t>
  </si>
  <si>
    <t>BALANCE SHEET</t>
  </si>
  <si>
    <t>Cash &amp; cash equivalents</t>
  </si>
  <si>
    <t>Trade &amp; other receivables</t>
  </si>
  <si>
    <t>Inventories</t>
  </si>
  <si>
    <t>Other assets</t>
  </si>
  <si>
    <t>Fixed &amp; intangible assets</t>
  </si>
  <si>
    <t>Total assets</t>
  </si>
  <si>
    <t>Trade &amp; other payables</t>
  </si>
  <si>
    <t>Other liabilities</t>
  </si>
  <si>
    <t>Gross debt / lease liabilities</t>
  </si>
  <si>
    <t>Total liabilities</t>
  </si>
  <si>
    <t>Shareholders' equity</t>
  </si>
  <si>
    <t>Total liabilities &amp; equity</t>
  </si>
  <si>
    <t>BALANCE CHECK</t>
  </si>
  <si>
    <t>CASH FLOW STATEMENT</t>
  </si>
  <si>
    <t>D&amp;A add-back</t>
  </si>
  <si>
    <t>Change in receivables</t>
  </si>
  <si>
    <t>Change in inventories</t>
  </si>
  <si>
    <t>Change in other assets</t>
  </si>
  <si>
    <t>Change in trade payables</t>
  </si>
  <si>
    <t>Change in other liabilities</t>
  </si>
  <si>
    <t>Cash flow from operations</t>
  </si>
  <si>
    <t>Capital expenditure</t>
  </si>
  <si>
    <t>Acquisitions / other investing</t>
  </si>
  <si>
    <t>Cash flow from investing</t>
  </si>
  <si>
    <t>Debt issued / (repaid)</t>
  </si>
  <si>
    <t>Dividends / other financing</t>
  </si>
  <si>
    <t>Cash flow from financing</t>
  </si>
  <si>
    <t>FX / other cash movements</t>
  </si>
  <si>
    <t>Net increase / (decrease) before FX</t>
  </si>
  <si>
    <t>Beginning cash</t>
  </si>
  <si>
    <t>Ending cash</t>
  </si>
  <si>
    <t>FCF / EBITDA</t>
  </si>
  <si>
    <t>VAT GROUP AG — VALUATION</t>
  </si>
  <si>
    <t>FY28 EV/EBITDA framework. Target price is formula-driven from the operating model; FY28 revenue and EBITDA are analyst estimates.</t>
  </si>
  <si>
    <t>TARGET PRICE BRIDGE</t>
  </si>
  <si>
    <t>Base case</t>
  </si>
  <si>
    <t>FY28E revenue (CHF m)</t>
  </si>
  <si>
    <t>FY28E EBITDA margin</t>
  </si>
  <si>
    <t>FY28E EBITDA (CHF m)</t>
  </si>
  <si>
    <t>Target EV / EBITDA</t>
  </si>
  <si>
    <t>Target enterprise value (CHF m)</t>
  </si>
  <si>
    <t>FY28E gross debt (CHF m)</t>
  </si>
  <si>
    <t>FY28E cash (CHF m)</t>
  </si>
  <si>
    <t>FY28E net debt / (cash) (CHF m)</t>
  </si>
  <si>
    <t>Target equity value (CHF m)</t>
  </si>
  <si>
    <t>Target price (CHF/share)</t>
  </si>
  <si>
    <t>Reference price (CHF/share)</t>
  </si>
  <si>
    <t>Upside / (downside)</t>
  </si>
  <si>
    <t>MODEL VS CONSENSUS</t>
  </si>
  <si>
    <t>Premium / (discount)</t>
  </si>
  <si>
    <t>FY26E revenue</t>
  </si>
  <si>
    <t>FY27E revenue</t>
  </si>
  <si>
    <t>FY28E revenue</t>
  </si>
  <si>
    <t>FY28E EBITDA</t>
  </si>
  <si>
    <t>TARGET PRICE SENSITIVITY — FY28 EBITDA × EV/EBITDA</t>
  </si>
  <si>
    <t>FY28 EBITDA vs base</t>
  </si>
  <si>
    <t>VALUATION READ-THROUGH</t>
  </si>
  <si>
    <t>The CHF800 target requires FY28 EBITDA of ~CHF759m and a 31.4x FY28 EV/EBITDA multiple.</t>
  </si>
  <si>
    <t>Our FY28 EBITDA sits above the selected consensus snapshot because the model assumes stronger backlog conversion and structural outgrowth versus WFE.</t>
  </si>
  <si>
    <t>FY28 EBITDA margin of 37% is the top end of VAT's stated 30–37% medium-term corridor; this is an analyst assumption, not FY28 company guidance.</t>
  </si>
  <si>
    <t>The CHF110m Atonarp acquisition cash outflow is modeled in FY26; no separate Atonarp revenue contribution is included because it is not publicly disclosed.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</si>
</sst>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;[Red]\(#,##0.0\);\-"/>
    <numFmt numFmtId="165" formatCode="0.0%;[Red]\(0.0%\);\-"/>
    <numFmt numFmtId="166" formatCode="0.0\x"/>
    <numFmt numFmtId="167" formatCode="0.00;[Red]\(0.00\);\-"/>
    <numFmt numFmtId="168" formatCode="0.0"/>
    <numFmt numFmtId="169" formatCode="0.0%"/>
    <numFmt numFmtId="170" formatCode="#,##0.0"/>
  </numFmts>
  <fonts count="21">
    <font>
      <sz val="11"/>
      <name val="Carlito"/>
    </font>
    <font>
      <sz val="9"/>
      <color rgb="FF000000"/>
      <name val="Arial"/>
      <family val="2"/>
    </font>
    <font>
      <b/>
      <sz val="14"/>
      <color rgb="FFFFFFFF"/>
      <name val="Arial"/>
      <family val="2"/>
    </font>
    <font>
      <i/>
      <sz val="9"/>
      <color rgb="FF555555"/>
      <name val="Arial"/>
      <family val="2"/>
    </font>
    <font>
      <b/>
      <sz val="10"/>
      <color rgb="FFFFFFFF"/>
      <name val="Arial"/>
      <family val="2"/>
    </font>
    <font>
      <b/>
      <sz val="9"/>
      <color rgb="FF17365D"/>
      <name val="Arial"/>
      <family val="2"/>
    </font>
    <font>
      <sz val="9"/>
      <color rgb="FF0000FF"/>
      <name val="Arial"/>
      <family val="2"/>
    </font>
    <font>
      <i/>
      <sz val="8"/>
      <color rgb="FF555555"/>
      <name val="Arial"/>
      <family val="2"/>
    </font>
    <font>
      <b/>
      <sz val="8"/>
      <color rgb="FF17365D"/>
      <name val="Arial"/>
      <family val="2"/>
    </font>
    <font>
      <sz val="8"/>
      <color rgb="FF23272A"/>
      <name val="Arial"/>
      <family val="2"/>
    </font>
    <font>
      <sz val="8"/>
      <color rgb="FF0000FF"/>
      <name val="Arial"/>
      <family val="2"/>
    </font>
    <font>
      <sz val="9"/>
      <color rgb="FF008000"/>
      <name val="Arial"/>
      <family val="2"/>
    </font>
    <font>
      <b/>
      <sz val="9"/>
      <color rgb="FF000000"/>
      <name val="Arial"/>
      <family val="2"/>
    </font>
    <font>
      <b/>
      <sz val="9"/>
      <color rgb="FF0000FF"/>
      <name val="Arial"/>
      <family val="2"/>
    </font>
    <font>
      <i/>
      <sz val="8"/>
      <color rgb="FF7F7F7F"/>
      <name val="Arial"/>
      <family val="2"/>
    </font>
    <font>
      <b/>
      <sz val="8"/>
      <color rgb="FF0000FF"/>
      <name val="Arial"/>
      <family val="2"/>
    </font>
    <font>
      <sz val="8"/>
      <color rgb="FF000000"/>
      <name val="Arial"/>
      <family val="2"/>
    </font>
    <font>
      <sz val="8"/>
      <color rgb="FF4F4F4F"/>
      <name val="Arial"/>
      <family val="2"/>
    </font>
    <font>
      <b/>
      <sz val="8"/>
      <color rgb="FFFFFFFF"/>
      <name val="Arial"/>
      <family val="2"/>
    </font>
    <font>
      <b/>
      <sz val="14"/>
      <color rgb="FF008000"/>
      <name val="Arial"/>
      <family val="2"/>
    </font>
    <font>
      <sz val="9"/>
      <color rgb="FF23272A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C6E0B4"/>
      </patternFill>
    </fill>
    <fill>
      <patternFill patternType="solid">
        <fgColor rgb="FFE2F0D9"/>
      </patternFill>
    </fill>
    <fill>
      <patternFill patternType="solid">
        <fgColor rgb="FFEAF5FB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5" fillId="3" borderId="0" xfId="0" applyFont="1" applyFill="1"/>
    <xf numFmtId="0" fontId="5" fillId="3" borderId="0" xfId="0" applyFont="1" applyFill="1" applyAlignment="1">
      <alignment horizontal="right"/>
    </xf>
    <xf numFmtId="0" fontId="5" fillId="3" borderId="0" xfId="0" applyFont="1" applyFill="1" applyAlignment="1">
      <alignment horizontal="left"/>
    </xf>
    <xf numFmtId="164" fontId="1" fillId="0" borderId="0" xfId="0" applyNumberFormat="1" applyFont="1"/>
    <xf numFmtId="165" fontId="1" fillId="0" borderId="0" xfId="0" applyNumberFormat="1" applyFont="1"/>
    <xf numFmtId="164" fontId="6" fillId="0" borderId="0" xfId="0" applyNumberFormat="1" applyFont="1"/>
    <xf numFmtId="165" fontId="6" fillId="0" borderId="0" xfId="0" applyNumberFormat="1" applyFont="1"/>
    <xf numFmtId="1" fontId="6" fillId="0" borderId="0" xfId="0" applyNumberFormat="1" applyFont="1"/>
    <xf numFmtId="165" fontId="6" fillId="4" borderId="0" xfId="0" applyNumberFormat="1" applyFont="1" applyFill="1"/>
    <xf numFmtId="1" fontId="6" fillId="4" borderId="0" xfId="0" applyNumberFormat="1" applyFont="1" applyFill="1"/>
    <xf numFmtId="164" fontId="6" fillId="4" borderId="0" xfId="0" applyNumberFormat="1" applyFont="1" applyFill="1"/>
    <xf numFmtId="166" fontId="6" fillId="4" borderId="0" xfId="0" applyNumberFormat="1" applyFont="1" applyFill="1"/>
    <xf numFmtId="0" fontId="8" fillId="3" borderId="0" xfId="0" applyFont="1" applyFill="1"/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164" fontId="11" fillId="0" borderId="0" xfId="0" applyNumberFormat="1" applyFont="1"/>
    <xf numFmtId="165" fontId="11" fillId="0" borderId="0" xfId="0" applyNumberFormat="1" applyFont="1"/>
    <xf numFmtId="0" fontId="11" fillId="0" borderId="0" xfId="0" applyFont="1"/>
    <xf numFmtId="0" fontId="12" fillId="0" borderId="1" xfId="0" applyFont="1" applyBorder="1"/>
    <xf numFmtId="164" fontId="12" fillId="0" borderId="1" xfId="0" applyNumberFormat="1" applyFont="1" applyBorder="1"/>
    <xf numFmtId="0" fontId="5" fillId="5" borderId="0" xfId="0" applyFont="1" applyFill="1" applyAlignment="1">
      <alignment horizontal="right"/>
    </xf>
    <xf numFmtId="167" fontId="6" fillId="0" borderId="0" xfId="0" applyNumberFormat="1" applyFont="1"/>
    <xf numFmtId="167" fontId="11" fillId="0" borderId="0" xfId="0" applyNumberFormat="1" applyFont="1"/>
    <xf numFmtId="0" fontId="14" fillId="0" borderId="0" xfId="0" applyFont="1"/>
    <xf numFmtId="0" fontId="8" fillId="6" borderId="0" xfId="0" applyFont="1" applyFill="1"/>
    <xf numFmtId="164" fontId="8" fillId="6" borderId="0" xfId="0" applyNumberFormat="1" applyFont="1" applyFill="1"/>
    <xf numFmtId="166" fontId="11" fillId="0" borderId="0" xfId="0" applyNumberFormat="1" applyFont="1"/>
    <xf numFmtId="0" fontId="12" fillId="6" borderId="1" xfId="0" applyFont="1" applyFill="1" applyBorder="1"/>
    <xf numFmtId="165" fontId="10" fillId="4" borderId="0" xfId="0" applyNumberFormat="1" applyFont="1" applyFill="1"/>
    <xf numFmtId="166" fontId="15" fillId="4" borderId="0" xfId="0" applyNumberFormat="1" applyFont="1" applyFill="1"/>
    <xf numFmtId="0" fontId="16" fillId="0" borderId="0" xfId="0" applyFont="1"/>
    <xf numFmtId="0" fontId="2" fillId="2" borderId="0" xfId="0" applyFont="1" applyFill="1" applyAlignment="1">
      <alignment horizontal="left" vertical="center"/>
    </xf>
    <xf numFmtId="0" fontId="3" fillId="0" borderId="0" xfId="0" applyFont="1"/>
    <xf numFmtId="0" fontId="18" fillId="2" borderId="0" xfId="0" applyFont="1" applyFill="1" applyAlignment="1">
      <alignment horizontal="center"/>
    </xf>
    <xf numFmtId="168" fontId="19" fillId="7" borderId="0" xfId="0" applyNumberFormat="1" applyFont="1" applyFill="1" applyAlignment="1">
      <alignment horizontal="center" vertical="center"/>
    </xf>
    <xf numFmtId="169" fontId="19" fillId="7" borderId="0" xfId="0" applyNumberFormat="1" applyFont="1" applyFill="1" applyAlignment="1">
      <alignment horizontal="center" vertical="center"/>
    </xf>
    <xf numFmtId="170" fontId="19" fillId="7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20" fillId="0" borderId="0" xfId="0" applyFont="1" applyAlignment="1">
      <alignment wrapText="1"/>
    </xf>
    <xf numFmtId="0" fontId="17" fillId="0" borderId="0" xfId="0" applyFont="1" applyAlignment="1">
      <alignment wrapText="1"/>
    </xf>
    <xf numFmtId="164" fontId="7" fillId="0" borderId="0" xfId="0" applyNumberFormat="1" applyFont="1" applyAlignment="1">
      <alignment wrapText="1"/>
    </xf>
    <xf numFmtId="0" fontId="7" fillId="0" borderId="0" xfId="0" applyFont="1" applyAlignment="1">
      <alignment wrapText="1"/>
    </xf>
    <xf numFmtId="164" fontId="13" fillId="2" borderId="0" xfId="0" applyNumberFormat="1" applyFont="1" applyFill="1" applyAlignment="1">
      <alignment horizontal="left" vertical="center"/>
    </xf>
    <xf numFmtId="164" fontId="12" fillId="2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"/>
  <sheetViews>
    <sheetView workbookViewId="0">
      <selection sqref="A1:I1"/>
    </sheetView>
  </sheetViews>
  <sheetFormatPr baseColWidth="10" defaultColWidth="8.83203125" defaultRowHeight="14"/>
  <cols>
    <col min="1" max="1" width="28" customWidth="1"/>
    <col min="2" max="9" width="13" customWidth="1"/>
  </cols>
  <sheetData>
    <row r="1" spans="1:9" ht="34.75" customHeight="1">
      <c r="A1" s="33" t="s">
        <v>0</v>
      </c>
      <c r="B1" s="33"/>
      <c r="C1" s="33"/>
      <c r="D1" s="33"/>
      <c r="E1" s="33"/>
      <c r="F1" s="33"/>
      <c r="G1" s="33"/>
      <c r="H1" s="33"/>
      <c r="I1" s="33"/>
    </row>
    <row r="2" spans="1:9" ht="26.75" customHeight="1">
      <c r="A2" s="34" t="s">
        <v>1</v>
      </c>
      <c r="B2" s="34"/>
      <c r="C2" s="34"/>
      <c r="D2" s="34"/>
      <c r="E2" s="34"/>
      <c r="F2" s="34"/>
      <c r="G2" s="34"/>
      <c r="H2" s="34"/>
      <c r="I2" s="34"/>
    </row>
    <row r="3" spans="1:9">
      <c r="A3" s="35" t="s">
        <v>2</v>
      </c>
      <c r="B3" s="35"/>
      <c r="C3" s="35" t="s">
        <v>3</v>
      </c>
      <c r="D3" s="35"/>
      <c r="E3" s="35" t="s">
        <v>4</v>
      </c>
      <c r="F3" s="35"/>
      <c r="G3" s="35" t="s">
        <v>5</v>
      </c>
      <c r="H3" s="35"/>
      <c r="I3" s="1"/>
    </row>
    <row r="4" spans="1:9" ht="29.25" customHeight="1">
      <c r="A4" s="36">
        <f>'Assumptions &amp; Sources'!E45</f>
        <v>611.4</v>
      </c>
      <c r="B4" s="36"/>
      <c r="C4" s="36">
        <f>Valuation!B16</f>
        <v>800.0476441800713</v>
      </c>
      <c r="D4" s="36"/>
      <c r="E4" s="37">
        <f>Valuation!B18</f>
        <v>0.30855028488726099</v>
      </c>
      <c r="F4" s="37"/>
      <c r="G4" s="38">
        <f>'3-Statement'!G8</f>
        <v>758.5823640841777</v>
      </c>
      <c r="H4" s="38"/>
      <c r="I4" s="1"/>
    </row>
    <row r="5" spans="1:9" ht="29.25" customHeight="1">
      <c r="A5" s="36"/>
      <c r="B5" s="36"/>
      <c r="C5" s="36"/>
      <c r="D5" s="36"/>
      <c r="E5" s="37"/>
      <c r="F5" s="37"/>
      <c r="G5" s="38"/>
      <c r="H5" s="38"/>
      <c r="I5" s="1"/>
    </row>
    <row r="6" spans="1:9" ht="29.25" customHeight="1">
      <c r="A6" s="36"/>
      <c r="B6" s="36"/>
      <c r="C6" s="36"/>
      <c r="D6" s="36"/>
      <c r="E6" s="37"/>
      <c r="F6" s="37"/>
      <c r="G6" s="38"/>
      <c r="H6" s="38"/>
      <c r="I6" s="1"/>
    </row>
    <row r="7" spans="1:9">
      <c r="A7" s="1"/>
      <c r="B7" s="1"/>
      <c r="C7" s="1"/>
      <c r="D7" s="1"/>
      <c r="E7" s="1"/>
      <c r="F7" s="1"/>
      <c r="G7" s="1"/>
      <c r="H7" s="1"/>
      <c r="I7" s="1"/>
    </row>
    <row r="8" spans="1:9" ht="25.25" customHeight="1">
      <c r="A8" s="39" t="s">
        <v>6</v>
      </c>
      <c r="B8" s="39"/>
      <c r="C8" s="39"/>
      <c r="D8" s="39"/>
      <c r="E8" s="39"/>
      <c r="F8" s="39"/>
      <c r="G8" s="39"/>
      <c r="H8" s="39"/>
      <c r="I8" s="39"/>
    </row>
    <row r="9" spans="1:9" ht="45.25" customHeight="1">
      <c r="A9" s="40" t="s">
        <v>7</v>
      </c>
      <c r="B9" s="40"/>
      <c r="C9" s="40"/>
      <c r="D9" s="40"/>
      <c r="E9" s="40"/>
      <c r="F9" s="40"/>
      <c r="G9" s="40"/>
      <c r="H9" s="40"/>
      <c r="I9" s="40"/>
    </row>
    <row r="10" spans="1:9">
      <c r="A10" s="1"/>
      <c r="B10" s="1"/>
      <c r="C10" s="1"/>
      <c r="D10" s="1"/>
      <c r="E10" s="1"/>
      <c r="F10" s="1"/>
      <c r="G10" s="1"/>
      <c r="H10" s="1"/>
      <c r="I10" s="1"/>
    </row>
    <row r="11" spans="1:9" ht="25.25" customHeight="1">
      <c r="A11" s="39" t="s">
        <v>8</v>
      </c>
      <c r="B11" s="39"/>
      <c r="C11" s="39"/>
      <c r="D11" s="39"/>
      <c r="E11" s="39"/>
      <c r="F11" s="39"/>
      <c r="G11" s="39"/>
      <c r="H11" s="39"/>
      <c r="I11" s="39"/>
    </row>
    <row r="12" spans="1:9">
      <c r="A12" s="4" t="s">
        <v>9</v>
      </c>
      <c r="B12" s="3" t="s">
        <v>10</v>
      </c>
      <c r="C12" s="3" t="s">
        <v>11</v>
      </c>
      <c r="D12" s="3" t="s">
        <v>12</v>
      </c>
      <c r="E12" s="22" t="s">
        <v>13</v>
      </c>
      <c r="F12" s="22" t="s">
        <v>14</v>
      </c>
      <c r="G12" s="22" t="s">
        <v>15</v>
      </c>
      <c r="H12" s="22" t="s">
        <v>16</v>
      </c>
      <c r="I12" s="22" t="s">
        <v>17</v>
      </c>
    </row>
    <row r="13" spans="1:9">
      <c r="A13" s="1" t="s">
        <v>18</v>
      </c>
      <c r="B13" s="17">
        <f>'3-Statement'!B6</f>
        <v>885.31600000000003</v>
      </c>
      <c r="C13" s="17">
        <f>'3-Statement'!C6</f>
        <v>942.2</v>
      </c>
      <c r="D13" s="17">
        <f>'3-Statement'!D6</f>
        <v>1073.5160000000001</v>
      </c>
      <c r="E13" s="17">
        <f>'3-Statement'!E6</f>
        <v>1309.4885742686056</v>
      </c>
      <c r="F13" s="17">
        <f>'3-Statement'!F6</f>
        <v>1714.1898394452187</v>
      </c>
      <c r="G13" s="17">
        <f>'3-Statement'!G6</f>
        <v>2050.2226056329127</v>
      </c>
      <c r="H13" s="17">
        <f>'3-Statement'!H6</f>
        <v>2256.0830910672798</v>
      </c>
      <c r="I13" s="17">
        <f>'3-Statement'!I6</f>
        <v>2293.2391787493116</v>
      </c>
    </row>
    <row r="14" spans="1:9">
      <c r="A14" s="1" t="s">
        <v>19</v>
      </c>
      <c r="B14" s="18">
        <f>'3-Statement'!B7</f>
        <v>0</v>
      </c>
      <c r="C14" s="18">
        <f>'3-Statement'!C7</f>
        <v>6.4252763984837147E-2</v>
      </c>
      <c r="D14" s="18">
        <f>'3-Statement'!D7</f>
        <v>0.1393716832944174</v>
      </c>
      <c r="E14" s="18">
        <f>'3-Statement'!E7</f>
        <v>0.21981281533633923</v>
      </c>
      <c r="F14" s="18">
        <f>'3-Statement'!F7</f>
        <v>0.30905291816131553</v>
      </c>
      <c r="G14" s="18">
        <f>'3-Statement'!G7</f>
        <v>0.19603007698169983</v>
      </c>
      <c r="H14" s="18">
        <f>'3-Statement'!H7</f>
        <v>0.10040884578521991</v>
      </c>
      <c r="I14" s="18">
        <f>'3-Statement'!I7</f>
        <v>1.6469290439322659E-2</v>
      </c>
    </row>
    <row r="15" spans="1:9">
      <c r="A15" s="20" t="s">
        <v>20</v>
      </c>
      <c r="B15" s="21">
        <f>'3-Statement'!B8</f>
        <v>270.911</v>
      </c>
      <c r="C15" s="21">
        <f>'3-Statement'!C8</f>
        <v>293.666</v>
      </c>
      <c r="D15" s="21">
        <f>'3-Statement'!D8</f>
        <v>321.577</v>
      </c>
      <c r="E15" s="21">
        <f>'3-Statement'!E8</f>
        <v>432.13122950863988</v>
      </c>
      <c r="F15" s="21">
        <f>'3-Statement'!F8</f>
        <v>608.53739300305256</v>
      </c>
      <c r="G15" s="21">
        <f>'3-Statement'!G8</f>
        <v>758.5823640841777</v>
      </c>
      <c r="H15" s="21">
        <f>'3-Statement'!H8</f>
        <v>834.75074369489357</v>
      </c>
      <c r="I15" s="21">
        <f>'3-Statement'!I8</f>
        <v>825.5661043497521</v>
      </c>
    </row>
    <row r="16" spans="1:9">
      <c r="A16" s="1" t="s">
        <v>21</v>
      </c>
      <c r="B16" s="18">
        <f>'3-Statement'!B9</f>
        <v>0.3060048615409639</v>
      </c>
      <c r="C16" s="18">
        <f>'3-Statement'!C9</f>
        <v>0.31168117172574822</v>
      </c>
      <c r="D16" s="18">
        <f>'3-Statement'!D9</f>
        <v>0.29955492046695159</v>
      </c>
      <c r="E16" s="18">
        <f>'3-Statement'!E9</f>
        <v>0.33</v>
      </c>
      <c r="F16" s="18">
        <f>'3-Statement'!F9</f>
        <v>0.35499999999999993</v>
      </c>
      <c r="G16" s="18">
        <f>'3-Statement'!G9</f>
        <v>0.37</v>
      </c>
      <c r="H16" s="18">
        <f>'3-Statement'!H9</f>
        <v>0.37</v>
      </c>
      <c r="I16" s="18">
        <f>'3-Statement'!I9</f>
        <v>0.36</v>
      </c>
    </row>
    <row r="17" spans="1:9">
      <c r="A17" s="20" t="s">
        <v>22</v>
      </c>
      <c r="B17" s="21">
        <f>'3-Statement'!B15</f>
        <v>190.31</v>
      </c>
      <c r="C17" s="21">
        <f>'3-Statement'!C15</f>
        <v>211.79900000000001</v>
      </c>
      <c r="D17" s="21">
        <f>'3-Statement'!D15</f>
        <v>214.28</v>
      </c>
      <c r="E17" s="21">
        <f>'3-Statement'!E15</f>
        <v>307.61749396511425</v>
      </c>
      <c r="F17" s="21">
        <f>'3-Statement'!F15</f>
        <v>439.61555852295231</v>
      </c>
      <c r="G17" s="21">
        <f>'3-Statement'!G15</f>
        <v>554.55284668285481</v>
      </c>
      <c r="H17" s="21">
        <f>'3-Statement'!H15</f>
        <v>612.494283643328</v>
      </c>
      <c r="I17" s="21">
        <f>'3-Statement'!I15</f>
        <v>605.19370087581706</v>
      </c>
    </row>
    <row r="18" spans="1:9">
      <c r="A18" s="1" t="s">
        <v>23</v>
      </c>
      <c r="B18" s="24">
        <f>'3-Statement'!B16</f>
        <v>6.35</v>
      </c>
      <c r="C18" s="24">
        <f>'3-Statement'!C16</f>
        <v>7.06</v>
      </c>
      <c r="D18" s="24">
        <f>'3-Statement'!D16</f>
        <v>7.15</v>
      </c>
      <c r="E18" s="24">
        <f>'3-Statement'!E16</f>
        <v>10.253916465503808</v>
      </c>
      <c r="F18" s="24">
        <f>'3-Statement'!F16</f>
        <v>14.653851950765077</v>
      </c>
      <c r="G18" s="24">
        <f>'3-Statement'!G16</f>
        <v>18.485094889428492</v>
      </c>
      <c r="H18" s="24">
        <f>'3-Statement'!H16</f>
        <v>20.416476121444266</v>
      </c>
      <c r="I18" s="24">
        <f>'3-Statement'!I16</f>
        <v>20.173123362527235</v>
      </c>
    </row>
    <row r="19" spans="1:9">
      <c r="A19" s="20" t="s">
        <v>24</v>
      </c>
      <c r="B19" s="21">
        <f>'3-Statement'!B61</f>
        <v>188.75800000000001</v>
      </c>
      <c r="C19" s="21">
        <f>'3-Statement'!C61</f>
        <v>183.24799999999999</v>
      </c>
      <c r="D19" s="21">
        <f>'3-Statement'!D61</f>
        <v>230.38800000000003</v>
      </c>
      <c r="E19" s="21">
        <f>'3-Statement'!E61</f>
        <v>117.21853523772427</v>
      </c>
      <c r="F19" s="21">
        <f>'3-Statement'!F61</f>
        <v>403.2758900970457</v>
      </c>
      <c r="G19" s="21">
        <f>'3-Statement'!G61</f>
        <v>539.21545719023788</v>
      </c>
      <c r="H19" s="21">
        <f>'3-Statement'!H61</f>
        <v>588.62375461186639</v>
      </c>
      <c r="I19" s="21">
        <f>'3-Statement'!I61</f>
        <v>591.54912370239845</v>
      </c>
    </row>
    <row r="20" spans="1:9">
      <c r="A20" s="1"/>
      <c r="B20" s="1"/>
      <c r="C20" s="1"/>
      <c r="D20" s="1"/>
      <c r="E20" s="1"/>
      <c r="F20" s="1"/>
      <c r="G20" s="1"/>
      <c r="H20" s="1"/>
      <c r="I20" s="1"/>
    </row>
    <row r="21" spans="1:9">
      <c r="A21" s="1"/>
      <c r="B21" s="1"/>
      <c r="C21" s="1"/>
      <c r="D21" s="1"/>
      <c r="E21" s="1"/>
      <c r="F21" s="1"/>
      <c r="G21" s="1"/>
      <c r="H21" s="1"/>
      <c r="I21" s="1"/>
    </row>
    <row r="22" spans="1:9" ht="25.25" customHeight="1">
      <c r="A22" s="39" t="s">
        <v>25</v>
      </c>
      <c r="B22" s="39"/>
      <c r="C22" s="39"/>
      <c r="D22" s="39"/>
      <c r="E22" s="39"/>
      <c r="F22" s="39"/>
      <c r="G22" s="39"/>
      <c r="H22" s="39"/>
      <c r="I22" s="39"/>
    </row>
    <row r="23" spans="1:9">
      <c r="A23" s="4" t="s">
        <v>26</v>
      </c>
      <c r="B23" s="3" t="s">
        <v>12</v>
      </c>
      <c r="C23" s="3" t="s">
        <v>13</v>
      </c>
      <c r="D23" s="3" t="s">
        <v>14</v>
      </c>
      <c r="E23" s="3" t="s">
        <v>15</v>
      </c>
      <c r="F23" s="3" t="s">
        <v>16</v>
      </c>
      <c r="G23" s="3" t="s">
        <v>17</v>
      </c>
      <c r="H23" s="1"/>
      <c r="I23" s="1"/>
    </row>
    <row r="24" spans="1:9">
      <c r="A24" s="1" t="s">
        <v>27</v>
      </c>
      <c r="B24" s="17">
        <f>'Revenue Build'!D13</f>
        <v>724.7</v>
      </c>
      <c r="C24" s="17">
        <f>'Revenue Build'!E13</f>
        <v>924.95029426860572</v>
      </c>
      <c r="D24" s="17">
        <f>'Revenue Build'!F13</f>
        <v>1274.7730518452186</v>
      </c>
      <c r="E24" s="17">
        <f>'Revenue Build'!G13</f>
        <v>1557.5319677689126</v>
      </c>
      <c r="F24" s="17">
        <f>'Revenue Build'!H13</f>
        <v>1719.5152924168797</v>
      </c>
      <c r="G24" s="17">
        <f>'Revenue Build'!I13</f>
        <v>1719.5152924168797</v>
      </c>
      <c r="H24" s="1"/>
      <c r="I24" s="1"/>
    </row>
    <row r="25" spans="1:9">
      <c r="A25" s="1" t="s">
        <v>28</v>
      </c>
      <c r="B25" s="17">
        <f>'Revenue Build'!D16</f>
        <v>149.9</v>
      </c>
      <c r="C25" s="17">
        <f>'Revenue Build'!E16</f>
        <v>149.9</v>
      </c>
      <c r="D25" s="17">
        <f>'Revenue Build'!F16</f>
        <v>164.89000000000001</v>
      </c>
      <c r="E25" s="17">
        <f>'Revenue Build'!G16</f>
        <v>179.73010000000002</v>
      </c>
      <c r="F25" s="17">
        <f>'Revenue Build'!H16</f>
        <v>192.31120700000002</v>
      </c>
      <c r="G25" s="17">
        <f>'Revenue Build'!I16</f>
        <v>201.92676735000003</v>
      </c>
      <c r="H25" s="1"/>
      <c r="I25" s="1"/>
    </row>
    <row r="26" spans="1:9">
      <c r="A26" s="1" t="s">
        <v>29</v>
      </c>
      <c r="B26" s="17">
        <f>'Revenue Build'!D21</f>
        <v>198.846</v>
      </c>
      <c r="C26" s="17">
        <f>'Revenue Build'!E21</f>
        <v>234.63827999999998</v>
      </c>
      <c r="D26" s="17">
        <f>'Revenue Build'!F21</f>
        <v>274.52678759999998</v>
      </c>
      <c r="E26" s="17">
        <f>'Revenue Build'!G21</f>
        <v>312.960537864</v>
      </c>
      <c r="F26" s="17">
        <f>'Revenue Build'!H21</f>
        <v>344.25659165040003</v>
      </c>
      <c r="G26" s="17">
        <f>'Revenue Build'!I21</f>
        <v>371.79711898243204</v>
      </c>
      <c r="H26" s="1"/>
      <c r="I26" s="1"/>
    </row>
    <row r="27" spans="1:9">
      <c r="A27" s="20" t="s">
        <v>30</v>
      </c>
      <c r="B27" s="21">
        <f>'Revenue Build'!D24</f>
        <v>1073.5160000000001</v>
      </c>
      <c r="C27" s="21">
        <f>'Revenue Build'!E24</f>
        <v>1309.4885742686056</v>
      </c>
      <c r="D27" s="21">
        <f>'Revenue Build'!F24</f>
        <v>1714.1898394452187</v>
      </c>
      <c r="E27" s="21">
        <f>'Revenue Build'!G24</f>
        <v>2050.2226056329127</v>
      </c>
      <c r="F27" s="21">
        <f>'Revenue Build'!H24</f>
        <v>2256.0830910672798</v>
      </c>
      <c r="G27" s="21">
        <f>'Revenue Build'!I24</f>
        <v>2293.2391787493116</v>
      </c>
      <c r="H27" s="1"/>
      <c r="I27" s="1"/>
    </row>
    <row r="28" spans="1:9">
      <c r="A28" s="1"/>
      <c r="B28" s="1"/>
      <c r="C28" s="1"/>
      <c r="D28" s="1"/>
      <c r="E28" s="1"/>
      <c r="F28" s="1"/>
      <c r="G28" s="1"/>
      <c r="H28" s="1"/>
      <c r="I28" s="1"/>
    </row>
    <row r="29" spans="1:9">
      <c r="A29" s="1"/>
      <c r="B29" s="1"/>
      <c r="C29" s="1"/>
      <c r="D29" s="1"/>
      <c r="E29" s="1"/>
      <c r="F29" s="1"/>
      <c r="G29" s="1"/>
      <c r="H29" s="1"/>
      <c r="I29" s="1"/>
    </row>
    <row r="30" spans="1:9" ht="25.25" customHeight="1">
      <c r="A30" s="39" t="s">
        <v>31</v>
      </c>
      <c r="B30" s="39"/>
      <c r="C30" s="39"/>
      <c r="D30" s="39"/>
      <c r="E30" s="39"/>
      <c r="F30" s="39"/>
      <c r="G30" s="39"/>
      <c r="H30" s="39"/>
      <c r="I30" s="39"/>
    </row>
    <row r="31" spans="1:9">
      <c r="A31" s="2" t="s">
        <v>32</v>
      </c>
      <c r="B31" s="2" t="s">
        <v>33</v>
      </c>
      <c r="C31" s="2" t="s">
        <v>34</v>
      </c>
      <c r="D31" s="2" t="s">
        <v>35</v>
      </c>
      <c r="E31" s="1"/>
      <c r="F31" s="1"/>
      <c r="G31" s="1"/>
      <c r="H31" s="1"/>
      <c r="I31" s="1"/>
    </row>
    <row r="32" spans="1:9">
      <c r="A32" s="1" t="s">
        <v>36</v>
      </c>
      <c r="B32" s="17">
        <f>'3-Statement'!G6</f>
        <v>2050.2226056329127</v>
      </c>
      <c r="C32" s="17">
        <f>'Assumptions &amp; Sources'!G41</f>
        <v>1822</v>
      </c>
      <c r="D32" s="6">
        <f>B32/C32-1</f>
        <v>0.12525938838249884</v>
      </c>
      <c r="E32" s="1"/>
      <c r="F32" s="1"/>
      <c r="G32" s="1"/>
      <c r="H32" s="1"/>
      <c r="I32" s="1"/>
    </row>
    <row r="33" spans="1:9">
      <c r="A33" s="1" t="s">
        <v>5</v>
      </c>
      <c r="B33" s="17">
        <f>'3-Statement'!G8</f>
        <v>758.5823640841777</v>
      </c>
      <c r="C33" s="17">
        <f>'Assumptions &amp; Sources'!G42</f>
        <v>664.5</v>
      </c>
      <c r="D33" s="6">
        <f>B33/C33-1</f>
        <v>0.14158369312893559</v>
      </c>
      <c r="E33" s="1"/>
      <c r="F33" s="1"/>
      <c r="G33" s="1"/>
      <c r="H33" s="1"/>
      <c r="I33" s="1"/>
    </row>
    <row r="34" spans="1:9">
      <c r="A34" s="1" t="s">
        <v>37</v>
      </c>
      <c r="B34" s="18">
        <f>'3-Statement'!G9</f>
        <v>0.37</v>
      </c>
      <c r="C34" s="18">
        <f>'Assumptions &amp; Sources'!G42/'Assumptions &amp; Sources'!G41</f>
        <v>0.36470911086717894</v>
      </c>
      <c r="D34" s="6">
        <f>B34-C34</f>
        <v>5.2908891328210528E-3</v>
      </c>
      <c r="E34" s="1"/>
      <c r="F34" s="1"/>
      <c r="G34" s="1"/>
      <c r="H34" s="1"/>
      <c r="I34" s="1"/>
    </row>
    <row r="35" spans="1:9">
      <c r="A35" s="1"/>
      <c r="B35" s="1"/>
      <c r="C35" s="1"/>
      <c r="D35" s="1"/>
      <c r="E35" s="1"/>
      <c r="F35" s="1"/>
      <c r="G35" s="1"/>
      <c r="H35" s="1"/>
      <c r="I35" s="1"/>
    </row>
    <row r="36" spans="1:9">
      <c r="A36" s="1"/>
      <c r="B36" s="1"/>
      <c r="C36" s="1"/>
      <c r="D36" s="1"/>
      <c r="E36" s="1"/>
      <c r="F36" s="1"/>
      <c r="G36" s="1"/>
      <c r="H36" s="1"/>
      <c r="I36" s="1"/>
    </row>
    <row r="37" spans="1:9" ht="25.25" customHeight="1">
      <c r="A37" s="39" t="s">
        <v>38</v>
      </c>
      <c r="B37" s="39"/>
      <c r="C37" s="39"/>
      <c r="D37" s="39"/>
      <c r="E37" s="39"/>
      <c r="F37" s="39"/>
      <c r="G37" s="39"/>
      <c r="H37" s="39"/>
      <c r="I37" s="39"/>
    </row>
    <row r="38" spans="1:9" ht="26.75" customHeight="1">
      <c r="A38" s="41" t="s">
        <v>39</v>
      </c>
      <c r="B38" s="41"/>
      <c r="C38" s="41"/>
      <c r="D38" s="41"/>
      <c r="E38" s="41"/>
      <c r="F38" s="41"/>
      <c r="G38" s="41"/>
      <c r="H38" s="41"/>
      <c r="I38" s="41"/>
    </row>
    <row r="39" spans="1:9" ht="26.75" customHeight="1">
      <c r="A39" s="41" t="s">
        <v>40</v>
      </c>
      <c r="B39" s="41"/>
      <c r="C39" s="41"/>
      <c r="D39" s="41"/>
      <c r="E39" s="41"/>
      <c r="F39" s="41"/>
      <c r="G39" s="41"/>
      <c r="H39" s="41"/>
      <c r="I39" s="41"/>
    </row>
    <row r="40" spans="1:9" ht="26.75" customHeight="1">
      <c r="A40" s="41" t="s">
        <v>41</v>
      </c>
      <c r="B40" s="41"/>
      <c r="C40" s="41"/>
      <c r="D40" s="41"/>
      <c r="E40" s="41"/>
      <c r="F40" s="41"/>
      <c r="G40" s="41"/>
      <c r="H40" s="41"/>
      <c r="I40" s="41"/>
    </row>
    <row r="41" spans="1:9" ht="26.75" customHeight="1">
      <c r="A41" s="41" t="s">
        <v>42</v>
      </c>
      <c r="B41" s="41"/>
      <c r="C41" s="41"/>
      <c r="D41" s="41"/>
      <c r="E41" s="41"/>
      <c r="F41" s="41"/>
      <c r="G41" s="41"/>
      <c r="H41" s="41"/>
      <c r="I41" s="41"/>
    </row>
    <row r="42" spans="1:9">
      <c r="A42" s="1"/>
      <c r="B42" s="1"/>
      <c r="C42" s="1"/>
      <c r="D42" s="1"/>
      <c r="E42" s="1"/>
      <c r="F42" s="1"/>
      <c r="G42" s="1"/>
      <c r="H42" s="1"/>
      <c r="I42" s="1"/>
    </row>
    <row r="43" spans="1:9">
      <c r="A43" s="1"/>
      <c r="B43" s="1"/>
      <c r="C43" s="1"/>
      <c r="D43" s="1"/>
      <c r="E43" s="1"/>
      <c r="F43" s="1"/>
      <c r="G43" s="1"/>
      <c r="H43" s="1"/>
      <c r="I43" s="1"/>
    </row>
    <row r="44" spans="1:9">
      <c r="A44" s="1"/>
      <c r="B44" s="1"/>
      <c r="C44" s="1"/>
      <c r="D44" s="1"/>
      <c r="E44" s="1"/>
      <c r="F44" s="1"/>
      <c r="G44" s="1"/>
      <c r="H44" s="1"/>
      <c r="I44" s="1"/>
    </row>
    <row r="45" spans="1:9">
      <c r="A45" s="1"/>
      <c r="B45" s="1"/>
      <c r="C45" s="1"/>
      <c r="D45" s="1"/>
      <c r="E45" s="1"/>
      <c r="F45" s="1"/>
      <c r="G45" s="1"/>
      <c r="H45" s="1"/>
      <c r="I45" s="1"/>
    </row>
  </sheetData>
  <mergeCells count="20">
    <mergeCell ref="A38:I38"/>
    <mergeCell ref="A39:I39"/>
    <mergeCell ref="A40:I40"/>
    <mergeCell ref="A41:I41"/>
    <mergeCell ref="A9:I9"/>
    <mergeCell ref="A11:I11"/>
    <mergeCell ref="A22:I22"/>
    <mergeCell ref="A30:I30"/>
    <mergeCell ref="A37:I37"/>
    <mergeCell ref="A4:B6"/>
    <mergeCell ref="C4:D6"/>
    <mergeCell ref="E4:F6"/>
    <mergeCell ref="G4:H6"/>
    <mergeCell ref="A8:I8"/>
    <mergeCell ref="A1:I1"/>
    <mergeCell ref="A2:I2"/>
    <mergeCell ref="A3:B3"/>
    <mergeCell ref="C3:D3"/>
    <mergeCell ref="E3:F3"/>
    <mergeCell ref="G3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5"/>
  <sheetViews>
    <sheetView topLeftCell="A48" workbookViewId="0">
      <selection sqref="A1:I1"/>
    </sheetView>
  </sheetViews>
  <sheetFormatPr baseColWidth="10" defaultColWidth="8.83203125" defaultRowHeight="14"/>
  <cols>
    <col min="1" max="1" width="34" customWidth="1"/>
    <col min="2" max="3" width="15" customWidth="1"/>
    <col min="4" max="4" width="48" customWidth="1"/>
    <col min="5" max="9" width="14" customWidth="1"/>
  </cols>
  <sheetData>
    <row r="1" spans="1:9" ht="34.75" customHeight="1">
      <c r="A1" s="33" t="s">
        <v>43</v>
      </c>
      <c r="B1" s="33"/>
      <c r="C1" s="33"/>
      <c r="D1" s="33"/>
      <c r="E1" s="33"/>
      <c r="F1" s="33"/>
      <c r="G1" s="33"/>
      <c r="H1" s="33"/>
      <c r="I1" s="33"/>
    </row>
    <row r="2" spans="1:9" ht="26.75" customHeight="1">
      <c r="A2" s="34" t="s">
        <v>44</v>
      </c>
      <c r="B2" s="34"/>
      <c r="C2" s="34"/>
      <c r="D2" s="34"/>
      <c r="E2" s="34"/>
      <c r="F2" s="34"/>
      <c r="G2" s="34"/>
      <c r="H2" s="34"/>
      <c r="I2" s="34"/>
    </row>
    <row r="3" spans="1:9">
      <c r="A3" s="1"/>
      <c r="B3" s="1"/>
      <c r="C3" s="1"/>
      <c r="D3" s="1"/>
      <c r="E3" s="1"/>
      <c r="F3" s="1"/>
      <c r="G3" s="1"/>
      <c r="H3" s="1"/>
      <c r="I3" s="1"/>
    </row>
    <row r="4" spans="1:9" ht="25.25" customHeight="1">
      <c r="A4" s="39" t="s">
        <v>45</v>
      </c>
      <c r="B4" s="39"/>
      <c r="C4" s="39"/>
      <c r="D4" s="39"/>
      <c r="E4" s="39"/>
      <c r="F4" s="39"/>
      <c r="G4" s="39"/>
      <c r="H4" s="39"/>
      <c r="I4" s="39"/>
    </row>
    <row r="5" spans="1:9">
      <c r="A5" s="4" t="s">
        <v>46</v>
      </c>
      <c r="B5" s="3" t="s">
        <v>10</v>
      </c>
      <c r="C5" s="3" t="s">
        <v>11</v>
      </c>
      <c r="D5" s="3" t="s">
        <v>12</v>
      </c>
      <c r="E5" s="3" t="s">
        <v>13</v>
      </c>
      <c r="F5" s="3" t="s">
        <v>14</v>
      </c>
      <c r="G5" s="3" t="s">
        <v>15</v>
      </c>
      <c r="H5" s="3" t="s">
        <v>16</v>
      </c>
      <c r="I5" s="3" t="s">
        <v>17</v>
      </c>
    </row>
    <row r="6" spans="1:9">
      <c r="A6" s="1" t="s">
        <v>47</v>
      </c>
      <c r="B6" s="7">
        <v>96</v>
      </c>
      <c r="C6" s="7">
        <v>104.3</v>
      </c>
      <c r="D6" s="7">
        <v>116.9</v>
      </c>
      <c r="E6" s="7">
        <v>143.9</v>
      </c>
      <c r="F6" s="7">
        <v>175.3</v>
      </c>
      <c r="G6" s="7">
        <v>200</v>
      </c>
      <c r="H6" s="7">
        <v>216</v>
      </c>
      <c r="I6" s="7">
        <v>205.2</v>
      </c>
    </row>
    <row r="7" spans="1:9">
      <c r="A7" s="1" t="s">
        <v>48</v>
      </c>
      <c r="B7" s="8"/>
      <c r="C7" s="6">
        <f t="shared" ref="C7:I7" si="0">C6/B6-1</f>
        <v>8.6458333333333304E-2</v>
      </c>
      <c r="D7" s="6">
        <f t="shared" si="0"/>
        <v>0.12080536912751683</v>
      </c>
      <c r="E7" s="6">
        <f t="shared" si="0"/>
        <v>0.23096663815226681</v>
      </c>
      <c r="F7" s="6">
        <f t="shared" si="0"/>
        <v>0.21820708825573321</v>
      </c>
      <c r="G7" s="6">
        <f t="shared" si="0"/>
        <v>0.1409013120365088</v>
      </c>
      <c r="H7" s="6">
        <f t="shared" si="0"/>
        <v>8.0000000000000071E-2</v>
      </c>
      <c r="I7" s="6">
        <f t="shared" si="0"/>
        <v>-5.0000000000000044E-2</v>
      </c>
    </row>
    <row r="8" spans="1:9">
      <c r="A8" s="1" t="s">
        <v>49</v>
      </c>
      <c r="B8" s="8"/>
      <c r="C8" s="8"/>
      <c r="D8" s="8"/>
      <c r="E8" s="10">
        <v>0.85</v>
      </c>
      <c r="F8" s="10">
        <v>1</v>
      </c>
      <c r="G8" s="10">
        <v>0.9</v>
      </c>
      <c r="H8" s="10">
        <v>0.8</v>
      </c>
      <c r="I8" s="10">
        <v>0.8</v>
      </c>
    </row>
    <row r="9" spans="1:9">
      <c r="A9" s="1" t="s">
        <v>50</v>
      </c>
      <c r="B9" s="8"/>
      <c r="C9" s="8"/>
      <c r="D9" s="8"/>
      <c r="E9" s="10">
        <v>0.04</v>
      </c>
      <c r="F9" s="10">
        <v>0.06</v>
      </c>
      <c r="G9" s="10">
        <v>6.5000000000000002E-2</v>
      </c>
      <c r="H9" s="10">
        <v>0.04</v>
      </c>
      <c r="I9" s="10">
        <v>0.04</v>
      </c>
    </row>
    <row r="10" spans="1:9">
      <c r="A10" s="1" t="s">
        <v>51</v>
      </c>
      <c r="B10" s="8"/>
      <c r="C10" s="8"/>
      <c r="D10" s="8"/>
      <c r="E10" s="10">
        <v>0.04</v>
      </c>
      <c r="F10" s="10">
        <v>0.1</v>
      </c>
      <c r="G10" s="10">
        <v>0.03</v>
      </c>
      <c r="H10" s="10">
        <v>0</v>
      </c>
      <c r="I10" s="10">
        <v>0</v>
      </c>
    </row>
    <row r="11" spans="1:9">
      <c r="A11" s="1" t="s">
        <v>52</v>
      </c>
      <c r="B11" s="8"/>
      <c r="C11" s="8"/>
      <c r="D11" s="8"/>
      <c r="E11" s="10">
        <v>0</v>
      </c>
      <c r="F11" s="10">
        <v>0.1</v>
      </c>
      <c r="G11" s="10">
        <v>0.09</v>
      </c>
      <c r="H11" s="10">
        <v>7.0000000000000007E-2</v>
      </c>
      <c r="I11" s="10">
        <v>0.05</v>
      </c>
    </row>
    <row r="12" spans="1:9">
      <c r="A12" s="1" t="s">
        <v>53</v>
      </c>
      <c r="B12" s="8"/>
      <c r="C12" s="8"/>
      <c r="D12" s="8"/>
      <c r="E12" s="10">
        <v>0.06</v>
      </c>
      <c r="F12" s="10">
        <v>7.0000000000000007E-2</v>
      </c>
      <c r="G12" s="10">
        <v>7.0000000000000007E-2</v>
      </c>
      <c r="H12" s="10">
        <v>0.06</v>
      </c>
      <c r="I12" s="10">
        <v>0.05</v>
      </c>
    </row>
    <row r="13" spans="1:9">
      <c r="A13" s="1" t="s">
        <v>54</v>
      </c>
      <c r="B13" s="8"/>
      <c r="C13" s="8"/>
      <c r="D13" s="8"/>
      <c r="E13" s="10">
        <v>0.12</v>
      </c>
      <c r="F13" s="10">
        <v>0.1</v>
      </c>
      <c r="G13" s="10">
        <v>7.0000000000000007E-2</v>
      </c>
      <c r="H13" s="10">
        <v>0.04</v>
      </c>
      <c r="I13" s="10">
        <v>0.03</v>
      </c>
    </row>
    <row r="14" spans="1:9">
      <c r="A14" s="1" t="s">
        <v>21</v>
      </c>
      <c r="B14" s="8"/>
      <c r="C14" s="8"/>
      <c r="D14" s="8"/>
      <c r="E14" s="10">
        <v>0.33</v>
      </c>
      <c r="F14" s="10">
        <v>0.35499999999999998</v>
      </c>
      <c r="G14" s="10">
        <v>0.37</v>
      </c>
      <c r="H14" s="10">
        <v>0.37</v>
      </c>
      <c r="I14" s="10">
        <v>0.36</v>
      </c>
    </row>
    <row r="15" spans="1:9">
      <c r="A15" s="1" t="s">
        <v>55</v>
      </c>
      <c r="B15" s="8"/>
      <c r="C15" s="8"/>
      <c r="D15" s="8"/>
      <c r="E15" s="10">
        <v>4.2000000000000003E-2</v>
      </c>
      <c r="F15" s="10">
        <v>0.04</v>
      </c>
      <c r="G15" s="10">
        <v>0.04</v>
      </c>
      <c r="H15" s="10">
        <v>0.04</v>
      </c>
      <c r="I15" s="10">
        <v>0.04</v>
      </c>
    </row>
    <row r="16" spans="1:9">
      <c r="A16" s="1" t="s">
        <v>56</v>
      </c>
      <c r="B16" s="9"/>
      <c r="C16" s="9"/>
      <c r="D16" s="9"/>
      <c r="E16" s="11">
        <v>45</v>
      </c>
      <c r="F16" s="11">
        <v>45</v>
      </c>
      <c r="G16" s="11">
        <v>44</v>
      </c>
      <c r="H16" s="11">
        <v>44</v>
      </c>
      <c r="I16" s="11">
        <v>44</v>
      </c>
    </row>
    <row r="17" spans="1:9">
      <c r="A17" s="1" t="s">
        <v>57</v>
      </c>
      <c r="B17" s="9"/>
      <c r="C17" s="9"/>
      <c r="D17" s="9"/>
      <c r="E17" s="11">
        <v>80</v>
      </c>
      <c r="F17" s="11">
        <v>72</v>
      </c>
      <c r="G17" s="11">
        <v>65</v>
      </c>
      <c r="H17" s="11">
        <v>62</v>
      </c>
      <c r="I17" s="11">
        <v>60</v>
      </c>
    </row>
    <row r="18" spans="1:9">
      <c r="A18" s="1" t="s">
        <v>58</v>
      </c>
      <c r="B18" s="9"/>
      <c r="C18" s="9"/>
      <c r="D18" s="9"/>
      <c r="E18" s="11">
        <v>30</v>
      </c>
      <c r="F18" s="11">
        <v>30</v>
      </c>
      <c r="G18" s="11">
        <v>30</v>
      </c>
      <c r="H18" s="11">
        <v>30</v>
      </c>
      <c r="I18" s="11">
        <v>30</v>
      </c>
    </row>
    <row r="19" spans="1:9">
      <c r="A19" s="1" t="s">
        <v>59</v>
      </c>
      <c r="B19" s="8"/>
      <c r="C19" s="8"/>
      <c r="D19" s="8"/>
      <c r="E19" s="10">
        <v>0.03</v>
      </c>
      <c r="F19" s="10">
        <v>0.03</v>
      </c>
      <c r="G19" s="10">
        <v>0.03</v>
      </c>
      <c r="H19" s="10">
        <v>0.03</v>
      </c>
      <c r="I19" s="10">
        <v>0.03</v>
      </c>
    </row>
    <row r="20" spans="1:9">
      <c r="A20" s="1" t="s">
        <v>60</v>
      </c>
      <c r="B20" s="8"/>
      <c r="C20" s="8"/>
      <c r="D20" s="8"/>
      <c r="E20" s="10">
        <v>0.15</v>
      </c>
      <c r="F20" s="10">
        <v>0.15</v>
      </c>
      <c r="G20" s="10">
        <v>0.15</v>
      </c>
      <c r="H20" s="10">
        <v>0.15</v>
      </c>
      <c r="I20" s="10">
        <v>0.15</v>
      </c>
    </row>
    <row r="21" spans="1:9">
      <c r="A21" s="1" t="s">
        <v>61</v>
      </c>
      <c r="B21" s="8"/>
      <c r="C21" s="8"/>
      <c r="D21" s="8"/>
      <c r="E21" s="10">
        <v>0.06</v>
      </c>
      <c r="F21" s="10">
        <v>0.05</v>
      </c>
      <c r="G21" s="10">
        <v>0.05</v>
      </c>
      <c r="H21" s="10">
        <v>0.05</v>
      </c>
      <c r="I21" s="10">
        <v>0.05</v>
      </c>
    </row>
    <row r="22" spans="1:9">
      <c r="A22" s="1" t="s">
        <v>62</v>
      </c>
      <c r="B22" s="7">
        <v>207.30600000000001</v>
      </c>
      <c r="C22" s="7">
        <v>241.786</v>
      </c>
      <c r="D22" s="7">
        <v>248.28200000000001</v>
      </c>
      <c r="E22" s="12">
        <v>450</v>
      </c>
      <c r="F22" s="12">
        <v>375</v>
      </c>
      <c r="G22" s="12">
        <v>300</v>
      </c>
      <c r="H22" s="12">
        <v>225</v>
      </c>
      <c r="I22" s="12">
        <v>150</v>
      </c>
    </row>
    <row r="23" spans="1:9">
      <c r="A23" s="1" t="s">
        <v>63</v>
      </c>
      <c r="B23" s="7"/>
      <c r="C23" s="7"/>
      <c r="D23" s="7"/>
      <c r="E23" s="12">
        <v>110</v>
      </c>
      <c r="F23" s="12">
        <v>0</v>
      </c>
      <c r="G23" s="12">
        <v>0</v>
      </c>
      <c r="H23" s="12">
        <v>0</v>
      </c>
      <c r="I23" s="12">
        <v>0</v>
      </c>
    </row>
    <row r="24" spans="1:9">
      <c r="A24" s="1" t="s">
        <v>64</v>
      </c>
      <c r="B24" s="8"/>
      <c r="C24" s="8"/>
      <c r="D24" s="8"/>
      <c r="E24" s="10">
        <v>2.5000000000000001E-2</v>
      </c>
      <c r="F24" s="10">
        <v>2.5000000000000001E-2</v>
      </c>
      <c r="G24" s="10">
        <v>2.5000000000000001E-2</v>
      </c>
      <c r="H24" s="10">
        <v>2.5000000000000001E-2</v>
      </c>
      <c r="I24" s="10">
        <v>2.5000000000000001E-2</v>
      </c>
    </row>
    <row r="25" spans="1:9">
      <c r="A25" s="1" t="s">
        <v>65</v>
      </c>
      <c r="B25" s="8"/>
      <c r="C25" s="8"/>
      <c r="D25" s="8"/>
      <c r="E25" s="10">
        <v>0.16500000000000001</v>
      </c>
      <c r="F25" s="10">
        <v>0.17</v>
      </c>
      <c r="G25" s="10">
        <v>0.17</v>
      </c>
      <c r="H25" s="10">
        <v>0.17</v>
      </c>
      <c r="I25" s="10">
        <v>0.17</v>
      </c>
    </row>
    <row r="26" spans="1:9">
      <c r="A26" s="1" t="s">
        <v>66</v>
      </c>
      <c r="B26" s="8"/>
      <c r="C26" s="8"/>
      <c r="D26" s="8"/>
      <c r="E26" s="10"/>
      <c r="F26" s="10">
        <v>0.75</v>
      </c>
      <c r="G26" s="10">
        <v>0.75</v>
      </c>
      <c r="H26" s="10">
        <v>0.75</v>
      </c>
      <c r="I26" s="10">
        <v>0.75</v>
      </c>
    </row>
    <row r="27" spans="1:9">
      <c r="A27" s="1" t="s">
        <v>67</v>
      </c>
      <c r="B27" s="7">
        <v>30</v>
      </c>
      <c r="C27" s="7">
        <v>30</v>
      </c>
      <c r="D27" s="7">
        <v>30</v>
      </c>
      <c r="E27" s="12">
        <v>30</v>
      </c>
      <c r="F27" s="12">
        <v>30</v>
      </c>
      <c r="G27" s="12">
        <v>30</v>
      </c>
      <c r="H27" s="12">
        <v>30</v>
      </c>
      <c r="I27" s="12">
        <v>30</v>
      </c>
    </row>
    <row r="28" spans="1:9">
      <c r="A28" s="1" t="s">
        <v>68</v>
      </c>
      <c r="B28" s="7"/>
      <c r="C28" s="7"/>
      <c r="D28" s="7"/>
      <c r="E28" s="12">
        <v>210</v>
      </c>
      <c r="F28" s="12"/>
      <c r="G28" s="12"/>
      <c r="H28" s="12"/>
      <c r="I28" s="12"/>
    </row>
    <row r="29" spans="1:9">
      <c r="A29" s="1" t="s">
        <v>69</v>
      </c>
      <c r="B29" s="7"/>
      <c r="C29" s="7"/>
      <c r="D29" s="7"/>
      <c r="E29" s="12"/>
      <c r="F29" s="12"/>
      <c r="G29" s="13">
        <v>31.4</v>
      </c>
      <c r="H29" s="12"/>
      <c r="I29" s="12"/>
    </row>
    <row r="30" spans="1:9">
      <c r="A30" s="1"/>
      <c r="B30" s="1"/>
      <c r="C30" s="1"/>
      <c r="D30" s="1"/>
      <c r="E30" s="1"/>
      <c r="F30" s="1"/>
      <c r="G30" s="1"/>
      <c r="H30" s="1"/>
      <c r="I30" s="1"/>
    </row>
    <row r="31" spans="1:9" ht="25.25" customHeight="1">
      <c r="A31" s="39" t="s">
        <v>70</v>
      </c>
      <c r="B31" s="39"/>
      <c r="C31" s="39"/>
      <c r="D31" s="39"/>
      <c r="E31" s="39"/>
      <c r="F31" s="39"/>
      <c r="G31" s="39"/>
      <c r="H31" s="39"/>
      <c r="I31" s="39"/>
    </row>
    <row r="32" spans="1:9">
      <c r="A32" s="1" t="s">
        <v>71</v>
      </c>
      <c r="B32" s="1"/>
      <c r="C32" s="1"/>
      <c r="D32" s="1"/>
      <c r="E32" s="7">
        <v>856.35900000000004</v>
      </c>
      <c r="F32" s="42" t="s">
        <v>72</v>
      </c>
      <c r="G32" s="42"/>
      <c r="H32" s="43"/>
      <c r="I32" s="43"/>
    </row>
    <row r="33" spans="1:9">
      <c r="A33" s="1" t="s">
        <v>73</v>
      </c>
      <c r="B33" s="1"/>
      <c r="C33" s="1"/>
      <c r="D33" s="1"/>
      <c r="E33" s="7">
        <v>647.9</v>
      </c>
      <c r="F33" s="7"/>
      <c r="G33" s="7"/>
      <c r="H33" s="1"/>
      <c r="I33" s="1"/>
    </row>
    <row r="34" spans="1:9">
      <c r="A34" s="1" t="s">
        <v>74</v>
      </c>
      <c r="B34" s="1"/>
      <c r="C34" s="1"/>
      <c r="D34" s="1"/>
      <c r="E34" s="7">
        <v>511.89100000000002</v>
      </c>
      <c r="F34" s="7"/>
      <c r="G34" s="7"/>
      <c r="H34" s="1"/>
      <c r="I34" s="1"/>
    </row>
    <row r="35" spans="1:9">
      <c r="A35" s="1" t="s">
        <v>75</v>
      </c>
      <c r="B35" s="1"/>
      <c r="C35" s="1"/>
      <c r="D35" s="1"/>
      <c r="E35" s="7">
        <v>148.22800000000001</v>
      </c>
      <c r="F35" s="7"/>
      <c r="G35" s="7"/>
      <c r="H35" s="1"/>
      <c r="I35" s="1"/>
    </row>
    <row r="36" spans="1:9">
      <c r="A36" s="1" t="s">
        <v>76</v>
      </c>
      <c r="B36" s="1"/>
      <c r="C36" s="1"/>
      <c r="D36" s="1"/>
      <c r="E36" s="8">
        <v>0.28999999999999998</v>
      </c>
      <c r="F36" s="7"/>
      <c r="G36" s="7"/>
      <c r="H36" s="1"/>
      <c r="I36" s="1"/>
    </row>
    <row r="37" spans="1:9">
      <c r="A37" s="1" t="s">
        <v>77</v>
      </c>
      <c r="B37" s="1"/>
      <c r="C37" s="1"/>
      <c r="D37" s="1"/>
      <c r="E37" s="7">
        <v>320</v>
      </c>
      <c r="F37" s="7"/>
      <c r="G37" s="7"/>
      <c r="H37" s="1"/>
      <c r="I37" s="1"/>
    </row>
    <row r="38" spans="1:9">
      <c r="A38" s="1" t="s">
        <v>78</v>
      </c>
      <c r="B38" s="1"/>
      <c r="C38" s="1"/>
      <c r="D38" s="1"/>
      <c r="E38" s="7">
        <v>450</v>
      </c>
      <c r="F38" s="7"/>
      <c r="G38" s="7"/>
      <c r="H38" s="1"/>
      <c r="I38" s="1"/>
    </row>
    <row r="39" spans="1:9">
      <c r="A39" s="1" t="s">
        <v>79</v>
      </c>
      <c r="B39" s="1"/>
      <c r="C39" s="1"/>
      <c r="D39" s="1"/>
      <c r="E39" s="7">
        <v>282</v>
      </c>
      <c r="F39" s="7"/>
      <c r="G39" s="7"/>
      <c r="H39" s="1"/>
      <c r="I39" s="1"/>
    </row>
    <row r="40" spans="1:9">
      <c r="A40" s="1" t="s">
        <v>80</v>
      </c>
      <c r="B40" s="1"/>
      <c r="C40" s="1"/>
      <c r="D40" s="1"/>
      <c r="E40" s="7">
        <v>110</v>
      </c>
      <c r="F40" s="7"/>
      <c r="G40" s="7"/>
      <c r="H40" s="1"/>
      <c r="I40" s="1"/>
    </row>
    <row r="41" spans="1:9">
      <c r="A41" s="1" t="s">
        <v>81</v>
      </c>
      <c r="B41" s="1"/>
      <c r="C41" s="1"/>
      <c r="D41" s="1"/>
      <c r="E41" s="7">
        <v>1283</v>
      </c>
      <c r="F41" s="7">
        <v>1626</v>
      </c>
      <c r="G41" s="7">
        <v>1822</v>
      </c>
      <c r="H41" s="1"/>
      <c r="I41" s="1"/>
    </row>
    <row r="42" spans="1:9">
      <c r="A42" s="1" t="s">
        <v>82</v>
      </c>
      <c r="B42" s="1"/>
      <c r="C42" s="1"/>
      <c r="D42" s="1"/>
      <c r="E42" s="7">
        <v>427.7</v>
      </c>
      <c r="F42" s="7">
        <v>582.79999999999995</v>
      </c>
      <c r="G42" s="7">
        <v>664.5</v>
      </c>
      <c r="H42" s="1"/>
      <c r="I42" s="1"/>
    </row>
    <row r="43" spans="1:9">
      <c r="A43" s="1" t="s">
        <v>83</v>
      </c>
      <c r="B43" s="1"/>
      <c r="C43" s="1"/>
      <c r="D43" s="1"/>
      <c r="E43" s="7"/>
      <c r="F43" s="7">
        <v>1500</v>
      </c>
      <c r="G43" s="7"/>
      <c r="H43" s="1"/>
      <c r="I43" s="1"/>
    </row>
    <row r="44" spans="1:9">
      <c r="A44" s="1" t="s">
        <v>84</v>
      </c>
      <c r="B44" s="1"/>
      <c r="C44" s="1"/>
      <c r="D44" s="1"/>
      <c r="E44" s="7"/>
      <c r="F44" s="7">
        <v>1700</v>
      </c>
      <c r="G44" s="7"/>
      <c r="H44" s="1"/>
      <c r="I44" s="1"/>
    </row>
    <row r="45" spans="1:9">
      <c r="A45" s="1" t="s">
        <v>85</v>
      </c>
      <c r="B45" s="1"/>
      <c r="C45" s="1"/>
      <c r="D45" s="1"/>
      <c r="E45" s="7">
        <v>611.4</v>
      </c>
      <c r="F45" s="7"/>
      <c r="G45" s="7"/>
      <c r="H45" s="1"/>
      <c r="I45" s="1"/>
    </row>
    <row r="46" spans="1:9">
      <c r="A46" s="1"/>
      <c r="B46" s="1"/>
      <c r="C46" s="1"/>
      <c r="D46" s="1"/>
      <c r="E46" s="1"/>
      <c r="F46" s="1"/>
      <c r="G46" s="1"/>
      <c r="H46" s="1"/>
      <c r="I46" s="1"/>
    </row>
    <row r="47" spans="1:9">
      <c r="A47" s="1"/>
      <c r="B47" s="1"/>
      <c r="C47" s="1"/>
      <c r="D47" s="1"/>
      <c r="E47" s="1"/>
      <c r="F47" s="1"/>
      <c r="G47" s="1"/>
      <c r="H47" s="1"/>
      <c r="I47" s="1"/>
    </row>
    <row r="48" spans="1:9" ht="25.25" customHeight="1">
      <c r="A48" s="39" t="s">
        <v>86</v>
      </c>
      <c r="B48" s="39"/>
      <c r="C48" s="39"/>
      <c r="D48" s="39"/>
      <c r="E48" s="39"/>
      <c r="F48" s="39"/>
      <c r="G48" s="39"/>
      <c r="H48" s="39"/>
      <c r="I48" s="39"/>
    </row>
    <row r="49" spans="1:9">
      <c r="A49" s="14" t="s">
        <v>87</v>
      </c>
      <c r="B49" s="14" t="s">
        <v>88</v>
      </c>
      <c r="C49" s="14" t="s">
        <v>89</v>
      </c>
      <c r="D49" s="14" t="s">
        <v>90</v>
      </c>
      <c r="E49" s="1"/>
      <c r="F49" s="1"/>
      <c r="G49" s="1"/>
      <c r="H49" s="1"/>
      <c r="I49" s="1"/>
    </row>
    <row r="50" spans="1:9" ht="36">
      <c r="A50" s="15" t="s">
        <v>91</v>
      </c>
      <c r="B50" s="15" t="s">
        <v>92</v>
      </c>
      <c r="C50" s="15" t="s">
        <v>93</v>
      </c>
      <c r="D50" s="16" t="s">
        <v>94</v>
      </c>
      <c r="E50" s="1"/>
      <c r="F50" s="1"/>
      <c r="G50" s="1"/>
      <c r="H50" s="1"/>
      <c r="I50" s="1"/>
    </row>
    <row r="51" spans="1:9" ht="36">
      <c r="A51" s="15" t="s">
        <v>95</v>
      </c>
      <c r="B51" s="15" t="s">
        <v>96</v>
      </c>
      <c r="C51" s="15" t="s">
        <v>97</v>
      </c>
      <c r="D51" s="16" t="s">
        <v>94</v>
      </c>
      <c r="E51" s="1"/>
      <c r="F51" s="1"/>
      <c r="G51" s="1"/>
      <c r="H51" s="1"/>
      <c r="I51" s="1"/>
    </row>
    <row r="52" spans="1:9" ht="36">
      <c r="A52" s="15" t="s">
        <v>98</v>
      </c>
      <c r="B52" s="15" t="s">
        <v>99</v>
      </c>
      <c r="C52" s="15" t="s">
        <v>100</v>
      </c>
      <c r="D52" s="16" t="s">
        <v>101</v>
      </c>
      <c r="E52" s="1"/>
      <c r="F52" s="1"/>
      <c r="G52" s="1"/>
      <c r="H52" s="1"/>
      <c r="I52" s="1"/>
    </row>
    <row r="53" spans="1:9" ht="48">
      <c r="A53" s="15" t="s">
        <v>102</v>
      </c>
      <c r="B53" s="15" t="s">
        <v>103</v>
      </c>
      <c r="C53" s="15" t="s">
        <v>104</v>
      </c>
      <c r="D53" s="16" t="s">
        <v>105</v>
      </c>
      <c r="E53" s="1"/>
      <c r="F53" s="1"/>
      <c r="G53" s="1"/>
      <c r="H53" s="1"/>
      <c r="I53" s="1"/>
    </row>
    <row r="54" spans="1:9" ht="48">
      <c r="A54" s="15" t="s">
        <v>106</v>
      </c>
      <c r="B54" s="15" t="s">
        <v>107</v>
      </c>
      <c r="C54" s="15" t="s">
        <v>108</v>
      </c>
      <c r="D54" s="16" t="s">
        <v>109</v>
      </c>
      <c r="E54" s="1"/>
      <c r="F54" s="1"/>
      <c r="G54" s="1"/>
      <c r="H54" s="1"/>
      <c r="I54" s="1"/>
    </row>
    <row r="55" spans="1:9" ht="36">
      <c r="A55" s="15" t="s">
        <v>110</v>
      </c>
      <c r="B55" s="15" t="s">
        <v>111</v>
      </c>
      <c r="C55" s="15" t="s">
        <v>112</v>
      </c>
      <c r="D55" s="16" t="s">
        <v>113</v>
      </c>
      <c r="E55" s="1"/>
      <c r="F55" s="1"/>
      <c r="G55" s="1"/>
      <c r="H55" s="1"/>
      <c r="I55" s="1"/>
    </row>
    <row r="56" spans="1:9" ht="24">
      <c r="A56" s="15" t="s">
        <v>114</v>
      </c>
      <c r="B56" s="15" t="s">
        <v>115</v>
      </c>
      <c r="C56" s="15" t="s">
        <v>116</v>
      </c>
      <c r="D56" s="16" t="s">
        <v>117</v>
      </c>
      <c r="E56" s="1"/>
      <c r="F56" s="1"/>
      <c r="G56" s="1"/>
      <c r="H56" s="1"/>
      <c r="I56" s="1"/>
    </row>
    <row r="57" spans="1:9" ht="48">
      <c r="A57" s="15" t="s">
        <v>118</v>
      </c>
      <c r="B57" s="15" t="s">
        <v>119</v>
      </c>
      <c r="C57" s="15" t="s">
        <v>120</v>
      </c>
      <c r="D57" s="16" t="s">
        <v>121</v>
      </c>
      <c r="E57" s="1"/>
      <c r="F57" s="1"/>
      <c r="G57" s="1"/>
      <c r="H57" s="1"/>
      <c r="I57" s="1"/>
    </row>
    <row r="58" spans="1:9">
      <c r="A58" s="1"/>
      <c r="B58" s="1"/>
      <c r="C58" s="1"/>
      <c r="D58" s="1"/>
      <c r="E58" s="1"/>
      <c r="F58" s="1"/>
      <c r="G58" s="1"/>
      <c r="H58" s="1"/>
      <c r="I58" s="1"/>
    </row>
    <row r="59" spans="1:9">
      <c r="A59" s="1"/>
      <c r="B59" s="1"/>
      <c r="C59" s="1"/>
      <c r="D59" s="1"/>
      <c r="E59" s="1"/>
      <c r="F59" s="1"/>
      <c r="G59" s="1"/>
      <c r="H59" s="1"/>
      <c r="I59" s="1"/>
    </row>
    <row r="60" spans="1:9">
      <c r="A60" s="1"/>
      <c r="B60" s="1"/>
      <c r="C60" s="1"/>
      <c r="D60" s="1"/>
      <c r="E60" s="1"/>
      <c r="F60" s="1"/>
      <c r="G60" s="1"/>
      <c r="H60" s="1"/>
      <c r="I60" s="1"/>
    </row>
    <row r="61" spans="1:9">
      <c r="A61" s="1"/>
      <c r="B61" s="1"/>
      <c r="C61" s="1"/>
      <c r="D61" s="1"/>
      <c r="E61" s="1"/>
      <c r="F61" s="1"/>
      <c r="G61" s="1"/>
      <c r="H61" s="1"/>
      <c r="I61" s="1"/>
    </row>
    <row r="62" spans="1:9">
      <c r="A62" s="1"/>
      <c r="B62" s="1"/>
      <c r="C62" s="1"/>
      <c r="D62" s="1"/>
      <c r="E62" s="1"/>
      <c r="F62" s="1"/>
      <c r="G62" s="1"/>
      <c r="H62" s="1"/>
      <c r="I62" s="1"/>
    </row>
    <row r="63" spans="1:9">
      <c r="A63" s="1"/>
      <c r="B63" s="1"/>
      <c r="C63" s="1"/>
      <c r="D63" s="1"/>
      <c r="E63" s="1"/>
      <c r="F63" s="1"/>
      <c r="G63" s="1"/>
      <c r="H63" s="1"/>
      <c r="I63" s="1"/>
    </row>
    <row r="64" spans="1:9">
      <c r="A64" s="1"/>
      <c r="B64" s="1"/>
      <c r="C64" s="1"/>
      <c r="D64" s="1"/>
      <c r="E64" s="1"/>
      <c r="F64" s="1"/>
      <c r="G64" s="1"/>
      <c r="H64" s="1"/>
      <c r="I64" s="1"/>
    </row>
    <row r="65" spans="1:9">
      <c r="A65" s="1"/>
      <c r="B65" s="1"/>
      <c r="C65" s="1"/>
      <c r="D65" s="1"/>
      <c r="E65" s="1"/>
      <c r="F65" s="1"/>
      <c r="G65" s="1"/>
      <c r="H65" s="1"/>
      <c r="I65" s="1"/>
    </row>
  </sheetData>
  <mergeCells count="6">
    <mergeCell ref="A48:I48"/>
    <mergeCell ref="A1:I1"/>
    <mergeCell ref="A2:I2"/>
    <mergeCell ref="A4:I4"/>
    <mergeCell ref="A31:I31"/>
    <mergeCell ref="F32:I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5"/>
  <sheetViews>
    <sheetView workbookViewId="0">
      <selection sqref="A1:I1"/>
    </sheetView>
  </sheetViews>
  <sheetFormatPr baseColWidth="10" defaultColWidth="8.83203125" defaultRowHeight="14"/>
  <cols>
    <col min="1" max="1" width="32" customWidth="1"/>
    <col min="2" max="9" width="13" customWidth="1"/>
  </cols>
  <sheetData>
    <row r="1" spans="1:9" ht="34.75" customHeight="1">
      <c r="A1" s="33" t="s">
        <v>122</v>
      </c>
      <c r="B1" s="33"/>
      <c r="C1" s="33"/>
      <c r="D1" s="33"/>
      <c r="E1" s="33"/>
      <c r="F1" s="33"/>
      <c r="G1" s="33"/>
      <c r="H1" s="33"/>
      <c r="I1" s="33"/>
    </row>
    <row r="2" spans="1:9" ht="26.75" customHeight="1">
      <c r="A2" s="34" t="s">
        <v>123</v>
      </c>
      <c r="B2" s="34"/>
      <c r="C2" s="34"/>
      <c r="D2" s="34"/>
      <c r="E2" s="34"/>
      <c r="F2" s="34"/>
      <c r="G2" s="34"/>
      <c r="H2" s="34"/>
      <c r="I2" s="34"/>
    </row>
    <row r="3" spans="1:9">
      <c r="A3" s="1"/>
      <c r="B3" s="1"/>
      <c r="C3" s="1"/>
      <c r="D3" s="1"/>
      <c r="E3" s="1"/>
      <c r="F3" s="1"/>
      <c r="G3" s="1"/>
      <c r="H3" s="1"/>
      <c r="I3" s="1"/>
    </row>
    <row r="4" spans="1:9" ht="25.25" customHeight="1">
      <c r="A4" s="39" t="s">
        <v>124</v>
      </c>
      <c r="B4" s="39"/>
      <c r="C4" s="39"/>
      <c r="D4" s="39"/>
      <c r="E4" s="39"/>
      <c r="F4" s="39"/>
      <c r="G4" s="39"/>
      <c r="H4" s="39"/>
      <c r="I4" s="39"/>
    </row>
    <row r="5" spans="1:9">
      <c r="A5" s="4" t="s">
        <v>46</v>
      </c>
      <c r="B5" s="3" t="s">
        <v>10</v>
      </c>
      <c r="C5" s="3" t="s">
        <v>11</v>
      </c>
      <c r="D5" s="3" t="s">
        <v>12</v>
      </c>
      <c r="E5" s="22" t="s">
        <v>13</v>
      </c>
      <c r="F5" s="22" t="s">
        <v>14</v>
      </c>
      <c r="G5" s="22" t="s">
        <v>15</v>
      </c>
      <c r="H5" s="22" t="s">
        <v>16</v>
      </c>
      <c r="I5" s="22" t="s">
        <v>17</v>
      </c>
    </row>
    <row r="6" spans="1:9">
      <c r="A6" s="1" t="s">
        <v>47</v>
      </c>
      <c r="B6" s="7">
        <v>96</v>
      </c>
      <c r="C6" s="7">
        <v>104.3</v>
      </c>
      <c r="D6" s="7">
        <v>116.9</v>
      </c>
      <c r="E6" s="17">
        <f>'Assumptions &amp; Sources'!E6</f>
        <v>143.9</v>
      </c>
      <c r="F6" s="17">
        <f>'Assumptions &amp; Sources'!F6</f>
        <v>175.3</v>
      </c>
      <c r="G6" s="17">
        <f>'Assumptions &amp; Sources'!G6</f>
        <v>200</v>
      </c>
      <c r="H6" s="17">
        <f>'Assumptions &amp; Sources'!H6</f>
        <v>216</v>
      </c>
      <c r="I6" s="17">
        <f>'Assumptions &amp; Sources'!I6</f>
        <v>205.2</v>
      </c>
    </row>
    <row r="7" spans="1:9">
      <c r="A7" s="1" t="s">
        <v>48</v>
      </c>
      <c r="B7" s="8">
        <f>0</f>
        <v>0</v>
      </c>
      <c r="C7" s="8">
        <f>C6/B6-1</f>
        <v>8.6458333333333304E-2</v>
      </c>
      <c r="D7" s="8">
        <f>D6/C6-1</f>
        <v>0.12080536912751683</v>
      </c>
      <c r="E7" s="18">
        <f>'Assumptions &amp; Sources'!E7</f>
        <v>0.23096663815226681</v>
      </c>
      <c r="F7" s="18">
        <f>'Assumptions &amp; Sources'!F7</f>
        <v>0.21820708825573321</v>
      </c>
      <c r="G7" s="18">
        <f>'Assumptions &amp; Sources'!G7</f>
        <v>0.1409013120365088</v>
      </c>
      <c r="H7" s="18">
        <f>'Assumptions &amp; Sources'!H7</f>
        <v>8.0000000000000071E-2</v>
      </c>
      <c r="I7" s="18">
        <f>'Assumptions &amp; Sources'!I7</f>
        <v>-5.0000000000000044E-2</v>
      </c>
    </row>
    <row r="8" spans="1:9">
      <c r="A8" s="1" t="s">
        <v>125</v>
      </c>
      <c r="B8" s="8">
        <v>0</v>
      </c>
      <c r="C8" s="8">
        <v>0</v>
      </c>
      <c r="D8" s="8">
        <v>0</v>
      </c>
      <c r="E8" s="18">
        <f>'Assumptions &amp; Sources'!E8</f>
        <v>0.85</v>
      </c>
      <c r="F8" s="18">
        <f>'Assumptions &amp; Sources'!F8</f>
        <v>1</v>
      </c>
      <c r="G8" s="18">
        <f>'Assumptions &amp; Sources'!G8</f>
        <v>0.9</v>
      </c>
      <c r="H8" s="18">
        <f>'Assumptions &amp; Sources'!H8</f>
        <v>0.8</v>
      </c>
      <c r="I8" s="18">
        <f>'Assumptions &amp; Sources'!I8</f>
        <v>0.8</v>
      </c>
    </row>
    <row r="9" spans="1:9">
      <c r="A9" s="1" t="s">
        <v>126</v>
      </c>
      <c r="B9" s="8"/>
      <c r="C9" s="8"/>
      <c r="D9" s="8"/>
      <c r="E9" s="6">
        <f>E7*E8</f>
        <v>0.19632164242942679</v>
      </c>
      <c r="F9" s="6">
        <f>F7*F8</f>
        <v>0.21820708825573321</v>
      </c>
      <c r="G9" s="6">
        <f>G7*G8</f>
        <v>0.12681118083285792</v>
      </c>
      <c r="H9" s="6">
        <f>H7*H8</f>
        <v>6.4000000000000057E-2</v>
      </c>
      <c r="I9" s="6">
        <f>I7*I8</f>
        <v>-4.0000000000000036E-2</v>
      </c>
    </row>
    <row r="10" spans="1:9">
      <c r="A10" s="1" t="s">
        <v>50</v>
      </c>
      <c r="B10" s="8">
        <v>0</v>
      </c>
      <c r="C10" s="8">
        <v>0</v>
      </c>
      <c r="D10" s="8">
        <v>0</v>
      </c>
      <c r="E10" s="18">
        <f>'Assumptions &amp; Sources'!E9</f>
        <v>0.04</v>
      </c>
      <c r="F10" s="18">
        <f>'Assumptions &amp; Sources'!F9</f>
        <v>0.06</v>
      </c>
      <c r="G10" s="18">
        <f>'Assumptions &amp; Sources'!G9</f>
        <v>6.5000000000000002E-2</v>
      </c>
      <c r="H10" s="18">
        <f>'Assumptions &amp; Sources'!H9</f>
        <v>0.04</v>
      </c>
      <c r="I10" s="18">
        <f>'Assumptions &amp; Sources'!I9</f>
        <v>0.04</v>
      </c>
    </row>
    <row r="11" spans="1:9">
      <c r="A11" s="1" t="s">
        <v>51</v>
      </c>
      <c r="B11" s="8">
        <v>0</v>
      </c>
      <c r="C11" s="8">
        <v>0</v>
      </c>
      <c r="D11" s="8">
        <v>0</v>
      </c>
      <c r="E11" s="18">
        <f>'Assumptions &amp; Sources'!E10</f>
        <v>0.04</v>
      </c>
      <c r="F11" s="18">
        <f>'Assumptions &amp; Sources'!F10</f>
        <v>0.1</v>
      </c>
      <c r="G11" s="18">
        <f>'Assumptions &amp; Sources'!G10</f>
        <v>0.03</v>
      </c>
      <c r="H11" s="18">
        <f>'Assumptions &amp; Sources'!H10</f>
        <v>0</v>
      </c>
      <c r="I11" s="18">
        <f>'Assumptions &amp; Sources'!I10</f>
        <v>0</v>
      </c>
    </row>
    <row r="12" spans="1:9">
      <c r="A12" s="1" t="s">
        <v>127</v>
      </c>
      <c r="B12" s="8">
        <f>0</f>
        <v>0</v>
      </c>
      <c r="C12" s="8">
        <f>C13/B13-1</f>
        <v>0.22046332046332062</v>
      </c>
      <c r="D12" s="8">
        <f>D13/C13-1</f>
        <v>0.14631445745017402</v>
      </c>
      <c r="E12" s="6">
        <f>SUM(E9:E11)</f>
        <v>0.27632164242942681</v>
      </c>
      <c r="F12" s="6">
        <f>SUM(F9:F11)</f>
        <v>0.37820708825573324</v>
      </c>
      <c r="G12" s="6">
        <f>SUM(G9:G11)</f>
        <v>0.22181118083285792</v>
      </c>
      <c r="H12" s="6">
        <f>SUM(H9:H11)</f>
        <v>0.10400000000000006</v>
      </c>
      <c r="I12" s="6">
        <f>SUM(I9:I11)</f>
        <v>-3.4694469519536142E-17</v>
      </c>
    </row>
    <row r="13" spans="1:9">
      <c r="A13" s="20" t="s">
        <v>128</v>
      </c>
      <c r="B13" s="21">
        <v>518</v>
      </c>
      <c r="C13" s="21">
        <v>632.20000000000005</v>
      </c>
      <c r="D13" s="21">
        <v>724.7</v>
      </c>
      <c r="E13" s="21">
        <f>D13*(1+E12)</f>
        <v>924.95029426860572</v>
      </c>
      <c r="F13" s="21">
        <f>E13*(1+F12)</f>
        <v>1274.7730518452186</v>
      </c>
      <c r="G13" s="21">
        <f>F13*(1+G12)</f>
        <v>1557.5319677689126</v>
      </c>
      <c r="H13" s="21">
        <f>G13*(1+H12)</f>
        <v>1719.5152924168797</v>
      </c>
      <c r="I13" s="21">
        <f>H13*(1+I12)</f>
        <v>1719.5152924168797</v>
      </c>
    </row>
    <row r="14" spans="1:9">
      <c r="A14" s="1"/>
      <c r="B14" s="7"/>
      <c r="C14" s="7"/>
      <c r="D14" s="7"/>
      <c r="E14" s="5"/>
      <c r="F14" s="5"/>
      <c r="G14" s="5"/>
      <c r="H14" s="5"/>
      <c r="I14" s="5"/>
    </row>
    <row r="15" spans="1:9">
      <c r="A15" s="1" t="s">
        <v>52</v>
      </c>
      <c r="B15" s="8">
        <f>0</f>
        <v>0</v>
      </c>
      <c r="C15" s="8">
        <f>C16/B16-1</f>
        <v>-0.26697530864197538</v>
      </c>
      <c r="D15" s="8">
        <f>D16/C16-1</f>
        <v>5.1929824561403493E-2</v>
      </c>
      <c r="E15" s="18">
        <f>'Assumptions &amp; Sources'!E11</f>
        <v>0</v>
      </c>
      <c r="F15" s="18">
        <f>'Assumptions &amp; Sources'!F11</f>
        <v>0.1</v>
      </c>
      <c r="G15" s="18">
        <f>'Assumptions &amp; Sources'!G11</f>
        <v>0.09</v>
      </c>
      <c r="H15" s="18">
        <f>'Assumptions &amp; Sources'!H11</f>
        <v>7.0000000000000007E-2</v>
      </c>
      <c r="I15" s="18">
        <f>'Assumptions &amp; Sources'!I11</f>
        <v>0.05</v>
      </c>
    </row>
    <row r="16" spans="1:9">
      <c r="A16" s="20" t="s">
        <v>129</v>
      </c>
      <c r="B16" s="21">
        <v>194.4</v>
      </c>
      <c r="C16" s="21">
        <v>142.5</v>
      </c>
      <c r="D16" s="21">
        <v>149.9</v>
      </c>
      <c r="E16" s="21">
        <f>D16*(1+E15)</f>
        <v>149.9</v>
      </c>
      <c r="F16" s="21">
        <f>E16*(1+F15)</f>
        <v>164.89000000000001</v>
      </c>
      <c r="G16" s="21">
        <f>F16*(1+G15)</f>
        <v>179.73010000000002</v>
      </c>
      <c r="H16" s="21">
        <f>G16*(1+H15)</f>
        <v>192.31120700000002</v>
      </c>
      <c r="I16" s="21">
        <f>H16*(1+I15)</f>
        <v>201.92676735000003</v>
      </c>
    </row>
    <row r="17" spans="1:9">
      <c r="A17" s="1"/>
      <c r="B17" s="7"/>
      <c r="C17" s="7"/>
      <c r="D17" s="7"/>
      <c r="E17" s="5"/>
      <c r="F17" s="5"/>
      <c r="G17" s="5"/>
      <c r="H17" s="5"/>
      <c r="I17" s="5"/>
    </row>
    <row r="18" spans="1:9">
      <c r="A18" s="1" t="s">
        <v>53</v>
      </c>
      <c r="B18" s="8">
        <v>0</v>
      </c>
      <c r="C18" s="8">
        <v>0</v>
      </c>
      <c r="D18" s="8">
        <v>0</v>
      </c>
      <c r="E18" s="18">
        <f>'Assumptions &amp; Sources'!E12</f>
        <v>0.06</v>
      </c>
      <c r="F18" s="18">
        <f>'Assumptions &amp; Sources'!F12</f>
        <v>7.0000000000000007E-2</v>
      </c>
      <c r="G18" s="18">
        <f>'Assumptions &amp; Sources'!G12</f>
        <v>7.0000000000000007E-2</v>
      </c>
      <c r="H18" s="18">
        <f>'Assumptions &amp; Sources'!H12</f>
        <v>0.06</v>
      </c>
      <c r="I18" s="18">
        <f>'Assumptions &amp; Sources'!I12</f>
        <v>0.05</v>
      </c>
    </row>
    <row r="19" spans="1:9">
      <c r="A19" s="1" t="s">
        <v>54</v>
      </c>
      <c r="B19" s="8">
        <v>0</v>
      </c>
      <c r="C19" s="8">
        <v>0</v>
      </c>
      <c r="D19" s="8">
        <v>0</v>
      </c>
      <c r="E19" s="18">
        <f>'Assumptions &amp; Sources'!E13</f>
        <v>0.12</v>
      </c>
      <c r="F19" s="18">
        <f>'Assumptions &amp; Sources'!F13</f>
        <v>0.1</v>
      </c>
      <c r="G19" s="18">
        <f>'Assumptions &amp; Sources'!G13</f>
        <v>7.0000000000000007E-2</v>
      </c>
      <c r="H19" s="18">
        <f>'Assumptions &amp; Sources'!H13</f>
        <v>0.04</v>
      </c>
      <c r="I19" s="18">
        <f>'Assumptions &amp; Sources'!I13</f>
        <v>0.03</v>
      </c>
    </row>
    <row r="20" spans="1:9">
      <c r="A20" s="1" t="s">
        <v>130</v>
      </c>
      <c r="B20" s="8">
        <f>0</f>
        <v>0</v>
      </c>
      <c r="C20" s="8">
        <f>C21/B21-1</f>
        <v>-3.0902370030138737E-2</v>
      </c>
      <c r="D20" s="8">
        <f>D21/C21-1</f>
        <v>0.18696313982987611</v>
      </c>
      <c r="E20" s="6">
        <f>SUM(E18:E19)</f>
        <v>0.18</v>
      </c>
      <c r="F20" s="6">
        <f>SUM(F18:F19)</f>
        <v>0.17</v>
      </c>
      <c r="G20" s="6">
        <f>SUM(G18:G19)</f>
        <v>0.14000000000000001</v>
      </c>
      <c r="H20" s="6">
        <f>SUM(H18:H19)</f>
        <v>0.1</v>
      </c>
      <c r="I20" s="6">
        <f>SUM(I18:I19)</f>
        <v>0.08</v>
      </c>
    </row>
    <row r="21" spans="1:9">
      <c r="A21" s="20" t="s">
        <v>131</v>
      </c>
      <c r="B21" s="21">
        <v>172.86699999999999</v>
      </c>
      <c r="C21" s="21">
        <v>167.52500000000001</v>
      </c>
      <c r="D21" s="21">
        <v>198.846</v>
      </c>
      <c r="E21" s="21">
        <f>D21*(1+E20)</f>
        <v>234.63827999999998</v>
      </c>
      <c r="F21" s="21">
        <f>E21*(1+F20)</f>
        <v>274.52678759999998</v>
      </c>
      <c r="G21" s="21">
        <f>F21*(1+G20)</f>
        <v>312.960537864</v>
      </c>
      <c r="H21" s="21">
        <f>G21*(1+H20)</f>
        <v>344.25659165040003</v>
      </c>
      <c r="I21" s="21">
        <f>H21*(1+I20)</f>
        <v>371.79711898243204</v>
      </c>
    </row>
    <row r="22" spans="1:9">
      <c r="A22" s="1"/>
      <c r="B22" s="7"/>
      <c r="C22" s="7"/>
      <c r="D22" s="7"/>
      <c r="E22" s="5"/>
      <c r="F22" s="5"/>
      <c r="G22" s="5"/>
      <c r="H22" s="5"/>
      <c r="I22" s="5"/>
    </row>
    <row r="23" spans="1:9">
      <c r="A23" s="1" t="s">
        <v>132</v>
      </c>
      <c r="B23" s="7">
        <v>4.9000000000000002E-2</v>
      </c>
      <c r="C23" s="7">
        <v>-2.5000000000000001E-2</v>
      </c>
      <c r="D23" s="7">
        <v>7.0000000000000007E-2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</row>
    <row r="24" spans="1:9">
      <c r="A24" s="20" t="s">
        <v>133</v>
      </c>
      <c r="B24" s="21">
        <v>885.31600000000003</v>
      </c>
      <c r="C24" s="21">
        <v>942.2</v>
      </c>
      <c r="D24" s="21">
        <v>1073.5160000000001</v>
      </c>
      <c r="E24" s="21">
        <f>SUM(E13,E16,E21,E23)</f>
        <v>1309.4885742686056</v>
      </c>
      <c r="F24" s="21">
        <f>SUM(F13,F16,F21,F23)</f>
        <v>1714.1898394452187</v>
      </c>
      <c r="G24" s="21">
        <f>SUM(G13,G16,G21,G23)</f>
        <v>2050.2226056329127</v>
      </c>
      <c r="H24" s="21">
        <f>SUM(H13,H16,H21,H23)</f>
        <v>2256.0830910672798</v>
      </c>
      <c r="I24" s="21">
        <f>SUM(I13,I16,I21,I23)</f>
        <v>2293.2391787493116</v>
      </c>
    </row>
    <row r="25" spans="1:9">
      <c r="A25" s="1" t="s">
        <v>19</v>
      </c>
      <c r="B25" s="8">
        <f>0</f>
        <v>0</v>
      </c>
      <c r="C25" s="8">
        <f t="shared" ref="C25:I25" si="0">C24/B24-1</f>
        <v>6.4252763984837147E-2</v>
      </c>
      <c r="D25" s="8">
        <f t="shared" si="0"/>
        <v>0.1393716832944174</v>
      </c>
      <c r="E25" s="6">
        <f t="shared" si="0"/>
        <v>0.21981281533633923</v>
      </c>
      <c r="F25" s="6">
        <f t="shared" si="0"/>
        <v>0.30905291816131553</v>
      </c>
      <c r="G25" s="6">
        <f t="shared" si="0"/>
        <v>0.19603007698169983</v>
      </c>
      <c r="H25" s="6">
        <f t="shared" si="0"/>
        <v>0.10040884578521991</v>
      </c>
      <c r="I25" s="6">
        <f t="shared" si="0"/>
        <v>1.6469290439322659E-2</v>
      </c>
    </row>
    <row r="26" spans="1:9">
      <c r="A26" s="1"/>
      <c r="B26" s="7"/>
      <c r="C26" s="7"/>
      <c r="D26" s="7"/>
      <c r="E26" s="5"/>
      <c r="F26" s="5"/>
      <c r="G26" s="5"/>
      <c r="H26" s="5"/>
      <c r="I26" s="5"/>
    </row>
    <row r="27" spans="1:9">
      <c r="A27" s="1" t="s">
        <v>134</v>
      </c>
      <c r="B27" s="7"/>
      <c r="C27" s="7"/>
      <c r="D27" s="7"/>
      <c r="E27" s="17">
        <f>'Assumptions &amp; Sources'!E41</f>
        <v>1283</v>
      </c>
      <c r="F27" s="17">
        <f>'Assumptions &amp; Sources'!F41</f>
        <v>1626</v>
      </c>
      <c r="G27" s="17">
        <f>'Assumptions &amp; Sources'!G41</f>
        <v>1822</v>
      </c>
      <c r="H27" s="5"/>
      <c r="I27" s="5"/>
    </row>
    <row r="28" spans="1:9">
      <c r="A28" s="1" t="s">
        <v>135</v>
      </c>
      <c r="B28" s="8"/>
      <c r="C28" s="8"/>
      <c r="D28" s="8"/>
      <c r="E28" s="6">
        <f>E24/E27-1</f>
        <v>2.0645810030090139E-2</v>
      </c>
      <c r="F28" s="6">
        <f>F24/F27-1</f>
        <v>5.4237293631745898E-2</v>
      </c>
      <c r="G28" s="6">
        <f>G24/G27-1</f>
        <v>0.12525938838249884</v>
      </c>
      <c r="H28" s="6"/>
      <c r="I28" s="6"/>
    </row>
    <row r="29" spans="1:9">
      <c r="A29" s="1"/>
      <c r="B29" s="7"/>
      <c r="C29" s="7"/>
      <c r="D29" s="7"/>
      <c r="E29" s="5"/>
      <c r="F29" s="5"/>
      <c r="G29" s="5"/>
      <c r="H29" s="5"/>
      <c r="I29" s="5"/>
    </row>
    <row r="30" spans="1:9">
      <c r="A30" s="1" t="s">
        <v>136</v>
      </c>
      <c r="B30" s="8">
        <f t="shared" ref="B30:I30" si="1">B13/B24</f>
        <v>0.58510181675243644</v>
      </c>
      <c r="C30" s="8">
        <f t="shared" si="1"/>
        <v>0.67098280619825945</v>
      </c>
      <c r="D30" s="8">
        <f t="shared" si="1"/>
        <v>0.67507144746794645</v>
      </c>
      <c r="E30" s="6">
        <f t="shared" si="1"/>
        <v>0.70634468482111212</v>
      </c>
      <c r="F30" s="6">
        <f t="shared" si="1"/>
        <v>0.743659204197469</v>
      </c>
      <c r="G30" s="6">
        <f t="shared" si="1"/>
        <v>0.75968919837760529</v>
      </c>
      <c r="H30" s="6">
        <f t="shared" si="1"/>
        <v>0.76216842332851875</v>
      </c>
      <c r="I30" s="6">
        <f t="shared" si="1"/>
        <v>0.74981942936919044</v>
      </c>
    </row>
    <row r="31" spans="1:9">
      <c r="A31" s="1" t="s">
        <v>137</v>
      </c>
      <c r="B31" s="8">
        <f t="shared" ref="B31:I31" si="2">B21/B24</f>
        <v>0.19526022346823055</v>
      </c>
      <c r="C31" s="8">
        <f t="shared" si="2"/>
        <v>0.17780195287624709</v>
      </c>
      <c r="D31" s="8">
        <f t="shared" si="2"/>
        <v>0.18522872504927732</v>
      </c>
      <c r="E31" s="6">
        <f t="shared" si="2"/>
        <v>0.17918314417600287</v>
      </c>
      <c r="F31" s="6">
        <f t="shared" si="2"/>
        <v>0.16014958278416117</v>
      </c>
      <c r="G31" s="6">
        <f t="shared" si="2"/>
        <v>0.15264710134604514</v>
      </c>
      <c r="H31" s="6">
        <f t="shared" si="2"/>
        <v>0.15259038685828871</v>
      </c>
      <c r="I31" s="6">
        <f t="shared" si="2"/>
        <v>0.16212749303594359</v>
      </c>
    </row>
    <row r="32" spans="1:9">
      <c r="A32" s="1"/>
      <c r="B32" s="1"/>
      <c r="C32" s="1"/>
      <c r="D32" s="1"/>
      <c r="E32" s="1"/>
      <c r="F32" s="1"/>
      <c r="G32" s="1"/>
      <c r="H32" s="1"/>
      <c r="I32" s="1"/>
    </row>
    <row r="33" spans="1:9">
      <c r="A33" s="1"/>
      <c r="B33" s="1"/>
      <c r="C33" s="1"/>
      <c r="D33" s="1"/>
      <c r="E33" s="1"/>
      <c r="F33" s="1"/>
      <c r="G33" s="1"/>
      <c r="H33" s="1"/>
      <c r="I33" s="1"/>
    </row>
    <row r="34" spans="1:9" ht="25.25" customHeight="1">
      <c r="A34" s="39" t="s">
        <v>138</v>
      </c>
      <c r="B34" s="39"/>
      <c r="C34" s="39"/>
      <c r="D34" s="39"/>
      <c r="E34" s="39"/>
      <c r="F34" s="39"/>
      <c r="G34" s="39"/>
      <c r="H34" s="39"/>
      <c r="I34" s="39"/>
    </row>
    <row r="35" spans="1:9">
      <c r="A35" s="2" t="s">
        <v>32</v>
      </c>
      <c r="B35" s="2" t="s">
        <v>139</v>
      </c>
      <c r="C35" s="2" t="s">
        <v>140</v>
      </c>
      <c r="D35" s="1"/>
      <c r="E35" s="1"/>
      <c r="F35" s="1"/>
      <c r="G35" s="1"/>
      <c r="H35" s="1"/>
      <c r="I35" s="1"/>
    </row>
    <row r="36" spans="1:9">
      <c r="A36" s="1" t="s">
        <v>141</v>
      </c>
      <c r="B36" s="6">
        <f>(G24/D24)^(1/3)-1</f>
        <v>0.24069252407096098</v>
      </c>
      <c r="C36" s="1" t="s">
        <v>142</v>
      </c>
      <c r="D36" s="1"/>
      <c r="E36" s="1"/>
      <c r="F36" s="1"/>
      <c r="G36" s="1"/>
      <c r="H36" s="1"/>
      <c r="I36" s="1"/>
    </row>
    <row r="37" spans="1:9">
      <c r="A37" s="1" t="s">
        <v>143</v>
      </c>
      <c r="B37" s="6">
        <f>G28</f>
        <v>0.12525938838249884</v>
      </c>
      <c r="C37" s="1" t="s">
        <v>144</v>
      </c>
      <c r="D37" s="1"/>
      <c r="E37" s="1"/>
      <c r="F37" s="1"/>
      <c r="G37" s="1"/>
      <c r="H37" s="1"/>
      <c r="I37" s="1"/>
    </row>
    <row r="38" spans="1:9">
      <c r="A38" s="1" t="s">
        <v>37</v>
      </c>
      <c r="B38" s="6">
        <f>'Assumptions &amp; Sources'!G14</f>
        <v>0.37</v>
      </c>
      <c r="C38" s="1" t="s">
        <v>145</v>
      </c>
      <c r="D38" s="1"/>
      <c r="E38" s="1"/>
      <c r="F38" s="1"/>
      <c r="G38" s="19"/>
      <c r="H38" s="1"/>
      <c r="I38" s="1"/>
    </row>
    <row r="39" spans="1:9">
      <c r="A39" s="1" t="s">
        <v>146</v>
      </c>
      <c r="B39" s="5">
        <f>G24</f>
        <v>2050.2226056329127</v>
      </c>
      <c r="C39" s="1" t="s">
        <v>147</v>
      </c>
      <c r="D39" s="1"/>
      <c r="E39" s="1"/>
      <c r="F39" s="1"/>
      <c r="G39" s="1"/>
      <c r="H39" s="1"/>
      <c r="I39" s="1"/>
    </row>
    <row r="40" spans="1:9">
      <c r="A40" s="1"/>
      <c r="B40" s="1"/>
      <c r="C40" s="1"/>
      <c r="D40" s="1"/>
      <c r="E40" s="1"/>
      <c r="F40" s="1"/>
      <c r="G40" s="1"/>
      <c r="H40" s="1"/>
      <c r="I40" s="1"/>
    </row>
    <row r="41" spans="1:9">
      <c r="A41" s="1"/>
      <c r="B41" s="1"/>
      <c r="C41" s="1"/>
      <c r="D41" s="1"/>
      <c r="E41" s="1"/>
      <c r="F41" s="1"/>
      <c r="G41" s="1"/>
      <c r="H41" s="1"/>
      <c r="I41" s="1"/>
    </row>
    <row r="42" spans="1:9">
      <c r="A42" s="1"/>
      <c r="B42" s="1"/>
      <c r="C42" s="1"/>
      <c r="D42" s="1"/>
      <c r="E42" s="1"/>
      <c r="F42" s="1"/>
      <c r="G42" s="1"/>
      <c r="H42" s="1"/>
      <c r="I42" s="1"/>
    </row>
    <row r="43" spans="1:9">
      <c r="A43" s="1"/>
      <c r="B43" s="1"/>
      <c r="C43" s="1"/>
      <c r="D43" s="1"/>
      <c r="E43" s="1"/>
      <c r="F43" s="1"/>
      <c r="G43" s="1"/>
      <c r="H43" s="1"/>
      <c r="I43" s="1"/>
    </row>
    <row r="44" spans="1:9">
      <c r="A44" s="1"/>
      <c r="B44" s="1"/>
      <c r="C44" s="1"/>
      <c r="D44" s="1"/>
      <c r="E44" s="1"/>
      <c r="F44" s="1"/>
      <c r="G44" s="1"/>
      <c r="H44" s="1"/>
      <c r="I44" s="1"/>
    </row>
    <row r="45" spans="1:9">
      <c r="A45" s="1"/>
      <c r="B45" s="1"/>
      <c r="C45" s="1"/>
      <c r="D45" s="1"/>
      <c r="E45" s="1"/>
      <c r="F45" s="1"/>
      <c r="G45" s="1"/>
      <c r="H45" s="1"/>
      <c r="I45" s="1"/>
    </row>
  </sheetData>
  <mergeCells count="4">
    <mergeCell ref="A1:I1"/>
    <mergeCell ref="A2:I2"/>
    <mergeCell ref="A4:I4"/>
    <mergeCell ref="A34:I3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0"/>
  <sheetViews>
    <sheetView topLeftCell="A49" workbookViewId="0">
      <selection sqref="A1:I1"/>
    </sheetView>
  </sheetViews>
  <sheetFormatPr baseColWidth="10" defaultColWidth="8.83203125" defaultRowHeight="14"/>
  <cols>
    <col min="1" max="1" width="32" customWidth="1"/>
    <col min="2" max="9" width="13" customWidth="1"/>
  </cols>
  <sheetData>
    <row r="1" spans="1:9" ht="34.75" customHeight="1">
      <c r="A1" s="33" t="s">
        <v>148</v>
      </c>
      <c r="B1" s="33"/>
      <c r="C1" s="33"/>
      <c r="D1" s="33"/>
      <c r="E1" s="33"/>
      <c r="F1" s="33"/>
      <c r="G1" s="33"/>
      <c r="H1" s="33"/>
      <c r="I1" s="33"/>
    </row>
    <row r="2" spans="1:9" ht="26.75" customHeight="1">
      <c r="A2" s="34" t="s">
        <v>149</v>
      </c>
      <c r="B2" s="34"/>
      <c r="C2" s="34"/>
      <c r="D2" s="34"/>
      <c r="E2" s="34"/>
      <c r="F2" s="34"/>
      <c r="G2" s="34"/>
      <c r="H2" s="34"/>
      <c r="I2" s="34"/>
    </row>
    <row r="3" spans="1:9">
      <c r="A3" s="1"/>
      <c r="B3" s="1"/>
      <c r="C3" s="1"/>
      <c r="D3" s="1"/>
      <c r="E3" s="1"/>
      <c r="F3" s="1"/>
      <c r="G3" s="1"/>
      <c r="H3" s="1"/>
      <c r="I3" s="1"/>
    </row>
    <row r="4" spans="1:9" ht="25.25" customHeight="1">
      <c r="A4" s="39" t="s">
        <v>150</v>
      </c>
      <c r="B4" s="39"/>
      <c r="C4" s="39"/>
      <c r="D4" s="39"/>
      <c r="E4" s="39"/>
      <c r="F4" s="39"/>
      <c r="G4" s="39"/>
      <c r="H4" s="39"/>
      <c r="I4" s="39"/>
    </row>
    <row r="5" spans="1:9">
      <c r="A5" s="4" t="s">
        <v>46</v>
      </c>
      <c r="B5" s="3" t="s">
        <v>10</v>
      </c>
      <c r="C5" s="3" t="s">
        <v>11</v>
      </c>
      <c r="D5" s="3" t="s">
        <v>12</v>
      </c>
      <c r="E5" s="22" t="s">
        <v>13</v>
      </c>
      <c r="F5" s="22" t="s">
        <v>14</v>
      </c>
      <c r="G5" s="22" t="s">
        <v>15</v>
      </c>
      <c r="H5" s="22" t="s">
        <v>16</v>
      </c>
      <c r="I5" s="22" t="s">
        <v>17</v>
      </c>
    </row>
    <row r="6" spans="1:9">
      <c r="A6" s="1" t="s">
        <v>18</v>
      </c>
      <c r="B6" s="7">
        <v>885.31600000000003</v>
      </c>
      <c r="C6" s="7">
        <v>942.2</v>
      </c>
      <c r="D6" s="7">
        <v>1073.5160000000001</v>
      </c>
      <c r="E6" s="17">
        <f>'Revenue Build'!E24</f>
        <v>1309.4885742686056</v>
      </c>
      <c r="F6" s="17">
        <f>'Revenue Build'!F24</f>
        <v>1714.1898394452187</v>
      </c>
      <c r="G6" s="17">
        <f>'Revenue Build'!G24</f>
        <v>2050.2226056329127</v>
      </c>
      <c r="H6" s="17">
        <f>'Revenue Build'!H24</f>
        <v>2256.0830910672798</v>
      </c>
      <c r="I6" s="17">
        <f>'Revenue Build'!I24</f>
        <v>2293.2391787493116</v>
      </c>
    </row>
    <row r="7" spans="1:9">
      <c r="A7" s="25" t="s">
        <v>19</v>
      </c>
      <c r="B7" s="8">
        <f>0</f>
        <v>0</v>
      </c>
      <c r="C7" s="8">
        <f t="shared" ref="C7:I7" si="0">C6/B6-1</f>
        <v>6.4252763984837147E-2</v>
      </c>
      <c r="D7" s="8">
        <f t="shared" si="0"/>
        <v>0.1393716832944174</v>
      </c>
      <c r="E7" s="6">
        <f t="shared" si="0"/>
        <v>0.21981281533633923</v>
      </c>
      <c r="F7" s="6">
        <f t="shared" si="0"/>
        <v>0.30905291816131553</v>
      </c>
      <c r="G7" s="6">
        <f t="shared" si="0"/>
        <v>0.19603007698169983</v>
      </c>
      <c r="H7" s="6">
        <f t="shared" si="0"/>
        <v>0.10040884578521991</v>
      </c>
      <c r="I7" s="6">
        <f t="shared" si="0"/>
        <v>1.6469290439322659E-2</v>
      </c>
    </row>
    <row r="8" spans="1:9">
      <c r="A8" s="20" t="s">
        <v>20</v>
      </c>
      <c r="B8" s="21">
        <v>270.911</v>
      </c>
      <c r="C8" s="21">
        <v>293.666</v>
      </c>
      <c r="D8" s="21">
        <v>321.577</v>
      </c>
      <c r="E8" s="21">
        <f>E6*'Assumptions &amp; Sources'!E14</f>
        <v>432.13122950863988</v>
      </c>
      <c r="F8" s="21">
        <f>F6*'Assumptions &amp; Sources'!F14</f>
        <v>608.53739300305256</v>
      </c>
      <c r="G8" s="21">
        <f>G6*'Assumptions &amp; Sources'!G14</f>
        <v>758.5823640841777</v>
      </c>
      <c r="H8" s="21">
        <f>H6*'Assumptions &amp; Sources'!H14</f>
        <v>834.75074369489357</v>
      </c>
      <c r="I8" s="21">
        <f>I6*'Assumptions &amp; Sources'!I14</f>
        <v>825.5661043497521</v>
      </c>
    </row>
    <row r="9" spans="1:9">
      <c r="A9" s="25" t="s">
        <v>21</v>
      </c>
      <c r="B9" s="8">
        <f t="shared" ref="B9:I9" si="1">B8/B6</f>
        <v>0.3060048615409639</v>
      </c>
      <c r="C9" s="8">
        <f t="shared" si="1"/>
        <v>0.31168117172574822</v>
      </c>
      <c r="D9" s="8">
        <f t="shared" si="1"/>
        <v>0.29955492046695159</v>
      </c>
      <c r="E9" s="6">
        <f t="shared" si="1"/>
        <v>0.33</v>
      </c>
      <c r="F9" s="6">
        <f t="shared" si="1"/>
        <v>0.35499999999999993</v>
      </c>
      <c r="G9" s="6">
        <f t="shared" si="1"/>
        <v>0.37</v>
      </c>
      <c r="H9" s="6">
        <f t="shared" si="1"/>
        <v>0.37</v>
      </c>
      <c r="I9" s="6">
        <f t="shared" si="1"/>
        <v>0.36</v>
      </c>
    </row>
    <row r="10" spans="1:9">
      <c r="A10" s="1" t="s">
        <v>151</v>
      </c>
      <c r="B10" s="7">
        <v>-42.326999999999998</v>
      </c>
      <c r="C10" s="7">
        <v>-43.487000000000002</v>
      </c>
      <c r="D10" s="7">
        <v>-48.768000000000001</v>
      </c>
      <c r="E10" s="17">
        <f>-E6*'Assumptions &amp; Sources'!E15</f>
        <v>-54.998520119281437</v>
      </c>
      <c r="F10" s="17">
        <f>-F6*'Assumptions &amp; Sources'!F15</f>
        <v>-68.567593577808751</v>
      </c>
      <c r="G10" s="17">
        <f>-G6*'Assumptions &amp; Sources'!G15</f>
        <v>-82.008904225316513</v>
      </c>
      <c r="H10" s="17">
        <f>-H6*'Assumptions &amp; Sources'!H15</f>
        <v>-90.243323642691195</v>
      </c>
      <c r="I10" s="17">
        <f>-I6*'Assumptions &amp; Sources'!I15</f>
        <v>-91.729567149972468</v>
      </c>
    </row>
    <row r="11" spans="1:9">
      <c r="A11" s="20" t="s">
        <v>152</v>
      </c>
      <c r="B11" s="21">
        <f t="shared" ref="B11:I11" si="2">B8+B10</f>
        <v>228.584</v>
      </c>
      <c r="C11" s="21">
        <f t="shared" si="2"/>
        <v>250.179</v>
      </c>
      <c r="D11" s="21">
        <f t="shared" si="2"/>
        <v>272.80899999999997</v>
      </c>
      <c r="E11" s="21">
        <f t="shared" si="2"/>
        <v>377.13270938935841</v>
      </c>
      <c r="F11" s="21">
        <f t="shared" si="2"/>
        <v>539.96979942524376</v>
      </c>
      <c r="G11" s="21">
        <f t="shared" si="2"/>
        <v>676.57345985886116</v>
      </c>
      <c r="H11" s="21">
        <f t="shared" si="2"/>
        <v>744.50742005220241</v>
      </c>
      <c r="I11" s="21">
        <f t="shared" si="2"/>
        <v>733.83653719977963</v>
      </c>
    </row>
    <row r="12" spans="1:9">
      <c r="A12" s="1" t="s">
        <v>153</v>
      </c>
      <c r="B12" s="7">
        <v>-21.498999999999999</v>
      </c>
      <c r="C12" s="7">
        <v>2.411</v>
      </c>
      <c r="D12" s="7">
        <v>-15.494999999999999</v>
      </c>
      <c r="E12" s="17">
        <f>-AVERAGE('Assumptions &amp; Sources'!D22,'Assumptions &amp; Sources'!E22)*'Assumptions &amp; Sources'!E24</f>
        <v>-8.7285250000000012</v>
      </c>
      <c r="F12" s="17">
        <f>-AVERAGE('Assumptions &amp; Sources'!E22,'Assumptions &amp; Sources'!F22)*'Assumptions &amp; Sources'!F24</f>
        <v>-10.3125</v>
      </c>
      <c r="G12" s="17">
        <f>-AVERAGE('Assumptions &amp; Sources'!F22,'Assumptions &amp; Sources'!G22)*'Assumptions &amp; Sources'!G24</f>
        <v>-8.4375</v>
      </c>
      <c r="H12" s="17">
        <f>-AVERAGE('Assumptions &amp; Sources'!G22,'Assumptions &amp; Sources'!H22)*'Assumptions &amp; Sources'!H24</f>
        <v>-6.5625</v>
      </c>
      <c r="I12" s="17">
        <f>-AVERAGE('Assumptions &amp; Sources'!H22,'Assumptions &amp; Sources'!I22)*'Assumptions &amp; Sources'!I24</f>
        <v>-4.6875</v>
      </c>
    </row>
    <row r="13" spans="1:9">
      <c r="A13" s="20" t="s">
        <v>154</v>
      </c>
      <c r="B13" s="21">
        <f t="shared" ref="B13:I13" si="3">B11+B12</f>
        <v>207.08500000000001</v>
      </c>
      <c r="C13" s="21">
        <f t="shared" si="3"/>
        <v>252.59</v>
      </c>
      <c r="D13" s="21">
        <f t="shared" si="3"/>
        <v>257.31399999999996</v>
      </c>
      <c r="E13" s="21">
        <f t="shared" si="3"/>
        <v>368.40418438935842</v>
      </c>
      <c r="F13" s="21">
        <f t="shared" si="3"/>
        <v>529.65729942524376</v>
      </c>
      <c r="G13" s="21">
        <f t="shared" si="3"/>
        <v>668.13595985886116</v>
      </c>
      <c r="H13" s="21">
        <f t="shared" si="3"/>
        <v>737.94492005220241</v>
      </c>
      <c r="I13" s="21">
        <f t="shared" si="3"/>
        <v>729.14903719977963</v>
      </c>
    </row>
    <row r="14" spans="1:9">
      <c r="A14" s="1" t="s">
        <v>155</v>
      </c>
      <c r="B14" s="7">
        <v>-16.774999999999999</v>
      </c>
      <c r="C14" s="7">
        <v>-40.790999999999997</v>
      </c>
      <c r="D14" s="7">
        <v>-43.033999999999999</v>
      </c>
      <c r="E14" s="17">
        <f>-E13*'Assumptions &amp; Sources'!E25</f>
        <v>-60.786690424244142</v>
      </c>
      <c r="F14" s="17">
        <f>-F13*'Assumptions &amp; Sources'!F25</f>
        <v>-90.041740902291451</v>
      </c>
      <c r="G14" s="17">
        <f>-G13*'Assumptions &amp; Sources'!G25</f>
        <v>-113.58311317600641</v>
      </c>
      <c r="H14" s="17">
        <f>-H13*'Assumptions &amp; Sources'!H25</f>
        <v>-125.45063640887442</v>
      </c>
      <c r="I14" s="17">
        <f>-I13*'Assumptions &amp; Sources'!I25</f>
        <v>-123.95533632396254</v>
      </c>
    </row>
    <row r="15" spans="1:9">
      <c r="A15" s="20" t="s">
        <v>22</v>
      </c>
      <c r="B15" s="21">
        <v>190.31</v>
      </c>
      <c r="C15" s="21">
        <v>211.79900000000001</v>
      </c>
      <c r="D15" s="21">
        <v>214.28</v>
      </c>
      <c r="E15" s="21">
        <f>E13+E14</f>
        <v>307.61749396511425</v>
      </c>
      <c r="F15" s="21">
        <f>F13+F14</f>
        <v>439.61555852295231</v>
      </c>
      <c r="G15" s="21">
        <f>G13+G14</f>
        <v>554.55284668285481</v>
      </c>
      <c r="H15" s="21">
        <f>H13+H14</f>
        <v>612.494283643328</v>
      </c>
      <c r="I15" s="21">
        <f>I13+I14</f>
        <v>605.19370087581706</v>
      </c>
    </row>
    <row r="16" spans="1:9">
      <c r="A16" s="1" t="s">
        <v>23</v>
      </c>
      <c r="B16" s="23">
        <v>6.35</v>
      </c>
      <c r="C16" s="23">
        <v>7.06</v>
      </c>
      <c r="D16" s="23">
        <v>7.15</v>
      </c>
      <c r="E16" s="24">
        <f>E15/'Assumptions &amp; Sources'!E27</f>
        <v>10.253916465503808</v>
      </c>
      <c r="F16" s="24">
        <f>F15/'Assumptions &amp; Sources'!F27</f>
        <v>14.653851950765077</v>
      </c>
      <c r="G16" s="24">
        <f>G15/'Assumptions &amp; Sources'!G27</f>
        <v>18.485094889428492</v>
      </c>
      <c r="H16" s="24">
        <f>H15/'Assumptions &amp; Sources'!H27</f>
        <v>20.416476121444266</v>
      </c>
      <c r="I16" s="24">
        <f>I15/'Assumptions &amp; Sources'!I27</f>
        <v>20.173123362527235</v>
      </c>
    </row>
    <row r="17" spans="1:9">
      <c r="A17" s="25" t="s">
        <v>156</v>
      </c>
      <c r="B17" s="8">
        <f>0</f>
        <v>0</v>
      </c>
      <c r="C17" s="8">
        <f t="shared" ref="C17:I17" si="4">C16/B16-1</f>
        <v>0.11181102362204731</v>
      </c>
      <c r="D17" s="8">
        <f t="shared" si="4"/>
        <v>1.2747875354107707E-2</v>
      </c>
      <c r="E17" s="6">
        <f t="shared" si="4"/>
        <v>0.43411419097955362</v>
      </c>
      <c r="F17" s="6">
        <f t="shared" si="4"/>
        <v>0.4290980426906652</v>
      </c>
      <c r="G17" s="6">
        <f t="shared" si="4"/>
        <v>0.26144954593071246</v>
      </c>
      <c r="H17" s="6">
        <f t="shared" si="4"/>
        <v>0.10448316568395422</v>
      </c>
      <c r="I17" s="6">
        <f t="shared" si="4"/>
        <v>-1.1919430046080648E-2</v>
      </c>
    </row>
    <row r="18" spans="1:9">
      <c r="A18" s="1"/>
      <c r="B18" s="7"/>
      <c r="C18" s="7"/>
      <c r="D18" s="7"/>
      <c r="E18" s="5"/>
      <c r="F18" s="5"/>
      <c r="G18" s="5"/>
      <c r="H18" s="5"/>
      <c r="I18" s="5"/>
    </row>
    <row r="19" spans="1:9">
      <c r="A19" s="1"/>
      <c r="B19" s="7"/>
      <c r="C19" s="7"/>
      <c r="D19" s="7"/>
      <c r="E19" s="5"/>
      <c r="F19" s="5"/>
      <c r="G19" s="5"/>
      <c r="H19" s="5"/>
      <c r="I19" s="5"/>
    </row>
    <row r="20" spans="1:9" ht="25.25" customHeight="1">
      <c r="A20" s="39" t="s">
        <v>157</v>
      </c>
      <c r="B20" s="44"/>
      <c r="C20" s="44"/>
      <c r="D20" s="44"/>
      <c r="E20" s="45"/>
      <c r="F20" s="45"/>
      <c r="G20" s="45"/>
      <c r="H20" s="45"/>
      <c r="I20" s="45"/>
    </row>
    <row r="21" spans="1:9">
      <c r="A21" s="1" t="s">
        <v>158</v>
      </c>
      <c r="B21" s="7">
        <v>144.108</v>
      </c>
      <c r="C21" s="7">
        <v>158.12100000000001</v>
      </c>
      <c r="D21" s="7">
        <v>140.94</v>
      </c>
      <c r="E21" s="5">
        <f>E59</f>
        <v>249.87653523772426</v>
      </c>
      <c r="F21" s="5">
        <f>F59</f>
        <v>347.43930486093427</v>
      </c>
      <c r="G21" s="5">
        <f>G59</f>
        <v>481.94309315895794</v>
      </c>
      <c r="H21" s="5">
        <f>H59</f>
        <v>579.65221275868316</v>
      </c>
      <c r="I21" s="5">
        <f>I59</f>
        <v>636.83062372858558</v>
      </c>
    </row>
    <row r="22" spans="1:9">
      <c r="A22" s="1" t="s">
        <v>159</v>
      </c>
      <c r="B22" s="7">
        <v>108.752</v>
      </c>
      <c r="C22" s="7">
        <v>141.05600000000001</v>
      </c>
      <c r="D22" s="7">
        <v>125.765</v>
      </c>
      <c r="E22" s="17">
        <f>E6/365*'Assumptions &amp; Sources'!E16</f>
        <v>161.44379682763631</v>
      </c>
      <c r="F22" s="17">
        <f>F6/365*'Assumptions &amp; Sources'!F16</f>
        <v>211.33847335625987</v>
      </c>
      <c r="G22" s="17">
        <f>G6/365*'Assumptions &amp; Sources'!G16</f>
        <v>247.15012232287168</v>
      </c>
      <c r="H22" s="17">
        <f>H6/365*'Assumptions &amp; Sources'!H16</f>
        <v>271.96618084098714</v>
      </c>
      <c r="I22" s="17">
        <f>I6/365*'Assumptions &amp; Sources'!I16</f>
        <v>276.44527086293067</v>
      </c>
    </row>
    <row r="23" spans="1:9">
      <c r="A23" s="1" t="s">
        <v>160</v>
      </c>
      <c r="B23" s="7">
        <v>188.45500000000001</v>
      </c>
      <c r="C23" s="7">
        <v>247.596</v>
      </c>
      <c r="D23" s="7">
        <v>190.02099999999999</v>
      </c>
      <c r="E23" s="17">
        <f>E6/365*'Assumptions &amp; Sources'!E17</f>
        <v>287.01119436024231</v>
      </c>
      <c r="F23" s="17">
        <f>F6/365*'Assumptions &amp; Sources'!F17</f>
        <v>338.14155737001579</v>
      </c>
      <c r="G23" s="17">
        <f>G6/365*'Assumptions &amp; Sources'!G17</f>
        <v>365.10813524969677</v>
      </c>
      <c r="H23" s="17">
        <f>H6/365*'Assumptions &amp; Sources'!H17</f>
        <v>383.22507300320916</v>
      </c>
      <c r="I23" s="17">
        <f>I6/365*'Assumptions &amp; Sources'!I17</f>
        <v>376.9708239039964</v>
      </c>
    </row>
    <row r="24" spans="1:9">
      <c r="A24" s="1" t="s">
        <v>161</v>
      </c>
      <c r="B24" s="7">
        <v>31.273</v>
      </c>
      <c r="C24" s="7">
        <v>24.853000000000002</v>
      </c>
      <c r="D24" s="7">
        <v>32.5</v>
      </c>
      <c r="E24" s="17">
        <f>E6*'Assumptions &amp; Sources'!E19</f>
        <v>39.284657228058165</v>
      </c>
      <c r="F24" s="17">
        <f>F6*'Assumptions &amp; Sources'!F19</f>
        <v>51.425695183356559</v>
      </c>
      <c r="G24" s="17">
        <f>G6*'Assumptions &amp; Sources'!G19</f>
        <v>61.506678168987378</v>
      </c>
      <c r="H24" s="17">
        <f>H6*'Assumptions &amp; Sources'!H19</f>
        <v>67.682492732018389</v>
      </c>
      <c r="I24" s="17">
        <f>I6*'Assumptions &amp; Sources'!I19</f>
        <v>68.797175362479351</v>
      </c>
    </row>
    <row r="25" spans="1:9">
      <c r="A25" s="1" t="s">
        <v>162</v>
      </c>
      <c r="B25" s="7">
        <v>695.86800000000005</v>
      </c>
      <c r="C25" s="7">
        <v>723.12</v>
      </c>
      <c r="D25" s="7">
        <v>773.65200000000004</v>
      </c>
      <c r="E25" s="17">
        <f>D25+E6*'Assumptions &amp; Sources'!E21+'Assumptions &amp; Sources'!E23+E10</f>
        <v>907.22279433683491</v>
      </c>
      <c r="F25" s="17">
        <f>E25+F6*'Assumptions &amp; Sources'!F21+'Assumptions &amp; Sources'!F23+F10</f>
        <v>924.36469273128705</v>
      </c>
      <c r="G25" s="17">
        <f>F25+G6*'Assumptions &amp; Sources'!G21+'Assumptions &amp; Sources'!G23+G10</f>
        <v>944.8669187876161</v>
      </c>
      <c r="H25" s="17">
        <f>G25+H6*'Assumptions &amp; Sources'!H21+'Assumptions &amp; Sources'!H23+H10</f>
        <v>967.42774969828884</v>
      </c>
      <c r="I25" s="17">
        <f>H25+I6*'Assumptions &amp; Sources'!I21+'Assumptions &amp; Sources'!I23+I10</f>
        <v>990.36014148578204</v>
      </c>
    </row>
    <row r="26" spans="1:9">
      <c r="A26" s="20" t="s">
        <v>163</v>
      </c>
      <c r="B26" s="21">
        <v>1168.4559999999999</v>
      </c>
      <c r="C26" s="21">
        <v>1294.7460000000001</v>
      </c>
      <c r="D26" s="21">
        <v>1262.8779999999999</v>
      </c>
      <c r="E26" s="21">
        <f>SUM(E21:E25)</f>
        <v>1644.838977990496</v>
      </c>
      <c r="F26" s="21">
        <f>SUM(F21:F25)</f>
        <v>1872.7097235018537</v>
      </c>
      <c r="G26" s="21">
        <f>SUM(G21:G25)</f>
        <v>2100.5749476881301</v>
      </c>
      <c r="H26" s="21">
        <f>SUM(H21:H25)</f>
        <v>2269.9537090331869</v>
      </c>
      <c r="I26" s="21">
        <f>SUM(I21:I25)</f>
        <v>2349.404035343774</v>
      </c>
    </row>
    <row r="27" spans="1:9">
      <c r="A27" s="1"/>
      <c r="B27" s="7"/>
      <c r="C27" s="7"/>
      <c r="D27" s="7"/>
      <c r="E27" s="5"/>
      <c r="F27" s="5"/>
      <c r="G27" s="5"/>
      <c r="H27" s="5"/>
      <c r="I27" s="5"/>
    </row>
    <row r="28" spans="1:9">
      <c r="A28" s="1" t="s">
        <v>164</v>
      </c>
      <c r="B28" s="7">
        <v>81.867000000000004</v>
      </c>
      <c r="C28" s="7">
        <v>111.85299999999999</v>
      </c>
      <c r="D28" s="7">
        <v>68.019000000000005</v>
      </c>
      <c r="E28" s="17">
        <f>E6/365*'Assumptions &amp; Sources'!E18</f>
        <v>107.62919788509087</v>
      </c>
      <c r="F28" s="17">
        <f>F6/365*'Assumptions &amp; Sources'!F18</f>
        <v>140.89231557083991</v>
      </c>
      <c r="G28" s="17">
        <f>G6/365*'Assumptions &amp; Sources'!G18</f>
        <v>168.51144703832159</v>
      </c>
      <c r="H28" s="17">
        <f>H6/365*'Assumptions &amp; Sources'!H18</f>
        <v>185.43148693703671</v>
      </c>
      <c r="I28" s="17">
        <f>I6/365*'Assumptions &amp; Sources'!I18</f>
        <v>188.4854119519982</v>
      </c>
    </row>
    <row r="29" spans="1:9">
      <c r="A29" s="1" t="s">
        <v>165</v>
      </c>
      <c r="B29" s="7">
        <v>122.122</v>
      </c>
      <c r="C29" s="7">
        <v>187.23099999999999</v>
      </c>
      <c r="D29" s="7">
        <v>153.40799999999999</v>
      </c>
      <c r="E29" s="17">
        <f>E6*'Assumptions &amp; Sources'!E20</f>
        <v>196.42328614029083</v>
      </c>
      <c r="F29" s="17">
        <f>F6*'Assumptions &amp; Sources'!F20</f>
        <v>257.1284759167828</v>
      </c>
      <c r="G29" s="17">
        <f>G6*'Assumptions &amp; Sources'!G20</f>
        <v>307.53339084493689</v>
      </c>
      <c r="H29" s="17">
        <f>H6*'Assumptions &amp; Sources'!H20</f>
        <v>338.41246366009199</v>
      </c>
      <c r="I29" s="17">
        <f>I6*'Assumptions &amp; Sources'!I20</f>
        <v>343.98587681239673</v>
      </c>
    </row>
    <row r="30" spans="1:9">
      <c r="A30" s="1" t="s">
        <v>166</v>
      </c>
      <c r="B30" s="7">
        <v>207.30600000000001</v>
      </c>
      <c r="C30" s="7">
        <v>241.786</v>
      </c>
      <c r="D30" s="7">
        <v>248.28200000000001</v>
      </c>
      <c r="E30" s="17">
        <f>'Assumptions &amp; Sources'!E22</f>
        <v>450</v>
      </c>
      <c r="F30" s="17">
        <f>'Assumptions &amp; Sources'!F22</f>
        <v>375</v>
      </c>
      <c r="G30" s="17">
        <f>'Assumptions &amp; Sources'!G22</f>
        <v>300</v>
      </c>
      <c r="H30" s="17">
        <f>'Assumptions &amp; Sources'!H22</f>
        <v>225</v>
      </c>
      <c r="I30" s="17">
        <f>'Assumptions &amp; Sources'!I22</f>
        <v>150</v>
      </c>
    </row>
    <row r="31" spans="1:9">
      <c r="A31" s="20" t="s">
        <v>167</v>
      </c>
      <c r="B31" s="21">
        <v>411.29500000000002</v>
      </c>
      <c r="C31" s="21">
        <v>540.87</v>
      </c>
      <c r="D31" s="21">
        <v>469.709</v>
      </c>
      <c r="E31" s="21">
        <f>SUM(E28:E30)</f>
        <v>754.05248402538177</v>
      </c>
      <c r="F31" s="21">
        <f>SUM(F28:F30)</f>
        <v>773.02079148762277</v>
      </c>
      <c r="G31" s="21">
        <f>SUM(G28:G30)</f>
        <v>776.04483788325842</v>
      </c>
      <c r="H31" s="21">
        <f>SUM(H28:H30)</f>
        <v>748.8439505971287</v>
      </c>
      <c r="I31" s="21">
        <f>SUM(I28:I30)</f>
        <v>682.4712887643949</v>
      </c>
    </row>
    <row r="32" spans="1:9">
      <c r="A32" s="1" t="s">
        <v>168</v>
      </c>
      <c r="B32" s="7">
        <v>757.16099999999994</v>
      </c>
      <c r="C32" s="7">
        <v>753.87699999999995</v>
      </c>
      <c r="D32" s="7">
        <v>793.16899999999998</v>
      </c>
      <c r="E32" s="5">
        <f>D32+E15+E53</f>
        <v>890.78649396511423</v>
      </c>
      <c r="F32" s="5">
        <f>E32+F15+F53</f>
        <v>1099.6889320142309</v>
      </c>
      <c r="G32" s="5">
        <f>F32+G15+G53</f>
        <v>1324.5301098048715</v>
      </c>
      <c r="H32" s="5">
        <f>G32+H15+H53</f>
        <v>1521.1097584360584</v>
      </c>
      <c r="I32" s="5">
        <f>H32+I15+I53</f>
        <v>1666.9327465793795</v>
      </c>
    </row>
    <row r="33" spans="1:9">
      <c r="A33" s="20" t="s">
        <v>169</v>
      </c>
      <c r="B33" s="21">
        <v>1168.4559999999999</v>
      </c>
      <c r="C33" s="21">
        <v>1294.7470000000001</v>
      </c>
      <c r="D33" s="21">
        <v>1262.8779999999999</v>
      </c>
      <c r="E33" s="21">
        <f>E31+E32</f>
        <v>1644.838977990496</v>
      </c>
      <c r="F33" s="21">
        <f>F31+F32</f>
        <v>1872.7097235018537</v>
      </c>
      <c r="G33" s="21">
        <f>G31+G32</f>
        <v>2100.5749476881301</v>
      </c>
      <c r="H33" s="21">
        <f>H31+H32</f>
        <v>2269.9537090331869</v>
      </c>
      <c r="I33" s="21">
        <f>I31+I32</f>
        <v>2349.4040353437745</v>
      </c>
    </row>
    <row r="34" spans="1:9">
      <c r="A34" s="26" t="s">
        <v>170</v>
      </c>
      <c r="B34" s="27">
        <f t="shared" ref="B34:I34" si="5">B26-B33</f>
        <v>0</v>
      </c>
      <c r="C34" s="27">
        <f t="shared" si="5"/>
        <v>-9.9999999997635314E-4</v>
      </c>
      <c r="D34" s="27">
        <f t="shared" si="5"/>
        <v>0</v>
      </c>
      <c r="E34" s="27">
        <f t="shared" si="5"/>
        <v>0</v>
      </c>
      <c r="F34" s="27">
        <f t="shared" si="5"/>
        <v>0</v>
      </c>
      <c r="G34" s="27">
        <f t="shared" si="5"/>
        <v>0</v>
      </c>
      <c r="H34" s="27">
        <f t="shared" si="5"/>
        <v>0</v>
      </c>
      <c r="I34" s="27">
        <f t="shared" si="5"/>
        <v>0</v>
      </c>
    </row>
    <row r="35" spans="1:9">
      <c r="A35" s="1"/>
      <c r="B35" s="7"/>
      <c r="C35" s="7"/>
      <c r="D35" s="7"/>
      <c r="E35" s="5"/>
      <c r="F35" s="5"/>
      <c r="G35" s="5"/>
      <c r="H35" s="5"/>
      <c r="I35" s="5"/>
    </row>
    <row r="36" spans="1:9">
      <c r="A36" s="1"/>
      <c r="B36" s="7"/>
      <c r="C36" s="7"/>
      <c r="D36" s="7"/>
      <c r="E36" s="5"/>
      <c r="F36" s="5"/>
      <c r="G36" s="5"/>
      <c r="H36" s="5"/>
      <c r="I36" s="5"/>
    </row>
    <row r="37" spans="1:9">
      <c r="A37" s="1"/>
      <c r="B37" s="7"/>
      <c r="C37" s="7"/>
      <c r="D37" s="7"/>
      <c r="E37" s="5"/>
      <c r="F37" s="5"/>
      <c r="G37" s="5"/>
      <c r="H37" s="5"/>
      <c r="I37" s="5"/>
    </row>
    <row r="38" spans="1:9" ht="25.25" customHeight="1">
      <c r="A38" s="39" t="s">
        <v>171</v>
      </c>
      <c r="B38" s="44"/>
      <c r="C38" s="44"/>
      <c r="D38" s="44"/>
      <c r="E38" s="45"/>
      <c r="F38" s="45"/>
      <c r="G38" s="45"/>
      <c r="H38" s="45"/>
      <c r="I38" s="45"/>
    </row>
    <row r="39" spans="1:9">
      <c r="A39" s="1" t="s">
        <v>22</v>
      </c>
      <c r="B39" s="7">
        <f t="shared" ref="B39:I39" si="6">B15</f>
        <v>190.31</v>
      </c>
      <c r="C39" s="7">
        <f t="shared" si="6"/>
        <v>211.79900000000001</v>
      </c>
      <c r="D39" s="7">
        <f t="shared" si="6"/>
        <v>214.28</v>
      </c>
      <c r="E39" s="5">
        <f t="shared" si="6"/>
        <v>307.61749396511425</v>
      </c>
      <c r="F39" s="5">
        <f t="shared" si="6"/>
        <v>439.61555852295231</v>
      </c>
      <c r="G39" s="5">
        <f t="shared" si="6"/>
        <v>554.55284668285481</v>
      </c>
      <c r="H39" s="5">
        <f t="shared" si="6"/>
        <v>612.494283643328</v>
      </c>
      <c r="I39" s="5">
        <f t="shared" si="6"/>
        <v>605.19370087581706</v>
      </c>
    </row>
    <row r="40" spans="1:9">
      <c r="A40" s="1" t="s">
        <v>172</v>
      </c>
      <c r="B40" s="7"/>
      <c r="C40" s="7"/>
      <c r="D40" s="7"/>
      <c r="E40" s="5">
        <f>-E10</f>
        <v>54.998520119281437</v>
      </c>
      <c r="F40" s="5">
        <f>-F10</f>
        <v>68.567593577808751</v>
      </c>
      <c r="G40" s="5">
        <f>-G10</f>
        <v>82.008904225316513</v>
      </c>
      <c r="H40" s="5">
        <f>-H10</f>
        <v>90.243323642691195</v>
      </c>
      <c r="I40" s="5">
        <f>-I10</f>
        <v>91.729567149972468</v>
      </c>
    </row>
    <row r="41" spans="1:9">
      <c r="A41" s="1" t="s">
        <v>173</v>
      </c>
      <c r="B41" s="7"/>
      <c r="C41" s="7"/>
      <c r="D41" s="7"/>
      <c r="E41" s="5">
        <f t="shared" ref="E41:I43" si="7">-(E22-D22)</f>
        <v>-35.678796827636305</v>
      </c>
      <c r="F41" s="5">
        <f t="shared" si="7"/>
        <v>-49.894676528623563</v>
      </c>
      <c r="G41" s="5">
        <f t="shared" si="7"/>
        <v>-35.811648966611813</v>
      </c>
      <c r="H41" s="5">
        <f t="shared" si="7"/>
        <v>-24.816058518115454</v>
      </c>
      <c r="I41" s="5">
        <f t="shared" si="7"/>
        <v>-4.4790900219435343</v>
      </c>
    </row>
    <row r="42" spans="1:9">
      <c r="A42" s="1" t="s">
        <v>174</v>
      </c>
      <c r="B42" s="7"/>
      <c r="C42" s="7"/>
      <c r="D42" s="7"/>
      <c r="E42" s="5">
        <f t="shared" si="7"/>
        <v>-96.990194360242327</v>
      </c>
      <c r="F42" s="5">
        <f t="shared" si="7"/>
        <v>-51.130363009773475</v>
      </c>
      <c r="G42" s="5">
        <f t="shared" si="7"/>
        <v>-26.966577879680983</v>
      </c>
      <c r="H42" s="5">
        <f t="shared" si="7"/>
        <v>-18.116937753512389</v>
      </c>
      <c r="I42" s="5">
        <f t="shared" si="7"/>
        <v>6.2542490992127568</v>
      </c>
    </row>
    <row r="43" spans="1:9">
      <c r="A43" s="1" t="s">
        <v>175</v>
      </c>
      <c r="B43" s="7"/>
      <c r="C43" s="7"/>
      <c r="D43" s="7"/>
      <c r="E43" s="5">
        <f t="shared" si="7"/>
        <v>-6.7846572280581654</v>
      </c>
      <c r="F43" s="5">
        <f t="shared" si="7"/>
        <v>-12.141037955298394</v>
      </c>
      <c r="G43" s="5">
        <f t="shared" si="7"/>
        <v>-10.080982985630818</v>
      </c>
      <c r="H43" s="5">
        <f t="shared" si="7"/>
        <v>-6.1758145630310111</v>
      </c>
      <c r="I43" s="5">
        <f t="shared" si="7"/>
        <v>-1.1146826304609618</v>
      </c>
    </row>
    <row r="44" spans="1:9">
      <c r="A44" s="1" t="s">
        <v>176</v>
      </c>
      <c r="B44" s="7"/>
      <c r="C44" s="7"/>
      <c r="D44" s="7"/>
      <c r="E44" s="5">
        <f t="shared" ref="E44:I45" si="8">E28-D28</f>
        <v>39.610197885090869</v>
      </c>
      <c r="F44" s="5">
        <f t="shared" si="8"/>
        <v>33.263117685749037</v>
      </c>
      <c r="G44" s="5">
        <f t="shared" si="8"/>
        <v>27.619131467481679</v>
      </c>
      <c r="H44" s="5">
        <f t="shared" si="8"/>
        <v>16.920039898715117</v>
      </c>
      <c r="I44" s="5">
        <f t="shared" si="8"/>
        <v>3.0539250149614929</v>
      </c>
    </row>
    <row r="45" spans="1:9">
      <c r="A45" s="1" t="s">
        <v>177</v>
      </c>
      <c r="B45" s="7"/>
      <c r="C45" s="7"/>
      <c r="D45" s="7"/>
      <c r="E45" s="5">
        <f t="shared" si="8"/>
        <v>43.01528614029084</v>
      </c>
      <c r="F45" s="5">
        <f t="shared" si="8"/>
        <v>60.705189776491977</v>
      </c>
      <c r="G45" s="5">
        <f t="shared" si="8"/>
        <v>50.404914928154085</v>
      </c>
      <c r="H45" s="5">
        <f t="shared" si="8"/>
        <v>30.879072815155098</v>
      </c>
      <c r="I45" s="5">
        <f t="shared" si="8"/>
        <v>5.5734131523047381</v>
      </c>
    </row>
    <row r="46" spans="1:9">
      <c r="A46" s="20" t="s">
        <v>178</v>
      </c>
      <c r="B46" s="21">
        <v>256.40600000000001</v>
      </c>
      <c r="C46" s="21">
        <v>240.642</v>
      </c>
      <c r="D46" s="21">
        <v>299.17200000000003</v>
      </c>
      <c r="E46" s="21">
        <f>SUM(E39:E45)</f>
        <v>305.7878496938406</v>
      </c>
      <c r="F46" s="21">
        <f>SUM(F39:F45)</f>
        <v>488.98538206930664</v>
      </c>
      <c r="G46" s="21">
        <f>SUM(G39:G45)</f>
        <v>641.72658747188348</v>
      </c>
      <c r="H46" s="21">
        <f>SUM(H39:H45)</f>
        <v>701.4279091652304</v>
      </c>
      <c r="I46" s="21">
        <f>SUM(I39:I45)</f>
        <v>706.211082639864</v>
      </c>
    </row>
    <row r="47" spans="1:9">
      <c r="A47" s="1"/>
      <c r="B47" s="7"/>
      <c r="C47" s="7"/>
      <c r="D47" s="7"/>
      <c r="E47" s="5"/>
      <c r="F47" s="5"/>
      <c r="G47" s="5"/>
      <c r="H47" s="5"/>
      <c r="I47" s="5"/>
    </row>
    <row r="48" spans="1:9">
      <c r="A48" s="1" t="s">
        <v>179</v>
      </c>
      <c r="B48" s="7">
        <v>-69.236000000000004</v>
      </c>
      <c r="C48" s="7">
        <v>-55.667999999999999</v>
      </c>
      <c r="D48" s="7">
        <v>-68.305000000000007</v>
      </c>
      <c r="E48" s="17">
        <f>-E6*'Assumptions &amp; Sources'!E21</f>
        <v>-78.569314456116331</v>
      </c>
      <c r="F48" s="17">
        <f>-F6*'Assumptions &amp; Sources'!F21</f>
        <v>-85.709491972260935</v>
      </c>
      <c r="G48" s="17">
        <f>-G6*'Assumptions &amp; Sources'!G21</f>
        <v>-102.51113028164565</v>
      </c>
      <c r="H48" s="17">
        <f>-H6*'Assumptions &amp; Sources'!H21</f>
        <v>-112.804154553364</v>
      </c>
      <c r="I48" s="17">
        <f>-I6*'Assumptions &amp; Sources'!I21</f>
        <v>-114.66195893746558</v>
      </c>
    </row>
    <row r="49" spans="1:9">
      <c r="A49" s="1" t="s">
        <v>180</v>
      </c>
      <c r="B49" s="7">
        <v>1.5880000000000001</v>
      </c>
      <c r="C49" s="7">
        <v>-1.726</v>
      </c>
      <c r="D49" s="7">
        <v>-0.47899999999999998</v>
      </c>
      <c r="E49" s="17">
        <f>-'Assumptions &amp; Sources'!E23</f>
        <v>-110</v>
      </c>
      <c r="F49" s="17">
        <f>-'Assumptions &amp; Sources'!F23</f>
        <v>0</v>
      </c>
      <c r="G49" s="17">
        <f>-'Assumptions &amp; Sources'!G23</f>
        <v>0</v>
      </c>
      <c r="H49" s="17">
        <f>-'Assumptions &amp; Sources'!H23</f>
        <v>0</v>
      </c>
      <c r="I49" s="17">
        <f>-'Assumptions &amp; Sources'!I23</f>
        <v>0</v>
      </c>
    </row>
    <row r="50" spans="1:9">
      <c r="A50" s="20" t="s">
        <v>181</v>
      </c>
      <c r="B50" s="21">
        <v>-67.647999999999996</v>
      </c>
      <c r="C50" s="21">
        <v>-57.393999999999998</v>
      </c>
      <c r="D50" s="21">
        <v>-68.784000000000006</v>
      </c>
      <c r="E50" s="21">
        <f>SUM(E48:E49)</f>
        <v>-188.56931445611633</v>
      </c>
      <c r="F50" s="21">
        <f>SUM(F48:F49)</f>
        <v>-85.709491972260935</v>
      </c>
      <c r="G50" s="21">
        <f>SUM(G48:G49)</f>
        <v>-102.51113028164565</v>
      </c>
      <c r="H50" s="21">
        <f>SUM(H48:H49)</f>
        <v>-112.804154553364</v>
      </c>
      <c r="I50" s="21">
        <f>SUM(I48:I49)</f>
        <v>-114.66195893746558</v>
      </c>
    </row>
    <row r="51" spans="1:9">
      <c r="A51" s="1"/>
      <c r="B51" s="7"/>
      <c r="C51" s="7"/>
      <c r="D51" s="7"/>
      <c r="E51" s="5"/>
      <c r="F51" s="5"/>
      <c r="G51" s="5"/>
      <c r="H51" s="5"/>
      <c r="I51" s="5"/>
    </row>
    <row r="52" spans="1:9">
      <c r="A52" s="1" t="s">
        <v>182</v>
      </c>
      <c r="B52" s="7"/>
      <c r="C52" s="7"/>
      <c r="D52" s="7"/>
      <c r="E52" s="5">
        <f>E30-D30</f>
        <v>201.71799999999999</v>
      </c>
      <c r="F52" s="5">
        <f>F30-E30</f>
        <v>-75</v>
      </c>
      <c r="G52" s="5">
        <f>G30-F30</f>
        <v>-75</v>
      </c>
      <c r="H52" s="5">
        <f>H30-G30</f>
        <v>-75</v>
      </c>
      <c r="I52" s="5">
        <f>I30-H30</f>
        <v>-75</v>
      </c>
    </row>
    <row r="53" spans="1:9">
      <c r="A53" s="1" t="s">
        <v>183</v>
      </c>
      <c r="B53" s="7"/>
      <c r="C53" s="7"/>
      <c r="D53" s="7"/>
      <c r="E53" s="17">
        <f>-'Assumptions &amp; Sources'!E28</f>
        <v>-210</v>
      </c>
      <c r="F53" s="17">
        <f>-E15*'Assumptions &amp; Sources'!F26</f>
        <v>-230.71312047383569</v>
      </c>
      <c r="G53" s="17">
        <f>-F15*'Assumptions &amp; Sources'!G26</f>
        <v>-329.71166889221422</v>
      </c>
      <c r="H53" s="17">
        <f>-G15*'Assumptions &amp; Sources'!H26</f>
        <v>-415.9146350121411</v>
      </c>
      <c r="I53" s="17">
        <f>-H15*'Assumptions &amp; Sources'!I26</f>
        <v>-459.37071273249603</v>
      </c>
    </row>
    <row r="54" spans="1:9">
      <c r="A54" s="20" t="s">
        <v>184</v>
      </c>
      <c r="B54" s="21">
        <v>-205.583</v>
      </c>
      <c r="C54" s="21">
        <v>-172.5</v>
      </c>
      <c r="D54" s="21">
        <v>-231.89400000000001</v>
      </c>
      <c r="E54" s="21">
        <f>SUM(E52:E53)</f>
        <v>-8.2820000000000107</v>
      </c>
      <c r="F54" s="21">
        <f>SUM(F52:F53)</f>
        <v>-305.71312047383572</v>
      </c>
      <c r="G54" s="21">
        <f>SUM(G52:G53)</f>
        <v>-404.71166889221422</v>
      </c>
      <c r="H54" s="21">
        <f>SUM(H52:H53)</f>
        <v>-490.9146350121411</v>
      </c>
      <c r="I54" s="21">
        <f>SUM(I52:I53)</f>
        <v>-534.37071273249603</v>
      </c>
    </row>
    <row r="55" spans="1:9">
      <c r="A55" s="1"/>
      <c r="B55" s="7"/>
      <c r="C55" s="7"/>
      <c r="D55" s="7"/>
      <c r="E55" s="5"/>
      <c r="F55" s="5"/>
      <c r="G55" s="5"/>
      <c r="H55" s="5"/>
      <c r="I55" s="5"/>
    </row>
    <row r="56" spans="1:9">
      <c r="A56" s="1" t="s">
        <v>185</v>
      </c>
      <c r="B56" s="7">
        <v>-13.432</v>
      </c>
      <c r="C56" s="7">
        <v>3.2669999999999999</v>
      </c>
      <c r="D56" s="7">
        <v>-15.675000000000001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</row>
    <row r="57" spans="1:9">
      <c r="A57" s="1" t="s">
        <v>186</v>
      </c>
      <c r="B57" s="7">
        <v>-16.824999999999999</v>
      </c>
      <c r="C57" s="7">
        <v>10.747999999999999</v>
      </c>
      <c r="D57" s="7">
        <v>-1.506</v>
      </c>
      <c r="E57" s="5">
        <f>SUM(E46,E50,E54)</f>
        <v>108.93653523772426</v>
      </c>
      <c r="F57" s="5">
        <f>SUM(F46,F50,F54)</f>
        <v>97.562769623209988</v>
      </c>
      <c r="G57" s="5">
        <f>SUM(G46,G50,G54)</f>
        <v>134.50378829802366</v>
      </c>
      <c r="H57" s="5">
        <f>SUM(H46,H50,H54)</f>
        <v>97.709119599725284</v>
      </c>
      <c r="I57" s="5">
        <f>SUM(I46,I50,I54)</f>
        <v>57.178410969902416</v>
      </c>
    </row>
    <row r="58" spans="1:9">
      <c r="A58" s="1" t="s">
        <v>187</v>
      </c>
      <c r="B58" s="7">
        <v>174.36500000000001</v>
      </c>
      <c r="C58" s="7">
        <v>144.108</v>
      </c>
      <c r="D58" s="7">
        <v>158.12100000000001</v>
      </c>
      <c r="E58" s="5">
        <f>D59</f>
        <v>140.94</v>
      </c>
      <c r="F58" s="5">
        <f>E59</f>
        <v>249.87653523772426</v>
      </c>
      <c r="G58" s="5">
        <f>F59</f>
        <v>347.43930486093427</v>
      </c>
      <c r="H58" s="5">
        <f>G59</f>
        <v>481.94309315895794</v>
      </c>
      <c r="I58" s="5">
        <f>H59</f>
        <v>579.65221275868316</v>
      </c>
    </row>
    <row r="59" spans="1:9">
      <c r="A59" s="20" t="s">
        <v>188</v>
      </c>
      <c r="B59" s="21">
        <v>144.108</v>
      </c>
      <c r="C59" s="21">
        <v>158.12100000000001</v>
      </c>
      <c r="D59" s="21">
        <v>140.94</v>
      </c>
      <c r="E59" s="21">
        <f>E58+E57+E56</f>
        <v>249.87653523772426</v>
      </c>
      <c r="F59" s="21">
        <f>F58+F57+F56</f>
        <v>347.43930486093427</v>
      </c>
      <c r="G59" s="21">
        <f>G58+G57+G56</f>
        <v>481.94309315895794</v>
      </c>
      <c r="H59" s="21">
        <f>H58+H57+H56</f>
        <v>579.65221275868316</v>
      </c>
      <c r="I59" s="21">
        <f>I58+I57+I56</f>
        <v>636.83062372858558</v>
      </c>
    </row>
    <row r="60" spans="1:9">
      <c r="A60" s="1"/>
      <c r="B60" s="7"/>
      <c r="C60" s="7"/>
      <c r="D60" s="7"/>
      <c r="E60" s="5"/>
      <c r="F60" s="5"/>
      <c r="G60" s="5"/>
      <c r="H60" s="5"/>
      <c r="I60" s="5"/>
    </row>
    <row r="61" spans="1:9">
      <c r="A61" s="20" t="s">
        <v>24</v>
      </c>
      <c r="B61" s="21">
        <f t="shared" ref="B61:I61" si="9">B46+B50</f>
        <v>188.75800000000001</v>
      </c>
      <c r="C61" s="21">
        <f t="shared" si="9"/>
        <v>183.24799999999999</v>
      </c>
      <c r="D61" s="21">
        <f t="shared" si="9"/>
        <v>230.38800000000003</v>
      </c>
      <c r="E61" s="21">
        <f t="shared" si="9"/>
        <v>117.21853523772427</v>
      </c>
      <c r="F61" s="21">
        <f t="shared" si="9"/>
        <v>403.2758900970457</v>
      </c>
      <c r="G61" s="21">
        <f t="shared" si="9"/>
        <v>539.21545719023788</v>
      </c>
      <c r="H61" s="21">
        <f t="shared" si="9"/>
        <v>588.62375461186639</v>
      </c>
      <c r="I61" s="21">
        <f t="shared" si="9"/>
        <v>591.54912370239845</v>
      </c>
    </row>
    <row r="62" spans="1:9">
      <c r="A62" s="25" t="s">
        <v>189</v>
      </c>
      <c r="B62" s="8">
        <f t="shared" ref="B62:I62" si="10">B61/B8</f>
        <v>0.69675280811779516</v>
      </c>
      <c r="C62" s="8">
        <f t="shared" si="10"/>
        <v>0.62400141657529296</v>
      </c>
      <c r="D62" s="8">
        <f t="shared" si="10"/>
        <v>0.7164318343662639</v>
      </c>
      <c r="E62" s="6">
        <f t="shared" si="10"/>
        <v>0.27125680171509253</v>
      </c>
      <c r="F62" s="6">
        <f t="shared" si="10"/>
        <v>0.66269697595234345</v>
      </c>
      <c r="G62" s="6">
        <f t="shared" si="10"/>
        <v>0.71081992242361525</v>
      </c>
      <c r="H62" s="6">
        <f t="shared" si="10"/>
        <v>0.70514912272664221</v>
      </c>
      <c r="I62" s="6">
        <f t="shared" si="10"/>
        <v>0.7165375620263934</v>
      </c>
    </row>
    <row r="63" spans="1:9">
      <c r="A63" s="1"/>
      <c r="B63" s="1"/>
      <c r="C63" s="1"/>
      <c r="D63" s="1"/>
      <c r="E63" s="1"/>
      <c r="F63" s="1"/>
      <c r="G63" s="1"/>
      <c r="H63" s="1"/>
      <c r="I63" s="1"/>
    </row>
    <row r="64" spans="1:9">
      <c r="A64" s="1"/>
      <c r="B64" s="1"/>
      <c r="C64" s="1"/>
      <c r="D64" s="1"/>
      <c r="E64" s="1"/>
      <c r="F64" s="1"/>
      <c r="G64" s="1"/>
      <c r="H64" s="1"/>
      <c r="I64" s="1"/>
    </row>
    <row r="65" spans="1:9">
      <c r="A65" s="1"/>
      <c r="B65" s="1"/>
      <c r="C65" s="1"/>
      <c r="D65" s="1"/>
      <c r="E65" s="1"/>
      <c r="F65" s="1"/>
      <c r="G65" s="1"/>
      <c r="H65" s="1"/>
      <c r="I65" s="1"/>
    </row>
    <row r="66" spans="1:9">
      <c r="A66" s="1"/>
      <c r="B66" s="1"/>
      <c r="C66" s="1"/>
      <c r="D66" s="1"/>
      <c r="E66" s="1"/>
      <c r="F66" s="1"/>
      <c r="G66" s="1"/>
      <c r="H66" s="1"/>
      <c r="I66" s="1"/>
    </row>
    <row r="67" spans="1:9">
      <c r="A67" s="1"/>
      <c r="B67" s="1"/>
      <c r="C67" s="1"/>
      <c r="D67" s="1"/>
      <c r="E67" s="1"/>
      <c r="F67" s="1"/>
      <c r="G67" s="1"/>
      <c r="H67" s="1"/>
      <c r="I67" s="1"/>
    </row>
    <row r="68" spans="1:9">
      <c r="A68" s="1"/>
      <c r="B68" s="1"/>
      <c r="C68" s="1"/>
      <c r="D68" s="1"/>
      <c r="E68" s="1"/>
      <c r="F68" s="1"/>
      <c r="G68" s="1"/>
      <c r="H68" s="1"/>
      <c r="I68" s="1"/>
    </row>
    <row r="69" spans="1:9">
      <c r="A69" s="1"/>
      <c r="B69" s="1"/>
      <c r="C69" s="1"/>
      <c r="D69" s="1"/>
      <c r="E69" s="1"/>
      <c r="F69" s="1"/>
      <c r="G69" s="1"/>
      <c r="H69" s="1"/>
      <c r="I69" s="1"/>
    </row>
    <row r="70" spans="1:9">
      <c r="A70" s="1"/>
      <c r="B70" s="1"/>
      <c r="C70" s="1"/>
      <c r="D70" s="1"/>
      <c r="E70" s="1"/>
      <c r="F70" s="1"/>
      <c r="G70" s="1"/>
      <c r="H70" s="1"/>
      <c r="I70" s="1"/>
    </row>
  </sheetData>
  <mergeCells count="5">
    <mergeCell ref="A1:I1"/>
    <mergeCell ref="A2:I2"/>
    <mergeCell ref="A4:I4"/>
    <mergeCell ref="A20:I20"/>
    <mergeCell ref="A38:I3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5"/>
  <sheetViews>
    <sheetView tabSelected="1" workbookViewId="0">
      <selection sqref="A1:I1"/>
    </sheetView>
  </sheetViews>
  <sheetFormatPr baseColWidth="10" defaultColWidth="8.83203125" defaultRowHeight="14"/>
  <cols>
    <col min="1" max="1" width="32" customWidth="1"/>
    <col min="2" max="9" width="13" customWidth="1"/>
  </cols>
  <sheetData>
    <row r="1" spans="1:9" ht="34.75" customHeight="1">
      <c r="A1" s="33" t="s">
        <v>190</v>
      </c>
      <c r="B1" s="33"/>
      <c r="C1" s="33"/>
      <c r="D1" s="33"/>
      <c r="E1" s="33"/>
      <c r="F1" s="33"/>
      <c r="G1" s="33"/>
      <c r="H1" s="33"/>
      <c r="I1" s="33"/>
    </row>
    <row r="2" spans="1:9" ht="26.75" customHeight="1">
      <c r="A2" s="34" t="s">
        <v>191</v>
      </c>
      <c r="B2" s="34"/>
      <c r="C2" s="34"/>
      <c r="D2" s="34"/>
      <c r="E2" s="34"/>
      <c r="F2" s="34"/>
      <c r="G2" s="34"/>
      <c r="H2" s="34"/>
      <c r="I2" s="34"/>
    </row>
    <row r="3" spans="1:9">
      <c r="A3" s="1"/>
      <c r="B3" s="1"/>
      <c r="C3" s="1"/>
      <c r="D3" s="1"/>
      <c r="E3" s="1"/>
      <c r="F3" s="1"/>
      <c r="G3" s="1"/>
      <c r="H3" s="1"/>
      <c r="I3" s="1"/>
    </row>
    <row r="4" spans="1:9" ht="25.25" customHeight="1">
      <c r="A4" s="39" t="s">
        <v>192</v>
      </c>
      <c r="B4" s="39"/>
      <c r="C4" s="39"/>
      <c r="D4" s="39"/>
      <c r="E4" s="39"/>
      <c r="F4" s="39"/>
      <c r="G4" s="39"/>
      <c r="H4" s="39"/>
      <c r="I4" s="39"/>
    </row>
    <row r="5" spans="1:9">
      <c r="A5" s="2" t="s">
        <v>32</v>
      </c>
      <c r="B5" s="2" t="s">
        <v>193</v>
      </c>
      <c r="C5" s="1"/>
      <c r="D5" s="1"/>
      <c r="E5" s="1"/>
      <c r="F5" s="1"/>
      <c r="G5" s="1"/>
      <c r="H5" s="1"/>
      <c r="I5" s="1"/>
    </row>
    <row r="6" spans="1:9">
      <c r="A6" s="1" t="s">
        <v>194</v>
      </c>
      <c r="B6" s="17">
        <f>'3-Statement'!G6</f>
        <v>2050.2226056329127</v>
      </c>
      <c r="C6" s="1"/>
      <c r="D6" s="1"/>
      <c r="E6" s="1"/>
      <c r="F6" s="1"/>
      <c r="G6" s="1"/>
      <c r="H6" s="1"/>
      <c r="I6" s="1"/>
    </row>
    <row r="7" spans="1:9">
      <c r="A7" s="1" t="s">
        <v>195</v>
      </c>
      <c r="B7" s="18">
        <f>'3-Statement'!G9</f>
        <v>0.37</v>
      </c>
      <c r="C7" s="1"/>
      <c r="D7" s="1"/>
      <c r="E7" s="1"/>
      <c r="F7" s="1"/>
      <c r="G7" s="1"/>
      <c r="H7" s="1"/>
      <c r="I7" s="1"/>
    </row>
    <row r="8" spans="1:9">
      <c r="A8" s="1" t="s">
        <v>196</v>
      </c>
      <c r="B8" s="17">
        <f>'3-Statement'!G8</f>
        <v>758.5823640841777</v>
      </c>
      <c r="C8" s="1"/>
      <c r="D8" s="1"/>
      <c r="E8" s="1"/>
      <c r="F8" s="1"/>
      <c r="G8" s="1"/>
      <c r="H8" s="1"/>
      <c r="I8" s="1"/>
    </row>
    <row r="9" spans="1:9">
      <c r="A9" s="1" t="s">
        <v>197</v>
      </c>
      <c r="B9" s="28">
        <f>'Assumptions &amp; Sources'!G29</f>
        <v>31.4</v>
      </c>
      <c r="C9" s="1"/>
      <c r="D9" s="1"/>
      <c r="E9" s="1"/>
      <c r="F9" s="1"/>
      <c r="G9" s="1"/>
      <c r="H9" s="1"/>
      <c r="I9" s="1"/>
    </row>
    <row r="10" spans="1:9">
      <c r="A10" s="1" t="s">
        <v>198</v>
      </c>
      <c r="B10" s="5">
        <f>B8*B9</f>
        <v>23819.48623224318</v>
      </c>
      <c r="C10" s="1"/>
      <c r="D10" s="1"/>
      <c r="E10" s="1"/>
      <c r="F10" s="1"/>
      <c r="G10" s="1"/>
      <c r="H10" s="1"/>
      <c r="I10" s="1"/>
    </row>
    <row r="11" spans="1:9">
      <c r="A11" s="1" t="s">
        <v>199</v>
      </c>
      <c r="B11" s="17">
        <f>'3-Statement'!G30</f>
        <v>300</v>
      </c>
      <c r="C11" s="1"/>
      <c r="D11" s="1"/>
      <c r="E11" s="1"/>
      <c r="F11" s="1"/>
      <c r="G11" s="1"/>
      <c r="H11" s="1"/>
      <c r="I11" s="1"/>
    </row>
    <row r="12" spans="1:9">
      <c r="A12" s="1" t="s">
        <v>200</v>
      </c>
      <c r="B12" s="17">
        <f>'3-Statement'!G21</f>
        <v>481.94309315895794</v>
      </c>
      <c r="C12" s="1"/>
      <c r="D12" s="1"/>
      <c r="E12" s="1"/>
      <c r="F12" s="1"/>
      <c r="G12" s="1"/>
      <c r="H12" s="1"/>
      <c r="I12" s="1"/>
    </row>
    <row r="13" spans="1:9">
      <c r="A13" s="1" t="s">
        <v>201</v>
      </c>
      <c r="B13" s="5">
        <f>B11-B12</f>
        <v>-181.94309315895794</v>
      </c>
      <c r="C13" s="1"/>
      <c r="D13" s="1"/>
      <c r="E13" s="1"/>
      <c r="F13" s="1"/>
      <c r="G13" s="1"/>
      <c r="H13" s="1"/>
      <c r="I13" s="1"/>
    </row>
    <row r="14" spans="1:9">
      <c r="A14" s="1" t="s">
        <v>202</v>
      </c>
      <c r="B14" s="5">
        <f>B10-B13</f>
        <v>24001.42932540214</v>
      </c>
      <c r="C14" s="1"/>
      <c r="D14" s="1"/>
      <c r="E14" s="1"/>
      <c r="F14" s="1"/>
      <c r="G14" s="1"/>
      <c r="H14" s="1"/>
      <c r="I14" s="1"/>
    </row>
    <row r="15" spans="1:9">
      <c r="A15" s="1" t="s">
        <v>67</v>
      </c>
      <c r="B15" s="17">
        <f>'Assumptions &amp; Sources'!G27</f>
        <v>30</v>
      </c>
      <c r="C15" s="1"/>
      <c r="D15" s="1"/>
      <c r="E15" s="1"/>
      <c r="F15" s="1"/>
      <c r="G15" s="1"/>
      <c r="H15" s="1"/>
      <c r="I15" s="1"/>
    </row>
    <row r="16" spans="1:9">
      <c r="A16" s="29" t="s">
        <v>203</v>
      </c>
      <c r="B16" s="29">
        <f>B14/B15</f>
        <v>800.0476441800713</v>
      </c>
      <c r="C16" s="1"/>
      <c r="D16" s="1"/>
      <c r="E16" s="1"/>
      <c r="F16" s="1"/>
      <c r="G16" s="1"/>
      <c r="H16" s="1"/>
      <c r="I16" s="1"/>
    </row>
    <row r="17" spans="1:9">
      <c r="A17" s="1" t="s">
        <v>204</v>
      </c>
      <c r="B17" s="19">
        <f>'Assumptions &amp; Sources'!E45</f>
        <v>611.4</v>
      </c>
      <c r="C17" s="1"/>
      <c r="D17" s="1"/>
      <c r="E17" s="1"/>
      <c r="F17" s="1"/>
      <c r="G17" s="1"/>
      <c r="H17" s="1"/>
      <c r="I17" s="1"/>
    </row>
    <row r="18" spans="1:9">
      <c r="A18" s="1" t="s">
        <v>205</v>
      </c>
      <c r="B18" s="6">
        <f>B16/B17-1</f>
        <v>0.30855028488726099</v>
      </c>
      <c r="C18" s="1"/>
      <c r="D18" s="1"/>
      <c r="E18" s="1"/>
      <c r="F18" s="1"/>
      <c r="G18" s="1"/>
      <c r="H18" s="1"/>
      <c r="I18" s="1"/>
    </row>
    <row r="19" spans="1:9">
      <c r="A19" s="1"/>
      <c r="B19" s="1"/>
      <c r="C19" s="1"/>
      <c r="D19" s="1"/>
      <c r="E19" s="1"/>
      <c r="F19" s="1"/>
      <c r="G19" s="1"/>
      <c r="H19" s="1"/>
      <c r="I19" s="1"/>
    </row>
    <row r="20" spans="1:9">
      <c r="A20" s="1"/>
      <c r="B20" s="1"/>
      <c r="C20" s="1"/>
      <c r="D20" s="1"/>
      <c r="E20" s="1"/>
      <c r="F20" s="1"/>
      <c r="G20" s="1"/>
      <c r="H20" s="1"/>
      <c r="I20" s="1"/>
    </row>
    <row r="21" spans="1:9" ht="25.25" customHeight="1">
      <c r="A21" s="39" t="s">
        <v>206</v>
      </c>
      <c r="B21" s="39"/>
      <c r="C21" s="39"/>
      <c r="D21" s="39"/>
      <c r="E21" s="39"/>
      <c r="F21" s="39"/>
      <c r="G21" s="39"/>
      <c r="H21" s="39"/>
      <c r="I21" s="39"/>
    </row>
    <row r="22" spans="1:9">
      <c r="A22" s="2" t="s">
        <v>32</v>
      </c>
      <c r="B22" s="2" t="s">
        <v>33</v>
      </c>
      <c r="C22" s="2" t="s">
        <v>34</v>
      </c>
      <c r="D22" s="2" t="s">
        <v>207</v>
      </c>
      <c r="E22" s="1"/>
      <c r="F22" s="1"/>
      <c r="G22" s="1"/>
      <c r="H22" s="1"/>
      <c r="I22" s="1"/>
    </row>
    <row r="23" spans="1:9">
      <c r="A23" s="1" t="s">
        <v>208</v>
      </c>
      <c r="B23" s="17">
        <f>'3-Statement'!E6</f>
        <v>1309.4885742686056</v>
      </c>
      <c r="C23" s="17">
        <f>'Assumptions &amp; Sources'!E41</f>
        <v>1283</v>
      </c>
      <c r="D23" s="6">
        <f>B23/C23-1</f>
        <v>2.0645810030090139E-2</v>
      </c>
      <c r="E23" s="1"/>
      <c r="F23" s="1"/>
      <c r="G23" s="1"/>
      <c r="H23" s="1"/>
      <c r="I23" s="1"/>
    </row>
    <row r="24" spans="1:9">
      <c r="A24" s="1" t="s">
        <v>209</v>
      </c>
      <c r="B24" s="17">
        <f>'3-Statement'!F6</f>
        <v>1714.1898394452187</v>
      </c>
      <c r="C24" s="17">
        <f>'Assumptions &amp; Sources'!F41</f>
        <v>1626</v>
      </c>
      <c r="D24" s="6">
        <f>B24/C24-1</f>
        <v>5.4237293631745898E-2</v>
      </c>
      <c r="E24" s="1"/>
      <c r="F24" s="1"/>
      <c r="G24" s="1"/>
      <c r="H24" s="1"/>
      <c r="I24" s="1"/>
    </row>
    <row r="25" spans="1:9">
      <c r="A25" s="1" t="s">
        <v>210</v>
      </c>
      <c r="B25" s="17">
        <f>'3-Statement'!G6</f>
        <v>2050.2226056329127</v>
      </c>
      <c r="C25" s="17">
        <f>'Assumptions &amp; Sources'!G41</f>
        <v>1822</v>
      </c>
      <c r="D25" s="6">
        <f>B25/C25-1</f>
        <v>0.12525938838249884</v>
      </c>
      <c r="E25" s="1"/>
      <c r="F25" s="1"/>
      <c r="G25" s="1"/>
      <c r="H25" s="1"/>
      <c r="I25" s="1"/>
    </row>
    <row r="26" spans="1:9">
      <c r="A26" s="1" t="s">
        <v>211</v>
      </c>
      <c r="B26" s="17">
        <f>'3-Statement'!G8</f>
        <v>758.5823640841777</v>
      </c>
      <c r="C26" s="17">
        <f>'Assumptions &amp; Sources'!G42</f>
        <v>664.5</v>
      </c>
      <c r="D26" s="6">
        <f>B26/C26-1</f>
        <v>0.14158369312893559</v>
      </c>
      <c r="E26" s="1"/>
      <c r="F26" s="1"/>
      <c r="G26" s="1"/>
      <c r="H26" s="1"/>
      <c r="I26" s="1"/>
    </row>
    <row r="27" spans="1:9">
      <c r="A27" s="1"/>
      <c r="B27" s="1"/>
      <c r="C27" s="1"/>
      <c r="D27" s="1"/>
      <c r="E27" s="1"/>
      <c r="F27" s="1"/>
      <c r="G27" s="1"/>
      <c r="H27" s="1"/>
      <c r="I27" s="1"/>
    </row>
    <row r="28" spans="1:9">
      <c r="A28" s="1"/>
      <c r="B28" s="1"/>
      <c r="C28" s="1"/>
      <c r="D28" s="1"/>
      <c r="E28" s="1"/>
      <c r="F28" s="1"/>
      <c r="G28" s="1"/>
      <c r="H28" s="1"/>
      <c r="I28" s="1"/>
    </row>
    <row r="29" spans="1:9" ht="25.25" customHeight="1">
      <c r="A29" s="39" t="s">
        <v>212</v>
      </c>
      <c r="B29" s="39"/>
      <c r="C29" s="39"/>
      <c r="D29" s="39"/>
      <c r="E29" s="39"/>
      <c r="F29" s="39"/>
      <c r="G29" s="39"/>
      <c r="H29" s="39"/>
      <c r="I29" s="39"/>
    </row>
    <row r="30" spans="1:9">
      <c r="A30" s="14" t="s">
        <v>213</v>
      </c>
      <c r="B30" s="31">
        <v>28</v>
      </c>
      <c r="C30" s="31">
        <v>30</v>
      </c>
      <c r="D30" s="31">
        <v>31.4</v>
      </c>
      <c r="E30" s="31">
        <v>33</v>
      </c>
      <c r="F30" s="31">
        <v>35</v>
      </c>
      <c r="G30" s="1"/>
      <c r="H30" s="1"/>
      <c r="I30" s="1"/>
    </row>
    <row r="31" spans="1:9">
      <c r="A31" s="30">
        <v>0.9</v>
      </c>
      <c r="B31" s="32">
        <f t="shared" ref="B31:F35" si="0">($B$8*$A31*B$30-$B$13)/$B$15</f>
        <v>643.27395560267473</v>
      </c>
      <c r="C31" s="32">
        <f t="shared" si="0"/>
        <v>688.78889744772528</v>
      </c>
      <c r="D31" s="32">
        <f t="shared" si="0"/>
        <v>720.64935673926072</v>
      </c>
      <c r="E31" s="32">
        <f t="shared" si="0"/>
        <v>757.06131021530132</v>
      </c>
      <c r="F31" s="32">
        <f t="shared" si="0"/>
        <v>802.57625206035186</v>
      </c>
      <c r="G31" s="1"/>
      <c r="H31" s="1"/>
      <c r="I31" s="1"/>
    </row>
    <row r="32" spans="1:9">
      <c r="A32" s="30">
        <v>0.95</v>
      </c>
      <c r="B32" s="32">
        <f t="shared" si="0"/>
        <v>678.67446592660292</v>
      </c>
      <c r="C32" s="32">
        <f t="shared" si="0"/>
        <v>726.71801565193414</v>
      </c>
      <c r="D32" s="32">
        <f t="shared" si="0"/>
        <v>760.34850045966596</v>
      </c>
      <c r="E32" s="32">
        <f t="shared" si="0"/>
        <v>798.78334023993114</v>
      </c>
      <c r="F32" s="32">
        <f t="shared" si="0"/>
        <v>846.82688996526235</v>
      </c>
      <c r="G32" s="1"/>
      <c r="H32" s="1"/>
      <c r="I32" s="1"/>
    </row>
    <row r="33" spans="1:9">
      <c r="A33" s="30">
        <v>1</v>
      </c>
      <c r="B33" s="32">
        <f t="shared" si="0"/>
        <v>714.07497625053122</v>
      </c>
      <c r="C33" s="32">
        <f t="shared" si="0"/>
        <v>764.647133856143</v>
      </c>
      <c r="D33" s="32">
        <f t="shared" si="0"/>
        <v>800.0476441800713</v>
      </c>
      <c r="E33" s="32">
        <f t="shared" si="0"/>
        <v>840.50537026456072</v>
      </c>
      <c r="F33" s="32">
        <f t="shared" si="0"/>
        <v>891.07752787017262</v>
      </c>
      <c r="G33" s="1"/>
      <c r="H33" s="1"/>
      <c r="I33" s="1"/>
    </row>
    <row r="34" spans="1:9">
      <c r="A34" s="30">
        <v>1.05</v>
      </c>
      <c r="B34" s="32">
        <f t="shared" si="0"/>
        <v>749.47548657445952</v>
      </c>
      <c r="C34" s="32">
        <f t="shared" si="0"/>
        <v>802.57625206035186</v>
      </c>
      <c r="D34" s="32">
        <f t="shared" si="0"/>
        <v>839.74678790047653</v>
      </c>
      <c r="E34" s="32">
        <f t="shared" si="0"/>
        <v>882.22740028919054</v>
      </c>
      <c r="F34" s="32">
        <f t="shared" si="0"/>
        <v>935.32816577508299</v>
      </c>
      <c r="G34" s="1"/>
      <c r="H34" s="1"/>
      <c r="I34" s="1"/>
    </row>
    <row r="35" spans="1:9">
      <c r="A35" s="30">
        <v>1.1000000000000001</v>
      </c>
      <c r="B35" s="32">
        <f t="shared" si="0"/>
        <v>784.87599689838783</v>
      </c>
      <c r="C35" s="32">
        <f t="shared" si="0"/>
        <v>840.50537026456084</v>
      </c>
      <c r="D35" s="32">
        <f t="shared" si="0"/>
        <v>879.44593162088188</v>
      </c>
      <c r="E35" s="32">
        <f t="shared" si="0"/>
        <v>923.94943031382036</v>
      </c>
      <c r="F35" s="32">
        <f t="shared" si="0"/>
        <v>979.57880367999337</v>
      </c>
      <c r="G35" s="1"/>
      <c r="H35" s="1"/>
      <c r="I35" s="1"/>
    </row>
    <row r="36" spans="1:9">
      <c r="A36" s="1"/>
      <c r="B36" s="1"/>
      <c r="C36" s="1"/>
      <c r="D36" s="1"/>
      <c r="E36" s="1"/>
      <c r="F36" s="1"/>
      <c r="G36" s="1"/>
      <c r="H36" s="1"/>
      <c r="I36" s="1"/>
    </row>
    <row r="37" spans="1:9">
      <c r="A37" s="1"/>
      <c r="B37" s="1"/>
      <c r="C37" s="1"/>
      <c r="D37" s="1"/>
      <c r="E37" s="1"/>
      <c r="F37" s="1"/>
      <c r="G37" s="1"/>
      <c r="H37" s="1"/>
      <c r="I37" s="1"/>
    </row>
    <row r="38" spans="1:9" ht="25.25" customHeight="1">
      <c r="A38" s="39" t="s">
        <v>214</v>
      </c>
      <c r="B38" s="39"/>
      <c r="C38" s="39"/>
      <c r="D38" s="39"/>
      <c r="E38" s="39"/>
      <c r="F38" s="39"/>
      <c r="G38" s="39"/>
      <c r="H38" s="39"/>
      <c r="I38" s="39"/>
    </row>
    <row r="39" spans="1:9" ht="29.25" customHeight="1">
      <c r="A39" s="41" t="s">
        <v>215</v>
      </c>
      <c r="B39" s="41"/>
      <c r="C39" s="41"/>
      <c r="D39" s="41"/>
      <c r="E39" s="41"/>
      <c r="F39" s="41"/>
      <c r="G39" s="41"/>
      <c r="H39" s="41"/>
      <c r="I39" s="41"/>
    </row>
    <row r="40" spans="1:9" ht="29.25" customHeight="1">
      <c r="A40" s="41" t="s">
        <v>216</v>
      </c>
      <c r="B40" s="41"/>
      <c r="C40" s="41"/>
      <c r="D40" s="41"/>
      <c r="E40" s="41"/>
      <c r="F40" s="41"/>
      <c r="G40" s="41"/>
      <c r="H40" s="41"/>
      <c r="I40" s="41"/>
    </row>
    <row r="41" spans="1:9" ht="29.25" customHeight="1">
      <c r="A41" s="41" t="s">
        <v>217</v>
      </c>
      <c r="B41" s="41"/>
      <c r="C41" s="41"/>
      <c r="D41" s="41"/>
      <c r="E41" s="41"/>
      <c r="F41" s="41"/>
      <c r="G41" s="41"/>
      <c r="H41" s="41"/>
      <c r="I41" s="41"/>
    </row>
    <row r="42" spans="1:9" ht="29.25" customHeight="1">
      <c r="A42" s="41" t="s">
        <v>218</v>
      </c>
      <c r="B42" s="41"/>
      <c r="C42" s="41"/>
      <c r="D42" s="41"/>
      <c r="E42" s="41"/>
      <c r="F42" s="41"/>
      <c r="G42" s="41"/>
      <c r="H42" s="41"/>
      <c r="I42" s="41"/>
    </row>
    <row r="43" spans="1:9">
      <c r="A43" s="1"/>
      <c r="B43" s="1"/>
      <c r="C43" s="1"/>
      <c r="D43" s="1"/>
      <c r="E43" s="1"/>
      <c r="F43" s="1"/>
      <c r="G43" s="1"/>
      <c r="H43" s="1"/>
      <c r="I43" s="1"/>
    </row>
    <row r="44" spans="1:9">
      <c r="A44" s="1"/>
      <c r="B44" s="1"/>
      <c r="C44" s="1"/>
      <c r="D44" s="1"/>
      <c r="E44" s="1"/>
      <c r="F44" s="1"/>
      <c r="G44" s="1"/>
      <c r="H44" s="1"/>
      <c r="I44" s="1"/>
    </row>
    <row r="45" spans="1:9">
      <c r="A45" s="1"/>
      <c r="B45" s="1"/>
      <c r="C45" s="1"/>
      <c r="D45" s="1"/>
      <c r="E45" s="1"/>
      <c r="F45" s="1"/>
      <c r="G45" s="1"/>
      <c r="H45" s="1"/>
      <c r="I45" s="1"/>
    </row>
  </sheetData>
  <mergeCells count="10">
    <mergeCell ref="A38:I38"/>
    <mergeCell ref="A39:I39"/>
    <mergeCell ref="A40:I40"/>
    <mergeCell ref="A41:I41"/>
    <mergeCell ref="A42:I42"/>
    <mergeCell ref="A1:I1"/>
    <mergeCell ref="A2:I2"/>
    <mergeCell ref="A4:I4"/>
    <mergeCell ref="A21:I21"/>
    <mergeCell ref="A29:I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Assumptions &amp; Sources</vt:lpstr>
      <vt:lpstr>Revenue Build</vt:lpstr>
      <vt:lpstr>3-Statement</vt:lpstr>
      <vt:lpstr>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Shirsh Sawarna</cp:lastModifiedBy>
  <dcterms:created xsi:type="dcterms:W3CDTF">2026-08-10T07:09:02Z</dcterms:created>
  <dcterms:modified xsi:type="dcterms:W3CDTF">2026-08-10T07:09:02Z</dcterms:modified>
</cp:coreProperties>
</file>