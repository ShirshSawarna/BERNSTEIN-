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3542fb7f548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289d2a4da34649f9"/>
    <x:sheet xmlns:r="http://schemas.openxmlformats.org/officeDocument/2006/relationships" name="Company Trends" sheetId="2" r:id="Re60909d6ec5a47aa"/>
    <x:sheet xmlns:r="http://schemas.openxmlformats.org/officeDocument/2006/relationships" name="Top Brand Trends" sheetId="3" r:id="R472978b25ea2496a"/>
    <x:sheet xmlns:r="http://schemas.openxmlformats.org/officeDocument/2006/relationships" name="Brand Portfolio" sheetId="4" r:id="R1beaaf7503d544a3"/>
    <x:sheet xmlns:r="http://schemas.openxmlformats.org/officeDocument/2006/relationships" name="Therapy Analysis" sheetId="5" r:id="R4cd1e336dab64fb4"/>
    <x:sheet xmlns:r="http://schemas.openxmlformats.org/officeDocument/2006/relationships" name="Concentration" sheetId="6" r:id="Rbc93238311984f66"/>
    <x:sheet xmlns:r="http://schemas.openxmlformats.org/officeDocument/2006/relationships" name="Raw Company" sheetId="7" r:id="Rbcccdaa0596f426c"/>
    <x:sheet xmlns:r="http://schemas.openxmlformats.org/officeDocument/2006/relationships" name="Audit &amp; Method" sheetId="8" r:id="R4535c1af36d641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-yy"/>
    <x:numFmt numFmtId="201" formatCode="0.0%;(0.0%);-"/>
    <x:numFmt numFmtId="202" formatCode="#,##0.00;[Red](#,##0.00);-"/>
    <x:numFmt numFmtId="203" formatCode="0.00x"/>
    <x:numFmt numFmtId="204" formatCode="#,##0;[Red](#,##0);-"/>
    <x:numFmt numFmtId="205" formatCode="#,##0.0;[Red](#,##0.0);-"/>
  </x:numFmts>
  <x:fonts count="9">
    <x:font>
      <x:sz val="11"/>
      <x:name val="Carlito"/>
    </x:font>
    <x:font>
      <x:b/>
      <x:sz val="15"/>
      <x:color rgb="FF0B1F3A"/>
      <x:name val="Arial"/>
    </x:font>
    <x:font>
      <x:i/>
      <x:sz val="9"/>
      <x:color rgb="FF6B7280"/>
      <x:name val="Arial"/>
    </x:font>
    <x:font>
      <x:b/>
      <x:sz val="9"/>
      <x:color rgb="FFFFFFFF"/>
      <x:name val="Arial"/>
    </x:font>
    <x:font>
      <x:b/>
      <x:sz val="9"/>
      <x:color rgb="FF1F2937"/>
      <x:name val="Arial"/>
    </x:font>
    <x:font>
      <x:sz val="9"/>
      <x:color rgb="FF1F2937"/>
      <x:name val="Arial"/>
    </x:font>
    <x:font>
      <x:sz val="9"/>
      <x:color rgb="FF0000FF"/>
      <x:name val="Arial"/>
    </x:font>
    <x:font>
      <x:b/>
      <x:sz val="10"/>
      <x:color rgb="FFFFFFFF"/>
      <x:name val="Arial"/>
    </x:font>
    <x:font>
      <x:b/>
      <x:sz val="9"/>
      <x:color rgb="FF0B1F3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B1F3A"/>
      </x:patternFill>
    </x:fill>
  </x:fills>
  <x:borders count="11">
    <x:border/>
    <x:border>
      <x:bottom style="thin">
        <x:color rgb="FF1F4E78"/>
      </x:bottom>
    </x:border>
    <x:border>
      <x:right style="thin">
        <x:color rgb="FFFFFFFF"/>
      </x:right>
      <x:bottom style="thin">
        <x:color rgb="FF0B1F3A"/>
      </x:bottom>
    </x:border>
    <x:border>
      <x:left style="thin">
        <x:color rgb="FFFFFFFF"/>
      </x:left>
      <x:right style="thin">
        <x:color rgb="FFFFFFFF"/>
      </x:right>
      <x:bottom style="thin">
        <x:color rgb="FF0B1F3A"/>
      </x:bottom>
    </x:border>
    <x:border>
      <x:left style="thin">
        <x:color rgb="FFFFFFFF"/>
      </x:left>
      <x:bottom style="thin">
        <x:color rgb="FF0B1F3A"/>
      </x:bottom>
    </x:border>
    <x:border>
      <x:right style="thin">
        <x:color rgb="FFFFFFFF"/>
      </x:right>
    </x:border>
    <x:border>
      <x:bottom style="thin">
        <x:color rgb="FFD1D5DB"/>
      </x:bottom>
    </x:border>
    <x:border>
      <x:right style="thin">
        <x:color rgb="FFFFFFFF"/>
      </x:right>
      <x:bottom style="thin">
        <x:color rgb="FFD1D5DB"/>
      </x:bottom>
    </x:border>
    <x:border>
      <x:left style="thin">
        <x:color rgb="FF0B1F3A"/>
      </x:left>
      <x:top style="thin">
        <x:color rgb="FF0B1F3A"/>
      </x:top>
      <x:bottom style="thin">
        <x:color rgb="FF0B1F3A"/>
      </x:bottom>
    </x:border>
    <x:border>
      <x:top style="thin">
        <x:color rgb="FF0B1F3A"/>
      </x:top>
      <x:bottom style="thin">
        <x:color rgb="FF0B1F3A"/>
      </x:bottom>
    </x:border>
    <x:border>
      <x:right style="thin">
        <x:color rgb="FF0B1F3A"/>
      </x:right>
      <x:top style="thin">
        <x:color rgb="FF0B1F3A"/>
      </x:top>
      <x:bottom style="thin">
        <x:color rgb="FF0B1F3A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3" fontId="5" fillId="0" borderId="5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3" fontId="5" fillId="0" borderId="6" xfId="0" applyNumberFormat="1" applyFont="1" applyFill="1" applyBorder="1" applyAlignment="1">
      <x:alignment vertical="center"/>
    </x:xf>
    <x:xf numFmtId="203" fontId="5" fillId="0" borderId="7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8" xfId="0" applyNumberFormat="1" applyFont="1" applyFill="1" applyBorder="1"/>
    <x:xf numFmtId="0" fontId="7" fillId="3" borderId="9" xfId="0" applyNumberFormat="1" applyFont="1" applyFill="1" applyBorder="1"/>
    <x:xf numFmtId="0" fontId="7" fillId="3" borderId="10" xfId="0" applyNumberFormat="1" applyFont="1" applyFill="1" applyBorder="1"/>
    <x:xf numFmtId="0" fontId="7" fillId="3" borderId="8" xfId="0" applyNumberFormat="1" applyFont="1" applyFill="1" applyBorder="1" applyAlignment="1">
      <x:alignment vertical="center"/>
    </x:xf>
    <x:xf numFmtId="0" fontId="7" fillId="3" borderId="9" xfId="0" applyNumberFormat="1" applyFont="1" applyFill="1" applyBorder="1" applyAlignment="1">
      <x:alignment vertical="center"/>
    </x:xf>
    <x:xf numFmtId="0" fontId="7" fillId="3" borderId="1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4" fillId="3" borderId="1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0">
    <x:dxf>
      <x:font>
        <x:b/>
        <x:color rgb="FFB33A3A"/>
      </x:font>
      <x:fill>
        <x:patternFill patternType="solid">
          <x:bgColor rgb="FFFCE8E6"/>
        </x:patternFill>
      </x:fill>
    </x:dxf>
    <x:dxf>
      <x:font>
        <x:b/>
        <x:color rgb="FFB33A3A"/>
      </x:font>
      <x:fill>
        <x:patternFill patternType="solid">
          <x:bgColor rgb="FFFCE8E6"/>
        </x:patternFill>
      </x:fill>
    </x:dxf>
    <x:dxf>
      <x:font>
        <x:b/>
        <x:color rgb="FF1B7F5C"/>
      </x:font>
      <x:fill>
        <x:patternFill patternType="solid">
          <x:bgColor rgb="FFE7F3ED"/>
        </x:patternFill>
      </x:fill>
    </x:dxf>
    <x:dxf>
      <x:font>
        <x:b/>
        <x:color rgb="FFB33A3A"/>
      </x:font>
      <x:fill>
        <x:patternFill patternType="solid">
          <x:bgColor rgb="FFFCE8E6"/>
        </x:patternFill>
      </x:fill>
    </x:dxf>
    <x:dxf>
      <x:font>
        <x:b/>
        <x:color rgb="FF1B7F5C"/>
      </x:font>
      <x:fill>
        <x:patternFill patternType="solid">
          <x:bgColor rgb="FFE7F3ED"/>
        </x:patternFill>
      </x:fill>
    </x:dxf>
    <x:dxf>
      <x:font>
        <x:b/>
        <x:color rgb="FFB33A3A"/>
      </x:font>
      <x:fill>
        <x:patternFill patternType="solid">
          <x:bgColor rgb="FFFCE8E6"/>
        </x:patternFill>
      </x:fill>
    </x:dxf>
    <x:dxf>
      <x:font>
        <x:b/>
        <x:color rgb="FF1B7F5C"/>
      </x:font>
      <x:fill>
        <x:patternFill patternType="solid">
          <x:bgColor rgb="FFE7F3ED"/>
        </x:patternFill>
      </x:fill>
    </x:dxf>
    <x:dxf>
      <x:font>
        <x:b/>
        <x:color rgb="FFB33A3A"/>
      </x:font>
      <x:fill>
        <x:patternFill patternType="solid">
          <x:bgColor rgb="FFFCE8E6"/>
        </x:patternFill>
      </x:fill>
    </x:dxf>
    <x:dxf>
      <x:font>
        <x:b/>
        <x:color rgb="FF1B7F5C"/>
      </x:font>
      <x:fill>
        <x:patternFill patternType="solid">
          <x:bgColor rgb="FFE7F3ED"/>
        </x:patternFill>
      </x:fill>
    </x:dxf>
    <x:dxf>
      <x:font>
        <x:b/>
        <x:color rgb="FFB33A3A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1fd73f04a94bc4" /><Relationship Type="http://schemas.openxmlformats.org/officeDocument/2006/relationships/theme" Target="/xl/theme/theme1.xml" Id="R796d78d083a14599" /><Relationship Type="http://schemas.openxmlformats.org/officeDocument/2006/relationships/sharedStrings" Target="/xl/sharedStrings.xml" Id="R8fa68af38cc34335" /><Relationship Type="http://schemas.openxmlformats.org/officeDocument/2006/relationships/worksheet" Target="/xl/worksheets/sheet1.xml" Id="R289d2a4da34649f9" /><Relationship Type="http://schemas.openxmlformats.org/officeDocument/2006/relationships/worksheet" Target="/xl/worksheets/sheet2.xml" Id="Re60909d6ec5a47aa" /><Relationship Type="http://schemas.openxmlformats.org/officeDocument/2006/relationships/worksheet" Target="/xl/worksheets/sheet3.xml" Id="R472978b25ea2496a" /><Relationship Type="http://schemas.openxmlformats.org/officeDocument/2006/relationships/worksheet" Target="/xl/worksheets/sheet4.xml" Id="R1beaaf7503d544a3" /><Relationship Type="http://schemas.openxmlformats.org/officeDocument/2006/relationships/worksheet" Target="/xl/worksheets/sheet5.xml" Id="R4cd1e336dab64fb4" /><Relationship Type="http://schemas.openxmlformats.org/officeDocument/2006/relationships/worksheet" Target="/xl/worksheets/sheet6.xml" Id="Rbc93238311984f66" /><Relationship Type="http://schemas.openxmlformats.org/officeDocument/2006/relationships/worksheet" Target="/xl/worksheets/sheet7.xml" Id="Rbcccdaa0596f426c" /><Relationship Type="http://schemas.openxmlformats.org/officeDocument/2006/relationships/worksheet" Target="/xl/worksheets/sheet8.xml" Id="R4535c1af36d641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7a4bcfba71424e" /><Relationship Type="http://schemas.openxmlformats.org/officeDocument/2006/relationships/chart" Target="/xl/drawings/charts/chart2.xml" Id="R449cbfb28d3c480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ad3fbbd54aa4519" /><Relationship Type="http://schemas.openxmlformats.org/officeDocument/2006/relationships/chart" Target="/xl/drawings/charts/chart4.xml" Id="Reac116581130489c" /><Relationship Type="http://schemas.openxmlformats.org/officeDocument/2006/relationships/chart" Target="/xl/drawings/charts/chart5.xml" Id="R984196be08394f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growth versus IPM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IPM growth</c:v>
          </c:tx>
          <c:spPr>
            <a:solidFill xmlns:a="http://schemas.openxmlformats.org/drawingml/2006/main">
              <a:srgbClr val="6B7280"/>
            </a:solidFill>
            <a:ln xmlns:a="http://schemas.openxmlformats.org/drawingml/2006/main" w="19050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strRef>
              <c:f>'Company Trends'!$A$14:$A$33</c:f>
              <c:strCache>
                <c:ptCount val="0"/>
              </c:strCache>
            </c:strRef>
          </c:cat>
          <c:val>
            <c:numRef>
              <c:f>'Company Trends'!$B$14:$B$33</c:f>
              <c:numCache>
                <c:formatCode>0.0%;(0.0%);-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Abbott growth</c:v>
          </c:tx>
          <c:spPr>
            <a:solidFill xmlns:a="http://schemas.openxmlformats.org/drawingml/2006/main">
              <a:srgbClr val="1B7F5C"/>
            </a:solidFill>
            <a:ln xmlns:a="http://schemas.openxmlformats.org/drawingml/2006/main" w="21431">
              <a:solidFill>
                <a:srgbClr val="1B7F5C"/>
              </a:solidFill>
              <a:prstDash val="solid"/>
            </a:ln>
          </c:spPr>
          <c:marker>
            <c:symbol val="none"/>
          </c:marker>
          <c:cat>
            <c:strRef>
              <c:f>'Company Trends'!$A$14:$A$33</c:f>
              <c:strCache>
                <c:ptCount val="0"/>
              </c:strCache>
            </c:strRef>
          </c:cat>
          <c:val>
            <c:numRef>
              <c:f>'Company Trends'!$C$14:$C$33</c:f>
              <c:numCache>
                <c:formatCode>0.0%;(0.0%);-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GSK growth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21431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'Company Trends'!$A$14:$A$33</c:f>
              <c:strCache>
                <c:ptCount val="0"/>
              </c:strCache>
            </c:strRef>
          </c:cat>
          <c:val>
            <c:numRef>
              <c:f>'Company Trends'!$E$14:$E$33</c:f>
              <c:numCache>
                <c:formatCode>0.0%;(0.0%);-</c:formatCode>
                <c:ptCount val="0"/>
              </c:numCache>
            </c:numRef>
          </c:val>
          <c:smooth val="0"/>
        </c:ser>
        <c:ser>
          <c:idx val="3"/>
          <c:order val="3"/>
          <c:tx>
            <c:v>Pfizer growth</c:v>
          </c:tx>
          <c:spPr>
            <a:solidFill xmlns:a="http://schemas.openxmlformats.org/drawingml/2006/main">
              <a:srgbClr val="D97706"/>
            </a:solidFill>
            <a:ln xmlns:a="http://schemas.openxmlformats.org/drawingml/2006/main" w="21431">
              <a:solidFill>
                <a:srgbClr val="D97706"/>
              </a:solidFill>
              <a:prstDash val="solid"/>
            </a:ln>
          </c:spPr>
          <c:marker>
            <c:symbol val="none"/>
          </c:marker>
          <c:cat>
            <c:strRef>
              <c:f>'Company Trends'!$A$14:$A$33</c:f>
              <c:strCache>
                <c:ptCount val="0"/>
              </c:strCache>
            </c:strRef>
          </c:cat>
          <c:val>
            <c:numRef>
              <c:f>'Company Trends'!$G$14:$G$33</c:f>
              <c:numCache>
                <c:formatCode>0.0%;(0.0%);-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sales trend (₹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Abbott sales</c:v>
          </c:tx>
          <c:spPr>
            <a:solidFill xmlns:a="http://schemas.openxmlformats.org/drawingml/2006/main">
              <a:srgbClr val="1B7F5C"/>
            </a:solidFill>
            <a:ln xmlns:a="http://schemas.openxmlformats.org/drawingml/2006/main" w="19050">
              <a:solidFill>
                <a:srgbClr val="1B7F5C"/>
              </a:solidFill>
              <a:prstDash val="solid"/>
            </a:ln>
          </c:spPr>
          <c:marker>
            <c:symbol val="none"/>
          </c:marker>
          <c:cat>
            <c:strRef>
              <c:f>'Company Trends'!$A$14:$A$33</c:f>
              <c:strCache>
                <c:ptCount val="0"/>
              </c:strCache>
            </c:strRef>
          </c:cat>
          <c:val>
            <c:numRef>
              <c:f>'Company Trends'!$I$14:$I$33</c:f>
              <c:numCache>
                <c:formatCode>#,##0.00;[Red](#,##0.00);-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GSK sales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21431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'Company Trends'!$A$14:$A$33</c:f>
              <c:strCache>
                <c:ptCount val="0"/>
              </c:strCache>
            </c:strRef>
          </c:cat>
          <c:val>
            <c:numRef>
              <c:f>'Company Trends'!$J$14:$J$33</c:f>
              <c:numCache>
                <c:formatCode>#,##0.00;[Red](#,##0.00);-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Pfizer sales</c:v>
          </c:tx>
          <c:spPr>
            <a:solidFill xmlns:a="http://schemas.openxmlformats.org/drawingml/2006/main">
              <a:srgbClr val="D97706"/>
            </a:solidFill>
            <a:ln xmlns:a="http://schemas.openxmlformats.org/drawingml/2006/main" w="21431">
              <a:solidFill>
                <a:srgbClr val="D97706"/>
              </a:solidFill>
              <a:prstDash val="solid"/>
            </a:ln>
          </c:spPr>
          <c:marker>
            <c:symbol val="none"/>
          </c:marker>
          <c:cat>
            <c:strRef>
              <c:f>'Company Trends'!$A$14:$A$33</c:f>
              <c:strCache>
                <c:ptCount val="0"/>
              </c:strCache>
            </c:strRef>
          </c:cat>
          <c:val>
            <c:numRef>
              <c:f>'Company Trends'!$K$14:$K$33</c:f>
              <c:numCache>
                <c:formatCode>#,##0.00;[Red](#,##0.00);-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Abbott India: leading disclosed brands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Thyronorm</c:v>
          </c:tx>
          <c:spPr>
            <a:solidFill xmlns:a="http://schemas.openxmlformats.org/drawingml/2006/main">
              <a:srgbClr val="1B7F5C"/>
            </a:solidFill>
            <a:ln xmlns:a="http://schemas.openxmlformats.org/drawingml/2006/main" w="19050">
              <a:solidFill>
                <a:srgbClr val="1B7F5C"/>
              </a:solidFill>
              <a:prstDash val="solid"/>
            </a:ln>
          </c:spPr>
          <c:marker>
            <c:symbol val="none"/>
          </c:marker>
          <c:cat>
            <c:strRef>
              <c:f>'Top Brand Trends'!$B$6:$B$25</c:f>
              <c:strCache>
                <c:ptCount val="0"/>
              </c:strCache>
            </c:strRef>
          </c:cat>
          <c:val>
            <c:numRef>
              <c:f>'Top Brand Trends'!$C$6:$C$25</c:f>
              <c:numCache>
                <c:formatCode>#,##0.00;[Red](#,##0.00);-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Cremaffin Plus</c:v>
          </c:tx>
          <c:spPr>
            <a:solidFill xmlns:a="http://schemas.openxmlformats.org/drawingml/2006/main">
              <a:srgbClr val="1F8A8A"/>
            </a:solidFill>
            <a:ln xmlns:a="http://schemas.openxmlformats.org/drawingml/2006/main" w="21431">
              <a:solidFill>
                <a:srgbClr val="1F8A8A"/>
              </a:solidFill>
              <a:prstDash val="solid"/>
            </a:ln>
          </c:spPr>
          <c:marker>
            <c:symbol val="none"/>
          </c:marker>
          <c:cat>
            <c:strRef>
              <c:f>'Top Brand Trends'!$B$6:$B$25</c:f>
              <c:strCache>
                <c:ptCount val="0"/>
              </c:strCache>
            </c:strRef>
          </c:cat>
          <c:val>
            <c:numRef>
              <c:f>'Top Brand Trends'!$D$6:$D$25</c:f>
              <c:numCache>
                <c:formatCode>#,##0.00;[Red](#,##0.00);-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Digene</c:v>
          </c:tx>
          <c:spPr>
            <a:solidFill xmlns:a="http://schemas.openxmlformats.org/drawingml/2006/main">
              <a:srgbClr val="6B7280"/>
            </a:solidFill>
            <a:ln xmlns:a="http://schemas.openxmlformats.org/drawingml/2006/main" w="21431">
              <a:solidFill>
                <a:srgbClr val="6B7280"/>
              </a:solidFill>
              <a:prstDash val="solid"/>
            </a:ln>
          </c:spPr>
          <c:marker>
            <c:symbol val="none"/>
          </c:marker>
          <c:cat>
            <c:strRef>
              <c:f>'Top Brand Trends'!$B$6:$B$25</c:f>
              <c:strCache>
                <c:ptCount val="0"/>
              </c:strCache>
            </c:strRef>
          </c:cat>
          <c:val>
            <c:numRef>
              <c:f>'Top Brand Trends'!$E$6:$E$25</c:f>
              <c:numCache>
                <c:formatCode>#,##0.00;[Red](#,##0.00);-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GSK India: leading disclosed brands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Augmentin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1905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'Top Brand Trends'!$B$6:$B$25</c:f>
              <c:strCache>
                <c:ptCount val="0"/>
              </c:strCache>
            </c:strRef>
          </c:cat>
          <c:val>
            <c:numRef>
              <c:f>'Top Brand Trends'!$I$6:$I$25</c:f>
              <c:numCache>
                <c:formatCode>#,##0.00;[Red](#,##0.00);-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Calpol</c:v>
          </c:tx>
          <c:spPr>
            <a:solidFill xmlns:a="http://schemas.openxmlformats.org/drawingml/2006/main">
              <a:srgbClr val="1F8A8A"/>
            </a:solidFill>
            <a:ln xmlns:a="http://schemas.openxmlformats.org/drawingml/2006/main" w="21431">
              <a:solidFill>
                <a:srgbClr val="1F8A8A"/>
              </a:solidFill>
              <a:prstDash val="solid"/>
            </a:ln>
          </c:spPr>
          <c:marker>
            <c:symbol val="none"/>
          </c:marker>
          <c:cat>
            <c:strRef>
              <c:f>'Top Brand Trends'!$B$6:$B$25</c:f>
              <c:strCache>
                <c:ptCount val="0"/>
              </c:strCache>
            </c:strRef>
          </c:cat>
          <c:val>
            <c:numRef>
              <c:f>'Top Brand Trends'!$J$6:$J$25</c:f>
              <c:numCache>
                <c:formatCode>#,##0.00;[Red](#,##0.00);-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T-Bact</c:v>
          </c:tx>
          <c:spPr>
            <a:solidFill xmlns:a="http://schemas.openxmlformats.org/drawingml/2006/main">
              <a:srgbClr val="6B7280"/>
            </a:solidFill>
            <a:ln xmlns:a="http://schemas.openxmlformats.org/drawingml/2006/main" w="21431">
              <a:solidFill>
                <a:srgbClr val="6B7280"/>
              </a:solidFill>
              <a:prstDash val="solid"/>
            </a:ln>
          </c:spPr>
          <c:marker>
            <c:symbol val="none"/>
          </c:marker>
          <c:cat>
            <c:strRef>
              <c:f>'Top Brand Trends'!$B$6:$B$25</c:f>
              <c:strCache>
                <c:ptCount val="0"/>
              </c:strCache>
            </c:strRef>
          </c:cat>
          <c:val>
            <c:numRef>
              <c:f>'Top Brand Trends'!$K$6:$K$25</c:f>
              <c:numCache>
                <c:formatCode>#,##0.00;[Red](#,##0.00);-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Pfizer Limited: leading disclosed brands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Prevenar-13</c:v>
          </c:tx>
          <c:spPr>
            <a:solidFill xmlns:a="http://schemas.openxmlformats.org/drawingml/2006/main">
              <a:srgbClr val="D97706"/>
            </a:solidFill>
            <a:ln xmlns:a="http://schemas.openxmlformats.org/drawingml/2006/main" w="19050">
              <a:solidFill>
                <a:srgbClr val="D97706"/>
              </a:solidFill>
              <a:prstDash val="solid"/>
            </a:ln>
          </c:spPr>
          <c:marker>
            <c:symbol val="none"/>
          </c:marker>
          <c:cat>
            <c:strRef>
              <c:f>'Top Brand Trends'!$B$6:$B$25</c:f>
              <c:strCache>
                <c:ptCount val="0"/>
              </c:strCache>
            </c:strRef>
          </c:cat>
          <c:val>
            <c:numRef>
              <c:f>'Top Brand Trends'!$O$6:$O$25</c:f>
              <c:numCache>
                <c:formatCode>#,##0.00;[Red](#,##0.00);-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Eliquis</c:v>
          </c:tx>
          <c:spPr>
            <a:solidFill xmlns:a="http://schemas.openxmlformats.org/drawingml/2006/main">
              <a:srgbClr val="1F8A8A"/>
            </a:solidFill>
            <a:ln xmlns:a="http://schemas.openxmlformats.org/drawingml/2006/main" w="21431">
              <a:solidFill>
                <a:srgbClr val="1F8A8A"/>
              </a:solidFill>
              <a:prstDash val="solid"/>
            </a:ln>
          </c:spPr>
          <c:marker>
            <c:symbol val="none"/>
          </c:marker>
          <c:cat>
            <c:strRef>
              <c:f>'Top Brand Trends'!$B$6:$B$25</c:f>
              <c:strCache>
                <c:ptCount val="0"/>
              </c:strCache>
            </c:strRef>
          </c:cat>
          <c:val>
            <c:numRef>
              <c:f>'Top Brand Trends'!$P$6:$P$25</c:f>
              <c:numCache>
                <c:formatCode>#,##0.00;[Red](#,##0.00);-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Becosules</c:v>
          </c:tx>
          <c:spPr>
            <a:solidFill xmlns:a="http://schemas.openxmlformats.org/drawingml/2006/main">
              <a:srgbClr val="6B7280"/>
            </a:solidFill>
            <a:ln xmlns:a="http://schemas.openxmlformats.org/drawingml/2006/main" w="21431">
              <a:solidFill>
                <a:srgbClr val="6B7280"/>
              </a:solidFill>
              <a:prstDash val="solid"/>
            </a:ln>
          </c:spPr>
          <c:marker>
            <c:symbol val="none"/>
          </c:marker>
          <c:cat>
            <c:strRef>
              <c:f>'Top Brand Trends'!$B$6:$B$25</c:f>
              <c:strCache>
                <c:ptCount val="0"/>
              </c:strCache>
            </c:strRef>
          </c:cat>
          <c:val>
            <c:numRef>
              <c:f>'Top Brand Trends'!$Q$6:$Q$25</c:f>
              <c:numCache>
                <c:formatCode>#,##0.00;[Red](#,##0.00);-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4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7a4bcfba71424e"/>
        </a:graphicData>
      </a:graphic>
    </xdr:graphicFrame>
    <xdr:clientData/>
  </xdr:twoCellAnchor>
  <xdr:twoCellAnchor>
    <xdr:from>
      <xdr:col>12</xdr:col>
      <xdr:colOff>0</xdr:colOff>
      <xdr:row>20</xdr:row>
      <xdr:rowOff>0</xdr:rowOff>
    </xdr:from>
    <xdr:to>
      <xdr:col>21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9cbfb28d3c480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7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d3fbbd54aa4519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c116581130489c"/>
        </a:graphicData>
      </a:graphic>
    </xdr:graphicFrame>
    <xdr:clientData/>
  </xdr:twoCellAnchor>
  <xdr:twoCellAnchor>
    <xdr:from>
      <xdr:col>14</xdr:col>
      <xdr:colOff>0</xdr:colOff>
      <xdr:row>27</xdr:row>
      <xdr:rowOff>0</xdr:rowOff>
    </xdr:from>
    <xdr:to>
      <xdr:col>21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4196be08394fb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BrandPortfolioTable" displayName="BrandPortfolioTable" ref="A5:T36" headerRowCount="1" totalsRowCount="0" totalsRowShown="0">
  <x:tableColumns count="20">
    <x:tableColumn id="1" name="Brand"/>
    <x:tableColumn id="2" name="Source manufacturer"/>
    <x:tableColumn id="3" name="Economic owner"/>
    <x:tableColumn id="4" name="Target company"/>
    <x:tableColumn id="5" name="Clean target view"/>
    <x:tableColumn id="6" name="Therapy"/>
    <x:tableColumn id="7" name="Packs / SKUs"/>
    <x:tableColumn id="8" name="Aug-26 sales"/>
    <x:tableColumn id="9" name="Aug growth"/>
    <x:tableColumn id="10" name="YTD-26 sales"/>
    <x:tableColumn id="11" name="YTD growth"/>
    <x:tableColumn id="12" name="TTM sales"/>
    <x:tableColumn id="13" name="TTM growth"/>
    <x:tableColumn id="14" name="Prior TTM sales"/>
    <x:tableColumn id="15" name="TTM growth contribution"/>
    <x:tableColumn id="16" name="YTD minus TTM growth"/>
    <x:tableColumn id="17" name="≥ ₹100cr TTM"/>
    <x:tableColumn id="18" name="TTM rank"/>
    <x:tableColumn id="19" name="Month rank"/>
    <x:tableColumn id="20" name="Mapping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awCompanyTable" displayName="RawCompanyTable" ref="A5:Z25" headerRowCount="1" totalsRowCount="0" totalsRowShown="0">
  <x:tableColumns count="26">
    <x:tableColumn id="1" name="Date"/>
    <x:tableColumn id="2" name="Month"/>
    <x:tableColumn id="3" name="IPM growth"/>
    <x:tableColumn id="4" name="Abbott group sales"/>
    <x:tableColumn id="5" name="Abbott group share"/>
    <x:tableColumn id="6" name="Abbott group growth"/>
    <x:tableColumn id="7" name="Abbott India sales"/>
    <x:tableColumn id="8" name="Within Abbott group"/>
    <x:tableColumn id="9" name="Abbott source growth"/>
    <x:tableColumn id="10" name="Abbott implied IPM share"/>
    <x:tableColumn id="11" name="GSK group sales"/>
    <x:tableColumn id="12" name="GSK group share"/>
    <x:tableColumn id="13" name="GSK group growth"/>
    <x:tableColumn id="14" name="GSK India sales"/>
    <x:tableColumn id="15" name="Within GSK group"/>
    <x:tableColumn id="16" name="GSK source growth"/>
    <x:tableColumn id="17" name="GSK implied IPM share"/>
    <x:tableColumn id="18" name="Pfizer sales"/>
    <x:tableColumn id="19" name="Pfizer IPM share"/>
    <x:tableColumn id="20" name="Pfizer growth"/>
    <x:tableColumn id="21" name="Abbott delta vs IPM"/>
    <x:tableColumn id="22" name="GSK delta vs IPM"/>
    <x:tableColumn id="23" name="Pfizer delta vs IPM"/>
    <x:tableColumn id="24" name="Abbott sales index"/>
    <x:tableColumn id="25" name="GSK sales index"/>
    <x:tableColumn id="26" name="Pfizer sales inde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c6c8f5153f54d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0d46161f55443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bba1e6e18eee4d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6e102b5e702e411d" /></Relationships>
</file>

<file path=xl/worksheets/sheet1.xml><?xml version="1.0" encoding="utf-8"?>
<x:worksheet xmlns:x="http://schemas.openxmlformats.org/spreadsheetml/2006/main">
  <x:sheetPr>
    <x:tabColor rgb="FF0B1F3A"/>
  </x:sheetPr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7" max="7" width="18" hidden="0" customWidth="1"/>
    <x:col min="8" max="8" width="39" hidden="0" customWidth="1"/>
    <x:col min="9" max="9" width="39" hidden="0" customWidth="1"/>
    <x:col min="10" max="10" width="33" hidden="0" customWidth="1"/>
  </x:cols>
  <x:sheetData>
    <x:row r="2">
      <x:c r="A2" s="55" t="str">
        <x:v>India pharma MNC initiation monitor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</x:row>
    <x:row r="3">
      <x:c r="A3" s="57" t="str">
        <x:v>IPM, company and brand trends through Aug 2026. All sales are ₹ crore unless stated.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</x:row>
    <x:row r="4">
      <x:c r="A4" s="58"/>
      <x:c r="B4" s="58"/>
      <x:c r="C4" s="58"/>
      <x:c r="D4" s="58"/>
      <x:c r="E4" s="58"/>
      <x:c r="F4" s="58"/>
      <x:c r="G4" s="58"/>
      <x:c r="H4" s="58"/>
      <x:c r="I4" s="58"/>
      <x:c r="J4" s="58"/>
      <x:c r="K4" s="58"/>
      <x:c r="L4" s="58"/>
      <x:c r="M4" s="58"/>
    </x:row>
    <x:row r="5">
      <x:c r="A5" s="45" t="str">
        <x:v>Growth and portfolio scorecard</x:v>
      </x:c>
      <x:c r="B5" s="46" t="str">
        <x:v>Growth and portfolio scorecard</x:v>
      </x:c>
      <x:c r="C5" s="46" t="str">
        <x:v>Growth and portfolio scorecard</x:v>
      </x:c>
      <x:c r="D5" s="46" t="str">
        <x:v>Growth and portfolio scorecard</x:v>
      </x:c>
      <x:c r="E5" s="47" t="str">
        <x:v>Growth and portfolio scorecard</x:v>
      </x:c>
      <x:c r="F5" s="58"/>
      <x:c r="G5" s="45" t="str">
        <x:v>Initiation conclusions</x:v>
      </x:c>
      <x:c r="H5" s="46" t="str">
        <x:v>Initiation conclusions</x:v>
      </x:c>
      <x:c r="I5" s="46" t="str">
        <x:v>Initiation conclusions</x:v>
      </x:c>
      <x:c r="J5" s="46" t="str">
        <x:v>Initiation conclusions</x:v>
      </x:c>
      <x:c r="K5" s="46" t="str">
        <x:v>Initiation conclusions</x:v>
      </x:c>
      <x:c r="L5" s="46" t="str">
        <x:v>Initiation conclusions</x:v>
      </x:c>
      <x:c r="M5" s="47" t="str">
        <x:v>Initiation conclusions</x:v>
      </x:c>
    </x:row>
    <x:row r="6">
      <x:c r="A6" s="18" t="str">
        <x:v>Metric</x:v>
      </x:c>
      <x:c r="B6" s="19" t="str">
        <x:v>IPM</x:v>
      </x:c>
      <x:c r="C6" s="19" t="str">
        <x:v>Abbott India</x:v>
      </x:c>
      <x:c r="D6" s="19" t="str">
        <x:v>GSK India</x:v>
      </x:c>
      <x:c r="E6" s="20" t="str">
        <x:v>Pfizer Limited</x:v>
      </x:c>
      <x:c r="F6" s="58"/>
      <x:c r="G6" s="18" t="str">
        <x:v>View</x:v>
      </x:c>
      <x:c r="H6" s="19" t="str">
        <x:v>What the data says</x:v>
      </x:c>
      <x:c r="I6" s="20" t="str">
        <x:v>Investment implication</x:v>
      </x:c>
      <x:c r="J6" s="58"/>
      <x:c r="K6" s="58"/>
      <x:c r="L6" s="58"/>
      <x:c r="M6" s="58"/>
    </x:row>
    <x:row r="7" ht="58" customHeight="1">
      <x:c r="A7" s="22" t="str">
        <x:v>Aug-26 growth</x:v>
      </x:c>
      <x:c r="B7" s="26" t="n">
        <x:f>'Company Trends'!C6</x:f>
        <x:v>0.1296</x:v>
      </x:c>
      <x:c r="C7" s="26" t="n">
        <x:f>'Company Trends'!C7</x:f>
        <x:v>0.108</x:v>
      </x:c>
      <x:c r="D7" s="26" t="n">
        <x:f>'Company Trends'!C8</x:f>
        <x:v>0.1103</x:v>
      </x:c>
      <x:c r="E7" s="26" t="n">
        <x:f>'Company Trends'!C9</x:f>
        <x:v>0.0859</x:v>
      </x:c>
      <x:c r="F7" s="58"/>
      <x:c r="G7" s="51" t="str">
        <x:v>Abbott India</x:v>
      </x:c>
      <x:c r="H7" s="50" t="str">
        <x:v>Only target ahead of IPM on reported YTD and TTM growth. Clean disclosed brands are broad-based: Thyronorm, Cremaffin Plus, Digene and Cremaffin all grow double digits on TTM.</x:v>
      </x:c>
      <x:c r="I7" s="50" t="str">
        <x:v>Positive, but use the listed-company view. The source ABT product bucket includes non-Abbott brands.</x:v>
      </x:c>
      <x:c r="J7" s="58"/>
      <x:c r="K7" s="58"/>
      <x:c r="L7" s="58"/>
      <x:c r="M7" s="58"/>
    </x:row>
    <x:row r="8" ht="58" customHeight="1">
      <x:c r="A8" s="22" t="str">
        <x:v>vs IPM</x:v>
      </x:c>
      <x:c r="B8" s="26" t="n">
        <x:f>0</x:f>
        <x:v>0</x:v>
      </x:c>
      <x:c r="C8" s="26" t="n">
        <x:f>'Company Trends'!D7</x:f>
        <x:v>-0.021599999999999994</x:v>
      </x:c>
      <x:c r="D8" s="26" t="n">
        <x:f>'Company Trends'!D8</x:f>
        <x:v>-0.019299999999999998</x:v>
      </x:c>
      <x:c r="E8" s="26" t="n">
        <x:f>'Company Trends'!D9</x:f>
        <x:v>-0.04369999999999999</x:v>
      </x:c>
      <x:c r="F8" s="58"/>
      <x:c r="G8" s="51" t="str">
        <x:v>GSK India</x:v>
      </x:c>
      <x:c r="H8" s="50" t="str">
        <x:v>Reported YTD and TTM growth trail IPM. Augmentin remains the largest disclosed brand; T-Bact, Neosporin and Infanrix add faster growth, while Eltroxin and Betnovate-C are slower.</x:v>
      </x:c>
      <x:c r="I8" s="50" t="str">
        <x:v>Franchise quality is visible, but current portfolio growth does not support a market-beating call on IPM data alone.</x:v>
      </x:c>
      <x:c r="J8" s="58"/>
      <x:c r="K8" s="58"/>
      <x:c r="L8" s="58"/>
      <x:c r="M8" s="58"/>
    </x:row>
    <x:row r="9" ht="58" customHeight="1">
      <x:c r="A9" s="22" t="str">
        <x:v>YTD-26 growth</x:v>
      </x:c>
      <x:c r="B9" s="26" t="n">
        <x:f>'Company Trends'!E6</x:f>
        <x:v>0.1302</x:v>
      </x:c>
      <x:c r="C9" s="26" t="n">
        <x:f>'Company Trends'!E7</x:f>
        <x:v>0.1498</x:v>
      </x:c>
      <x:c r="D9" s="26" t="n">
        <x:f>'Company Trends'!E8</x:f>
        <x:v>0.1029</x:v>
      </x:c>
      <x:c r="E9" s="26" t="n">
        <x:f>'Company Trends'!E9</x:f>
        <x:v>0.0969</x:v>
      </x:c>
      <x:c r="F9" s="58"/>
      <x:c r="G9" s="51" t="str">
        <x:v>Pfizer Limited</x:v>
      </x:c>
      <x:c r="H9" s="50" t="str">
        <x:v>TTM growth is closest to IPM, but Aug growth is weaker. Eliquis and Mucaine are the main disclosed growth offsets to Prevenar-13 and Minipress-XL declines.</x:v>
      </x:c>
      <x:c r="I9" s="50" t="str">
        <x:v>Narrow disclosed portfolio and mixed brand trajectory make new launches and recovery in declining brands important.</x:v>
      </x:c>
      <x:c r="J9" s="58"/>
      <x:c r="K9" s="58"/>
      <x:c r="L9" s="58"/>
      <x:c r="M9" s="58"/>
    </x:row>
    <x:row r="10" ht="58" customHeight="1">
      <x:c r="A10" s="22" t="str">
        <x:v>vs IPM</x:v>
      </x:c>
      <x:c r="B10" s="26" t="n">
        <x:f>0</x:f>
        <x:v>0</x:v>
      </x:c>
      <x:c r="C10" s="26" t="n">
        <x:f>'Company Trends'!F7</x:f>
        <x:v>0.01959999999999998</x:v>
      </x:c>
      <x:c r="D10" s="26" t="n">
        <x:f>'Company Trends'!F8</x:f>
        <x:v>-0.027300000000000005</x:v>
      </x:c>
      <x:c r="E10" s="26" t="n">
        <x:f>'Company Trends'!F9</x:f>
        <x:v>-0.03330000000000001</x:v>
      </x:c>
      <x:c r="F10" s="58"/>
      <x:c r="G10" s="51" t="str">
        <x:v>Data control</x:v>
      </x:c>
      <x:c r="H10" s="50" t="str">
        <x:v>Cross-snapshot sales totals do not recreate reported YTD growth for Abbott and Pfizer. Reported source growth is used for headline comparison; the mismatch is isolated in Audit &amp; Method.</x:v>
      </x:c>
      <x:c r="I10" s="50" t="str">
        <x:v>Treat source growth as primary and monthly sales recomputation as a diagnostic, not a replacement.</x:v>
      </x:c>
      <x:c r="J10" s="58"/>
      <x:c r="K10" s="58"/>
      <x:c r="L10" s="58"/>
      <x:c r="M10" s="58"/>
    </x:row>
    <x:row r="11">
      <x:c r="A11" s="22" t="str">
        <x:v>TTM growth</x:v>
      </x:c>
      <x:c r="B11" s="26" t="n">
        <x:f>'Company Trends'!G6</x:f>
        <x:v>0.1228</x:v>
      </x:c>
      <x:c r="C11" s="26" t="n">
        <x:f>'Company Trends'!G7</x:f>
        <x:v>0.1311</x:v>
      </x:c>
      <x:c r="D11" s="26" t="n">
        <x:f>'Company Trends'!G8</x:f>
        <x:v>0.0967</x:v>
      </x:c>
      <x:c r="E11" s="26" t="n">
        <x:f>'Company Trends'!G9</x:f>
        <x:v>0.1114</x:v>
      </x:c>
      <x:c r="F11" s="58"/>
      <x:c r="G11" s="58"/>
      <x:c r="H11" s="58"/>
      <x:c r="I11" s="58"/>
      <x:c r="J11" s="58"/>
      <x:c r="K11" s="58"/>
      <x:c r="L11" s="58"/>
      <x:c r="M11" s="58"/>
    </x:row>
    <x:row r="12">
      <x:c r="A12" s="22" t="str">
        <x:v>vs IPM</x:v>
      </x:c>
      <x:c r="B12" s="26" t="n">
        <x:f>0</x:f>
        <x:v>0</x:v>
      </x:c>
      <x:c r="C12" s="26" t="n">
        <x:f>'Company Trends'!H7</x:f>
        <x:v>0.008299999999999988</x:v>
      </x:c>
      <x:c r="D12" s="26" t="n">
        <x:f>'Company Trends'!H8</x:f>
        <x:v>-0.026100000000000012</x:v>
      </x:c>
      <x:c r="E12" s="26" t="n">
        <x:f>'Company Trends'!H9</x:f>
        <x:v>-0.011400000000000007</x:v>
      </x:c>
      <x:c r="F12" s="58"/>
      <x:c r="G12" s="58"/>
      <x:c r="H12" s="58"/>
      <x:c r="I12" s="58"/>
      <x:c r="J12" s="58"/>
      <x:c r="K12" s="58"/>
      <x:c r="L12" s="58"/>
      <x:c r="M12" s="58"/>
    </x:row>
    <x:row r="13">
      <x:c r="A13" s="22" t="str">
        <x:v>LTM sales</x:v>
      </x:c>
      <x:c r="B13" s="49" t="str">
        <x:f>""</x:f>
      </x:c>
      <x:c r="C13" s="49" t="n">
        <x:f>'Company Trends'!I7</x:f>
        <x:v>6887.67</x:v>
      </x:c>
      <x:c r="D13" s="49" t="n">
        <x:f>'Company Trends'!I8</x:f>
        <x:v>5566.849999999999</x:v>
      </x:c>
      <x:c r="E13" s="49" t="n">
        <x:f>'Company Trends'!I9</x:f>
        <x:v>3588.57</x:v>
      </x:c>
      <x:c r="F13" s="58"/>
      <x:c r="G13" s="45" t="str">
        <x:v>Brand calls from the disclosed subset</x:v>
      </x:c>
      <x:c r="H13" s="46" t="str">
        <x:v>Brand calls from the disclosed subset</x:v>
      </x:c>
      <x:c r="I13" s="46" t="str">
        <x:v>Brand calls from the disclosed subset</x:v>
      </x:c>
      <x:c r="J13" s="46" t="str">
        <x:v>Brand calls from the disclosed subset</x:v>
      </x:c>
      <x:c r="K13" s="46" t="str">
        <x:v>Brand calls from the disclosed subset</x:v>
      </x:c>
      <x:c r="L13" s="46" t="str">
        <x:v>Brand calls from the disclosed subset</x:v>
      </x:c>
      <x:c r="M13" s="47" t="str">
        <x:v>Brand calls from the disclosed subset</x:v>
      </x:c>
    </x:row>
    <x:row r="14">
      <x:c r="A14" s="22" t="str">
        <x:v>Implied IPM share</x:v>
      </x:c>
      <x:c r="B14" s="26" t="n">
        <x:f>100%</x:f>
        <x:v>1</x:v>
      </x:c>
      <x:c r="C14" s="26" t="n">
        <x:f>'Company Trends'!J7</x:f>
        <x:v>0.02517850545925444</x:v>
      </x:c>
      <x:c r="D14" s="26" t="n">
        <x:f>'Company Trends'!J8</x:f>
        <x:v>0.020410097491717936</x:v>
      </x:c>
      <x:c r="E14" s="26" t="n">
        <x:f>'Company Trends'!J9</x:f>
        <x:v>0.0124</x:v>
      </x:c>
      <x:c r="F14" s="58"/>
      <x:c r="G14" s="18" t="str">
        <x:v>Company</x:v>
      </x:c>
      <x:c r="H14" s="19" t="str">
        <x:v>Key positives</x:v>
      </x:c>
      <x:c r="I14" s="19" t="str">
        <x:v>Monitor / drag</x:v>
      </x:c>
      <x:c r="J14" s="20" t="str">
        <x:v>Portfolio read-through</x:v>
      </x:c>
      <x:c r="K14" s="58"/>
      <x:c r="L14" s="58"/>
      <x:c r="M14" s="58"/>
    </x:row>
    <x:row r="15" ht="48" customHeight="1">
      <x:c r="A15" s="22" t="str">
        <x:v>Source no. products</x:v>
      </x:c>
      <x:c r="B15" s="39" t="str">
        <x:f>""</x:f>
      </x:c>
      <x:c r="C15" s="39" t="n">
        <x:f>'Company Trends'!K7</x:f>
        <x:v>1696</x:v>
      </x:c>
      <x:c r="D15" s="39" t="n">
        <x:f>'Company Trends'!K8</x:f>
        <x:v>501</x:v>
      </x:c>
      <x:c r="E15" s="39" t="n">
        <x:f>'Company Trends'!K9</x:f>
        <x:v>503</x:v>
      </x:c>
      <x:c r="F15" s="58"/>
      <x:c r="G15" s="51" t="str">
        <x:v>Abbott India</x:v>
      </x:c>
      <x:c r="H15" s="50" t="str">
        <x:v>Cremaffin Plus +21.7% TTM; Thyronorm +12.8%</x:v>
      </x:c>
      <x:c r="I15" s="50" t="str">
        <x:v>No clean-view brand declining in disclosed subset</x:v>
      </x:c>
      <x:c r="J15" s="50" t="str">
        <x:v>Best breadth of growth, though the disclosed clean set is only four brands</x:v>
      </x:c>
      <x:c r="K15" s="58"/>
      <x:c r="L15" s="58"/>
      <x:c r="M15" s="58"/>
    </x:row>
    <x:row r="16" ht="48" customHeight="1">
      <x:c r="A16" s="22" t="str">
        <x:v>Disclosed brands ≥ ₹100cr</x:v>
      </x:c>
      <x:c r="B16" s="39" t="str">
        <x:f>""</x:f>
      </x:c>
      <x:c r="C16" s="39" t="n">
        <x:f>'Concentration'!C6</x:f>
        <x:v>4</x:v>
      </x:c>
      <x:c r="D16" s="39" t="n">
        <x:f>'Concentration'!C7</x:f>
        <x:v>11</x:v>
      </x:c>
      <x:c r="E16" s="39" t="n">
        <x:f>'Concentration'!C8</x:f>
        <x:v>6</x:v>
      </x:c>
      <x:c r="F16" s="58"/>
      <x:c r="G16" s="51" t="str">
        <x:v>GSK India</x:v>
      </x:c>
      <x:c r="H16" s="50" t="str">
        <x:v>Infanrix +17.4%; Neosporin +17.2%; T-Bact +13.5%</x:v>
      </x:c>
      <x:c r="I16" s="50" t="str">
        <x:v>Eltroxin +4.4%; Betnovate-C +4.2%</x:v>
      </x:c>
      <x:c r="J16" s="50" t="str">
        <x:v>More large disclosed brands, but weighted growth remains below IPM</x:v>
      </x:c>
      <x:c r="K16" s="58"/>
      <x:c r="L16" s="58"/>
      <x:c r="M16" s="58"/>
    </x:row>
    <x:row r="17" ht="48" customHeight="1">
      <x:c r="A17" s="22" t="str">
        <x:v>Weighted growth of disclosed brands</x:v>
      </x:c>
      <x:c r="B17" s="26" t="str">
        <x:f>""</x:f>
      </x:c>
      <x:c r="C17" s="26" t="n">
        <x:f>'Concentration'!H6</x:f>
        <x:v>0.14669057511054473</x:v>
      </x:c>
      <x:c r="D17" s="26" t="n">
        <x:f>'Concentration'!H7</x:f>
        <x:v>0.10735255046271663</x:v>
      </x:c>
      <x:c r="E17" s="26" t="n">
        <x:f>'Concentration'!H8</x:f>
        <x:v>0.05985843856804429</x:v>
      </x:c>
      <x:c r="F17" s="58"/>
      <x:c r="G17" s="51" t="str">
        <x:v>Pfizer Limited</x:v>
      </x:c>
      <x:c r="H17" s="50" t="str">
        <x:v>Eliquis +28.9%; Mucaine +16.4%</x:v>
      </x:c>
      <x:c r="I17" s="50" t="str">
        <x:v>Prevenar-13 -3.3%; Minipress-XL -4.1%</x:v>
      </x:c>
      <x:c r="J17" s="50" t="str">
        <x:v>Growth is concentrated in two brands and offset by legacy-brand declines</x:v>
      </x:c>
      <x:c r="K17" s="58"/>
      <x:c r="L17" s="58"/>
      <x:c r="M17" s="58"/>
    </x:row>
  </x:sheetData>
  <x:conditionalFormatting sqref="C8:E8">
    <x:cfRule type="cellIs" dxfId="3" priority="1" operator="lessThan">
      <x:formula>0</x:formula>
    </x:cfRule>
    <x:cfRule type="cellIs" dxfId="4" priority="2" operator="greaterThanOrEqual">
      <x:formula>0</x:formula>
    </x:cfRule>
  </x:conditionalFormatting>
  <x:conditionalFormatting sqref="C10:E10">
    <x:cfRule type="cellIs" dxfId="5" priority="3" operator="lessThan">
      <x:formula>0</x:formula>
    </x:cfRule>
    <x:cfRule type="cellIs" dxfId="6" priority="4" operator="greaterThanOrEqual">
      <x:formula>0</x:formula>
    </x:cfRule>
  </x:conditionalFormatting>
  <x:conditionalFormatting sqref="C12:E12">
    <x:cfRule type="cellIs" dxfId="7" priority="5" operator="lessThan">
      <x:formula>0</x:formula>
    </x:cfRule>
    <x:cfRule type="cellIs" dxfId="8" priority="6" operator="greaterThanOr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35" hidden="0" customWidth="1"/>
  </x:cols>
  <x:sheetData>
    <x:row r="2">
      <x:c r="A2" s="55" t="str">
        <x:v>Company growth versus IPM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</x:row>
    <x:row r="3">
      <x:c r="A3" s="57" t="str">
        <x:v>Listed-company proxies shown alongside the vendor-reported market benchmark. Sales in ₹ crore.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</x:row>
    <x:row r="4">
      <x:c r="A4" s="58"/>
      <x:c r="B4" s="58"/>
      <x:c r="C4" s="58"/>
      <x:c r="D4" s="58"/>
      <x:c r="E4" s="58"/>
      <x:c r="F4" s="58"/>
      <x:c r="G4" s="58"/>
      <x:c r="H4" s="58"/>
      <x:c r="I4" s="58"/>
      <x:c r="J4" s="58"/>
      <x:c r="K4" s="58"/>
      <x:c r="L4" s="58"/>
      <x:c r="M4" s="58"/>
      <x:c r="N4" s="58"/>
      <x:c r="O4" s="58"/>
      <x:c r="P4" s="58"/>
      <x:c r="Q4" s="58"/>
      <x:c r="R4" s="58"/>
      <x:c r="S4" s="58"/>
      <x:c r="T4" s="58"/>
      <x:c r="U4" s="58"/>
    </x:row>
    <x:row r="5">
      <x:c r="A5" s="18" t="str">
        <x:v>Company / benchmark</x:v>
      </x:c>
      <x:c r="B5" s="19" t="str">
        <x:v>Aug-26 sales</x:v>
      </x:c>
      <x:c r="C5" s="19" t="str">
        <x:v>Aug growth</x:v>
      </x:c>
      <x:c r="D5" s="19" t="str">
        <x:v>vs IPM</x:v>
      </x:c>
      <x:c r="E5" s="19" t="str">
        <x:v>YTD-26 growth</x:v>
      </x:c>
      <x:c r="F5" s="19" t="str">
        <x:v>vs IPM</x:v>
      </x:c>
      <x:c r="G5" s="19" t="str">
        <x:v>TTM growth</x:v>
      </x:c>
      <x:c r="H5" s="19" t="str">
        <x:v>vs IPM</x:v>
      </x:c>
      <x:c r="I5" s="19" t="str">
        <x:v>LTM sales</x:v>
      </x:c>
      <x:c r="J5" s="19" t="str">
        <x:v>Implied IPM share</x:v>
      </x:c>
      <x:c r="K5" s="19" t="str">
        <x:v>Source no. products</x:v>
      </x:c>
      <x:c r="L5" s="20" t="str">
        <x:v>Analytical basis</x:v>
      </x:c>
      <x:c r="M5" s="58"/>
      <x:c r="N5" s="58"/>
      <x:c r="O5" s="58"/>
      <x:c r="P5" s="58"/>
      <x:c r="Q5" s="58"/>
      <x:c r="R5" s="58"/>
      <x:c r="S5" s="58"/>
      <x:c r="T5" s="58"/>
      <x:c r="U5" s="58"/>
    </x:row>
    <x:row r="6">
      <x:c r="A6" s="22" t="str">
        <x:v>IPM</x:v>
      </x:c>
      <x:c r="B6" s="37"/>
      <x:c r="C6" s="26" t="n">
        <x:v>0.1296</x:v>
      </x:c>
      <x:c r="D6" s="26" t="n">
        <x:v>0</x:v>
      </x:c>
      <x:c r="E6" s="26" t="n">
        <x:v>0.1302</x:v>
      </x:c>
      <x:c r="F6" s="26" t="n">
        <x:v>0</x:v>
      </x:c>
      <x:c r="G6" s="26" t="n">
        <x:v>0.1228</x:v>
      </x:c>
      <x:c r="H6" s="26" t="n">
        <x:v>0</x:v>
      </x:c>
      <x:c r="I6" s="37"/>
      <x:c r="J6" s="26" t="n">
        <x:v>1</x:v>
      </x:c>
      <x:c r="K6" s="39"/>
      <x:c r="L6" s="22" t="str">
        <x:v>Reported market benchmark</x:v>
      </x:c>
      <x:c r="M6" s="58"/>
      <x:c r="N6" s="58"/>
      <x:c r="O6" s="58"/>
      <x:c r="P6" s="58"/>
      <x:c r="Q6" s="58"/>
      <x:c r="R6" s="58"/>
      <x:c r="S6" s="58"/>
      <x:c r="T6" s="58"/>
      <x:c r="U6" s="58"/>
    </x:row>
    <x:row r="7">
      <x:c r="A7" s="22" t="str">
        <x:v>Abbott India</x:v>
      </x:c>
      <x:c r="B7" s="37" t="n">
        <x:v>624.85</x:v>
      </x:c>
      <x:c r="C7" s="26" t="n">
        <x:v>0.108</x:v>
      </x:c>
      <x:c r="D7" s="26" t="n">
        <x:f>C7-$C$6</x:f>
        <x:v>-0.021599999999999994</x:v>
      </x:c>
      <x:c r="E7" s="26" t="n">
        <x:v>0.1498</x:v>
      </x:c>
      <x:c r="F7" s="26" t="n">
        <x:f>E7-$E$6</x:f>
        <x:v>0.01959999999999998</x:v>
      </x:c>
      <x:c r="G7" s="26" t="n">
        <x:v>0.1311</x:v>
      </x:c>
      <x:c r="H7" s="26" t="n">
        <x:f>G7-$G$6</x:f>
        <x:v>0.008299999999999988</x:v>
      </x:c>
      <x:c r="I7" s="37" t="n">
        <x:f>SUM('Raw Company'!G14:G25)</x:f>
        <x:v>6887.67</x:v>
      </x:c>
      <x:c r="J7" s="26" t="n">
        <x:f>'Raw Company'!J25</x:f>
        <x:v>0.02517850545925444</x:v>
      </x:c>
      <x:c r="K7" s="39" t="n">
        <x:v>1696</x:v>
      </x:c>
      <x:c r="L7" s="22" t="str">
        <x:v>Listed-company subrow; source growth primary</x:v>
      </x:c>
      <x:c r="M7" s="58"/>
      <x:c r="N7" s="58"/>
      <x:c r="O7" s="58"/>
      <x:c r="P7" s="58"/>
      <x:c r="Q7" s="58"/>
      <x:c r="R7" s="58"/>
      <x:c r="S7" s="58"/>
      <x:c r="T7" s="58"/>
      <x:c r="U7" s="58"/>
    </x:row>
    <x:row r="8">
      <x:c r="A8" s="22" t="str">
        <x:v>GSK India</x:v>
      </x:c>
      <x:c r="B8" s="37" t="n">
        <x:v>506.18</x:v>
      </x:c>
      <x:c r="C8" s="26" t="n">
        <x:v>0.1103</x:v>
      </x:c>
      <x:c r="D8" s="26" t="n">
        <x:f>C8-$C$6</x:f>
        <x:v>-0.019299999999999998</x:v>
      </x:c>
      <x:c r="E8" s="26" t="n">
        <x:v>0.1029</x:v>
      </x:c>
      <x:c r="F8" s="26" t="n">
        <x:f>E8-$E$6</x:f>
        <x:v>-0.027300000000000005</x:v>
      </x:c>
      <x:c r="G8" s="26" t="n">
        <x:v>0.0967</x:v>
      </x:c>
      <x:c r="H8" s="26" t="n">
        <x:f>G8-$G$6</x:f>
        <x:v>-0.026100000000000012</x:v>
      </x:c>
      <x:c r="I8" s="37" t="n">
        <x:f>SUM('Raw Company'!N14:N25)</x:f>
        <x:v>5566.849999999999</x:v>
      </x:c>
      <x:c r="J8" s="26" t="n">
        <x:f>'Raw Company'!Q25</x:f>
        <x:v>0.020410097491717936</x:v>
      </x:c>
      <x:c r="K8" s="39" t="n">
        <x:v>501</x:v>
      </x:c>
      <x:c r="L8" s="22" t="str">
        <x:v>Predominantly listed-company subrow</x:v>
      </x:c>
      <x:c r="M8" s="58"/>
      <x:c r="N8" s="58"/>
      <x:c r="O8" s="58"/>
      <x:c r="P8" s="58"/>
      <x:c r="Q8" s="58"/>
      <x:c r="R8" s="58"/>
      <x:c r="S8" s="58"/>
      <x:c r="T8" s="58"/>
      <x:c r="U8" s="58"/>
    </x:row>
    <x:row r="9">
      <x:c r="A9" s="22" t="str">
        <x:v>Pfizer Limited</x:v>
      </x:c>
      <x:c r="B9" s="37" t="n">
        <x:v>307.57</x:v>
      </x:c>
      <x:c r="C9" s="26" t="n">
        <x:v>0.0859</x:v>
      </x:c>
      <x:c r="D9" s="26" t="n">
        <x:f>C9-$C$6</x:f>
        <x:v>-0.04369999999999999</x:v>
      </x:c>
      <x:c r="E9" s="26" t="n">
        <x:v>0.0969</x:v>
      </x:c>
      <x:c r="F9" s="26" t="n">
        <x:f>E9-$E$6</x:f>
        <x:v>-0.03330000000000001</x:v>
      </x:c>
      <x:c r="G9" s="26" t="n">
        <x:v>0.1114</x:v>
      </x:c>
      <x:c r="H9" s="26" t="n">
        <x:f>G9-$G$6</x:f>
        <x:v>-0.011400000000000007</x:v>
      </x:c>
      <x:c r="I9" s="37" t="n">
        <x:f>SUM('Raw Company'!R14:R25)</x:f>
        <x:v>3588.57</x:v>
      </x:c>
      <x:c r="J9" s="26" t="n">
        <x:v>0.0124</x:v>
      </x:c>
      <x:c r="K9" s="39" t="n">
        <x:v>503</x:v>
      </x:c>
      <x:c r="L9" s="22" t="str">
        <x:v>Group equals listed entity in source</x:v>
      </x:c>
      <x:c r="M9" s="58"/>
      <x:c r="N9" s="58"/>
      <x:c r="O9" s="58"/>
      <x:c r="P9" s="58"/>
      <x:c r="Q9" s="58"/>
      <x:c r="R9" s="58"/>
      <x:c r="S9" s="58"/>
      <x:c r="T9" s="58"/>
      <x:c r="U9" s="58"/>
    </x:row>
    <x:row r="10">
      <x:c r="A10" s="58"/>
      <x:c r="B10" s="58"/>
      <x:c r="C10" s="58"/>
      <x:c r="D10" s="58"/>
      <x:c r="E10" s="58"/>
      <x:c r="F10" s="58"/>
      <x:c r="G10" s="58"/>
      <x:c r="H10" s="58"/>
      <x:c r="I10" s="58"/>
      <x:c r="J10" s="58"/>
      <x:c r="K10" s="58"/>
      <x:c r="L10" s="58"/>
      <x:c r="M10" s="58"/>
      <x:c r="N10" s="58"/>
      <x:c r="O10" s="58"/>
      <x:c r="P10" s="58"/>
      <x:c r="Q10" s="58"/>
      <x:c r="R10" s="58"/>
      <x:c r="S10" s="58"/>
      <x:c r="T10" s="58"/>
      <x:c r="U10" s="58"/>
    </x:row>
    <x:row r="11">
      <x:c r="A11" s="58"/>
      <x:c r="B11" s="58"/>
      <x:c r="C11" s="58"/>
      <x:c r="D11" s="58"/>
      <x:c r="E11" s="58"/>
      <x:c r="F11" s="58"/>
      <x:c r="G11" s="58"/>
      <x:c r="H11" s="58"/>
      <x:c r="I11" s="58"/>
      <x:c r="J11" s="58"/>
      <x:c r="K11" s="58"/>
      <x:c r="L11" s="58"/>
      <x:c r="M11" s="58"/>
      <x:c r="N11" s="58"/>
      <x:c r="O11" s="58"/>
      <x:c r="P11" s="58"/>
      <x:c r="Q11" s="58"/>
      <x:c r="R11" s="58"/>
      <x:c r="S11" s="58"/>
      <x:c r="T11" s="58"/>
      <x:c r="U11" s="58"/>
    </x:row>
    <x:row r="12">
      <x:c r="A12" s="45" t="str">
        <x:v>20-month monthly trend</x:v>
      </x:c>
      <x:c r="B12" s="46" t="str">
        <x:v>20-month monthly trend</x:v>
      </x:c>
      <x:c r="C12" s="46" t="str">
        <x:v>20-month monthly trend</x:v>
      </x:c>
      <x:c r="D12" s="46" t="str">
        <x:v>20-month monthly trend</x:v>
      </x:c>
      <x:c r="E12" s="46" t="str">
        <x:v>20-month monthly trend</x:v>
      </x:c>
      <x:c r="F12" s="46" t="str">
        <x:v>20-month monthly trend</x:v>
      </x:c>
      <x:c r="G12" s="46" t="str">
        <x:v>20-month monthly trend</x:v>
      </x:c>
      <x:c r="H12" s="46" t="str">
        <x:v>20-month monthly trend</x:v>
      </x:c>
      <x:c r="I12" s="46" t="str">
        <x:v>20-month monthly trend</x:v>
      </x:c>
      <x:c r="J12" s="46" t="str">
        <x:v>20-month monthly trend</x:v>
      </x:c>
      <x:c r="K12" s="46" t="str">
        <x:v>20-month monthly trend</x:v>
      </x:c>
      <x:c r="L12" s="47" t="str">
        <x:v>20-month monthly trend</x:v>
      </x:c>
      <x:c r="M12" s="58"/>
      <x:c r="N12" s="58"/>
      <x:c r="O12" s="58"/>
      <x:c r="P12" s="58"/>
      <x:c r="Q12" s="58"/>
      <x:c r="R12" s="58"/>
      <x:c r="S12" s="58"/>
      <x:c r="T12" s="58"/>
      <x:c r="U12" s="58"/>
    </x:row>
    <x:row r="13">
      <x:c r="A13" s="18" t="str">
        <x:v>Month</x:v>
      </x:c>
      <x:c r="B13" s="19" t="str">
        <x:v>IPM growth</x:v>
      </x:c>
      <x:c r="C13" s="19" t="str">
        <x:v>Abbott growth</x:v>
      </x:c>
      <x:c r="D13" s="19" t="str">
        <x:v>Abbott vs IPM</x:v>
      </x:c>
      <x:c r="E13" s="19" t="str">
        <x:v>GSK growth</x:v>
      </x:c>
      <x:c r="F13" s="19" t="str">
        <x:v>GSK vs IPM</x:v>
      </x:c>
      <x:c r="G13" s="19" t="str">
        <x:v>Pfizer growth</x:v>
      </x:c>
      <x:c r="H13" s="19" t="str">
        <x:v>Pfizer vs IPM</x:v>
      </x:c>
      <x:c r="I13" s="19" t="str">
        <x:v>Abbott sales</x:v>
      </x:c>
      <x:c r="J13" s="19" t="str">
        <x:v>GSK sales</x:v>
      </x:c>
      <x:c r="K13" s="20" t="str">
        <x:v>Pfizer sales</x:v>
      </x:c>
      <x:c r="L13" s="58"/>
      <x:c r="M13" s="58"/>
      <x:c r="N13" s="58"/>
      <x:c r="O13" s="58"/>
      <x:c r="P13" s="58"/>
      <x:c r="Q13" s="58"/>
      <x:c r="R13" s="58"/>
      <x:c r="S13" s="58"/>
      <x:c r="T13" s="58"/>
      <x:c r="U13" s="58"/>
    </x:row>
    <x:row r="14">
      <x:c r="A14" s="22" t="str">
        <x:f>'Raw Company'!B6</x:f>
        <x:v>Jan-25</x:v>
      </x:c>
      <x:c r="B14" s="26" t="n">
        <x:f>'Raw Company'!C6</x:f>
        <x:v>0.0841</x:v>
      </x:c>
      <x:c r="C14" s="26" t="n">
        <x:f>'Raw Company'!I6</x:f>
        <x:v>0.1215</x:v>
      </x:c>
      <x:c r="D14" s="26" t="n">
        <x:f>'Raw Company'!U6</x:f>
        <x:v>0.0374</x:v>
      </x:c>
      <x:c r="E14" s="26" t="n">
        <x:f>'Raw Company'!P6</x:f>
        <x:v>0.0187</x:v>
      </x:c>
      <x:c r="F14" s="26" t="n">
        <x:f>'Raw Company'!V6</x:f>
        <x:v>-0.06539999999999999</x:v>
      </x:c>
      <x:c r="G14" s="26" t="n">
        <x:f>'Raw Company'!T6</x:f>
        <x:v>0.1177</x:v>
      </x:c>
      <x:c r="H14" s="26" t="n">
        <x:f>'Raw Company'!W6</x:f>
        <x:v>0.033600000000000005</x:v>
      </x:c>
      <x:c r="I14" s="37" t="n">
        <x:f>'Raw Company'!G6</x:f>
        <x:v>455.25</x:v>
      </x:c>
      <x:c r="J14" s="37" t="n">
        <x:f>'Raw Company'!N6</x:f>
        <x:v>396.97</x:v>
      </x:c>
      <x:c r="K14" s="37" t="n">
        <x:f>'Raw Company'!R6</x:f>
        <x:v>287.91</x:v>
      </x:c>
      <x:c r="L14" s="58"/>
      <x:c r="M14" s="58"/>
      <x:c r="N14" s="58"/>
      <x:c r="O14" s="58"/>
      <x:c r="P14" s="58"/>
      <x:c r="Q14" s="58"/>
      <x:c r="R14" s="58"/>
      <x:c r="S14" s="58"/>
      <x:c r="T14" s="58"/>
      <x:c r="U14" s="58"/>
    </x:row>
    <x:row r="15">
      <x:c r="A15" s="22" t="str">
        <x:f>'Raw Company'!B7</x:f>
        <x:v>Feb-25</x:v>
      </x:c>
      <x:c r="B15" s="26" t="n">
        <x:f>'Raw Company'!C7</x:f>
        <x:v>0.0414</x:v>
      </x:c>
      <x:c r="C15" s="26" t="n">
        <x:f>'Raw Company'!I7</x:f>
        <x:v>0.0606</x:v>
      </x:c>
      <x:c r="D15" s="26" t="n">
        <x:f>'Raw Company'!U7</x:f>
        <x:v>0.019200000000000002</x:v>
      </x:c>
      <x:c r="E15" s="26" t="n">
        <x:f>'Raw Company'!P7</x:f>
        <x:v>-0.0483</x:v>
      </x:c>
      <x:c r="F15" s="26" t="n">
        <x:f>'Raw Company'!V7</x:f>
        <x:v>-0.0897</x:v>
      </x:c>
      <x:c r="G15" s="26" t="n">
        <x:f>'Raw Company'!T7</x:f>
        <x:v>0.0771</x:v>
      </x:c>
      <x:c r="H15" s="26" t="n">
        <x:f>'Raw Company'!W7</x:f>
        <x:v>0.0357</x:v>
      </x:c>
      <x:c r="I15" s="37" t="n">
        <x:f>'Raw Company'!G7</x:f>
        <x:v>438.95</x:v>
      </x:c>
      <x:c r="J15" s="37" t="n">
        <x:f>'Raw Company'!N7</x:f>
        <x:v>403.82</x:v>
      </x:c>
      <x:c r="K15" s="37" t="n">
        <x:f>'Raw Company'!R7</x:f>
        <x:v>274</x:v>
      </x:c>
      <x:c r="L15" s="58"/>
      <x:c r="M15" s="58"/>
      <x:c r="N15" s="58"/>
      <x:c r="O15" s="58"/>
      <x:c r="P15" s="58"/>
      <x:c r="Q15" s="58"/>
      <x:c r="R15" s="58"/>
      <x:c r="S15" s="58"/>
      <x:c r="T15" s="58"/>
      <x:c r="U15" s="58"/>
    </x:row>
    <x:row r="16">
      <x:c r="A16" s="22" t="str">
        <x:f>'Raw Company'!B8</x:f>
        <x:v>Mar-25</x:v>
      </x:c>
      <x:c r="B16" s="26" t="n">
        <x:f>'Raw Company'!C8</x:f>
        <x:v>0.0927</x:v>
      </x:c>
      <x:c r="C16" s="26" t="n">
        <x:f>'Raw Company'!I8</x:f>
        <x:v>0.0841</x:v>
      </x:c>
      <x:c r="D16" s="26" t="n">
        <x:f>'Raw Company'!U8</x:f>
        <x:v>-0.00860000000000001</x:v>
      </x:c>
      <x:c r="E16" s="26" t="n">
        <x:f>'Raw Company'!P8</x:f>
        <x:v>0.0478</x:v>
      </x:c>
      <x:c r="F16" s="26" t="n">
        <x:f>'Raw Company'!V8</x:f>
        <x:v>-0.0449</x:v>
      </x:c>
      <x:c r="G16" s="26" t="n">
        <x:f>'Raw Company'!T8</x:f>
        <x:v>0.1348</x:v>
      </x:c>
      <x:c r="H16" s="26" t="n">
        <x:f>'Raw Company'!W8</x:f>
        <x:v>0.0421</x:v>
      </x:c>
      <x:c r="I16" s="37" t="n">
        <x:f>'Raw Company'!G8</x:f>
        <x:v>444.99</x:v>
      </x:c>
      <x:c r="J16" s="37" t="n">
        <x:f>'Raw Company'!N8</x:f>
        <x:v>428.02</x:v>
      </x:c>
      <x:c r="K16" s="37" t="n">
        <x:f>'Raw Company'!R8</x:f>
        <x:v>272.59</x:v>
      </x:c>
      <x:c r="L16" s="58"/>
      <x:c r="M16" s="58"/>
      <x:c r="N16" s="58"/>
      <x:c r="O16" s="58"/>
      <x:c r="P16" s="58"/>
      <x:c r="Q16" s="58"/>
      <x:c r="R16" s="58"/>
      <x:c r="S16" s="58"/>
      <x:c r="T16" s="58"/>
      <x:c r="U16" s="58"/>
    </x:row>
    <x:row r="17">
      <x:c r="A17" s="22" t="str">
        <x:f>'Raw Company'!B9</x:f>
        <x:v>Apr-25</x:v>
      </x:c>
      <x:c r="B17" s="26" t="n">
        <x:f>'Raw Company'!C9</x:f>
        <x:v>0.0741</x:v>
      </x:c>
      <x:c r="C17" s="26" t="n">
        <x:f>'Raw Company'!I9</x:f>
        <x:v>0.0936</x:v>
      </x:c>
      <x:c r="D17" s="26" t="n">
        <x:f>'Raw Company'!U9</x:f>
        <x:v>0.019500000000000003</x:v>
      </x:c>
      <x:c r="E17" s="26" t="n">
        <x:f>'Raw Company'!P9</x:f>
        <x:v>0.024</x:v>
      </x:c>
      <x:c r="F17" s="26" t="n">
        <x:f>'Raw Company'!V9</x:f>
        <x:v>-0.0501</x:v>
      </x:c>
      <x:c r="G17" s="26" t="n">
        <x:f>'Raw Company'!T9</x:f>
        <x:v>-0.0388</x:v>
      </x:c>
      <x:c r="H17" s="26" t="n">
        <x:f>'Raw Company'!W9</x:f>
        <x:v>-0.1129</x:v>
      </x:c>
      <x:c r="I17" s="37" t="n">
        <x:f>'Raw Company'!G9</x:f>
        <x:v>509.81</x:v>
      </x:c>
      <x:c r="J17" s="37" t="n">
        <x:f>'Raw Company'!N9</x:f>
        <x:v>442.36</x:v>
      </x:c>
      <x:c r="K17" s="37" t="n">
        <x:f>'Raw Company'!R9</x:f>
        <x:v>310.56</x:v>
      </x:c>
      <x:c r="L17" s="58"/>
      <x:c r="M17" s="58"/>
      <x:c r="N17" s="58"/>
      <x:c r="O17" s="58"/>
      <x:c r="P17" s="58"/>
      <x:c r="Q17" s="58"/>
      <x:c r="R17" s="58"/>
      <x:c r="S17" s="58"/>
      <x:c r="T17" s="58"/>
      <x:c r="U17" s="58"/>
    </x:row>
    <x:row r="18">
      <x:c r="A18" s="22" t="str">
        <x:f>'Raw Company'!B10</x:f>
        <x:v>May-25</x:v>
      </x:c>
      <x:c r="B18" s="26" t="n">
        <x:f>'Raw Company'!C10</x:f>
        <x:v>0.0686</x:v>
      </x:c>
      <x:c r="C18" s="26" t="n">
        <x:f>'Raw Company'!I10</x:f>
        <x:v>0.0889</x:v>
      </x:c>
      <x:c r="D18" s="26" t="n">
        <x:f>'Raw Company'!U10</x:f>
        <x:v>0.020300000000000012</x:v>
      </x:c>
      <x:c r="E18" s="26" t="n">
        <x:f>'Raw Company'!P10</x:f>
        <x:v>0.0109</x:v>
      </x:c>
      <x:c r="F18" s="26" t="n">
        <x:f>'Raw Company'!V10</x:f>
        <x:v>-0.057699999999999994</x:v>
      </x:c>
      <x:c r="G18" s="26" t="n">
        <x:f>'Raw Company'!T10</x:f>
        <x:v>-0.017</x:v>
      </x:c>
      <x:c r="H18" s="26" t="n">
        <x:f>'Raw Company'!W10</x:f>
        <x:v>-0.0856</x:v>
      </x:c>
      <x:c r="I18" s="37" t="n">
        <x:f>'Raw Company'!G10</x:f>
        <x:v>476.49</x:v>
      </x:c>
      <x:c r="J18" s="37" t="n">
        <x:f>'Raw Company'!N10</x:f>
        <x:v>402.47</x:v>
      </x:c>
      <x:c r="K18" s="37" t="n">
        <x:f>'Raw Company'!R10</x:f>
        <x:v>292.66</x:v>
      </x:c>
      <x:c r="L18" s="58"/>
      <x:c r="M18" s="58"/>
      <x:c r="N18" s="58"/>
      <x:c r="O18" s="58"/>
      <x:c r="P18" s="58"/>
      <x:c r="Q18" s="58"/>
      <x:c r="R18" s="58"/>
      <x:c r="S18" s="58"/>
      <x:c r="T18" s="58"/>
      <x:c r="U18" s="58"/>
    </x:row>
    <x:row r="19">
      <x:c r="A19" s="22" t="str">
        <x:f>'Raw Company'!B11</x:f>
        <x:v>Jun-25</x:v>
      </x:c>
      <x:c r="B19" s="26" t="n">
        <x:f>'Raw Company'!C11</x:f>
        <x:v>0.1155</x:v>
      </x:c>
      <x:c r="C19" s="26" t="n">
        <x:f>'Raw Company'!I11</x:f>
        <x:v>0.0964</x:v>
      </x:c>
      <x:c r="D19" s="26" t="n">
        <x:f>'Raw Company'!U11</x:f>
        <x:v>-0.019100000000000006</x:v>
      </x:c>
      <x:c r="E19" s="26" t="n">
        <x:f>'Raw Company'!P11</x:f>
        <x:v>0.0768</x:v>
      </x:c>
      <x:c r="F19" s="26" t="n">
        <x:f>'Raw Company'!V11</x:f>
        <x:v>-0.03870000000000001</x:v>
      </x:c>
      <x:c r="G19" s="26" t="n">
        <x:f>'Raw Company'!T11</x:f>
        <x:v>0.0316</x:v>
      </x:c>
      <x:c r="H19" s="26" t="n">
        <x:f>'Raw Company'!W11</x:f>
        <x:v>-0.0839</x:v>
      </x:c>
      <x:c r="I19" s="37" t="n">
        <x:f>'Raw Company'!G11</x:f>
        <x:v>489.83</x:v>
      </x:c>
      <x:c r="J19" s="37" t="n">
        <x:f>'Raw Company'!N11</x:f>
        <x:v>397.51</x:v>
      </x:c>
      <x:c r="K19" s="37" t="n">
        <x:f>'Raw Company'!R11</x:f>
        <x:v>284.24</x:v>
      </x:c>
      <x:c r="L19" s="58"/>
      <x:c r="M19" s="58"/>
      <x:c r="N19" s="58"/>
      <x:c r="O19" s="58"/>
      <x:c r="P19" s="58"/>
      <x:c r="Q19" s="58"/>
      <x:c r="R19" s="58"/>
      <x:c r="S19" s="58"/>
      <x:c r="T19" s="58"/>
      <x:c r="U19" s="58"/>
    </x:row>
    <x:row r="20">
      <x:c r="A20" s="22" t="str">
        <x:f>'Raw Company'!B12</x:f>
        <x:v>Jul-25</x:v>
      </x:c>
      <x:c r="B20" s="26" t="n">
        <x:f>'Raw Company'!C12</x:f>
        <x:v>0.0713</x:v>
      </x:c>
      <x:c r="C20" s="26" t="n">
        <x:f>'Raw Company'!I12</x:f>
        <x:v>0.0944</x:v>
      </x:c>
      <x:c r="D20" s="26" t="n">
        <x:f>'Raw Company'!U12</x:f>
        <x:v>0.023099999999999996</x:v>
      </x:c>
      <x:c r="E20" s="26" t="n">
        <x:f>'Raw Company'!P12</x:f>
        <x:v>0.0207</x:v>
      </x:c>
      <x:c r="F20" s="26" t="n">
        <x:f>'Raw Company'!V12</x:f>
        <x:v>-0.050600000000000006</x:v>
      </x:c>
      <x:c r="G20" s="26" t="n">
        <x:f>'Raw Company'!T12</x:f>
        <x:v>0.0955</x:v>
      </x:c>
      <x:c r="H20" s="26" t="n">
        <x:f>'Raw Company'!W12</x:f>
        <x:v>0.0242</x:v>
      </x:c>
      <x:c r="I20" s="37" t="n">
        <x:f>'Raw Company'!G12</x:f>
        <x:v>548.58</x:v>
      </x:c>
      <x:c r="J20" s="37" t="n">
        <x:f>'Raw Company'!N12</x:f>
        <x:v>443.73</x:v>
      </x:c>
      <x:c r="K20" s="37" t="n">
        <x:f>'Raw Company'!R12</x:f>
        <x:v>293.47</x:v>
      </x:c>
      <x:c r="L20" s="58"/>
      <x:c r="M20" s="58"/>
      <x:c r="N20" s="58"/>
      <x:c r="O20" s="58"/>
      <x:c r="P20" s="58"/>
      <x:c r="Q20" s="58"/>
      <x:c r="R20" s="58"/>
      <x:c r="S20" s="58"/>
      <x:c r="T20" s="58"/>
      <x:c r="U20" s="58"/>
    </x:row>
    <x:row r="21">
      <x:c r="A21" s="22" t="str">
        <x:f>'Raw Company'!B13</x:f>
        <x:v>Aug-25</x:v>
      </x:c>
      <x:c r="B21" s="26" t="n">
        <x:f>'Raw Company'!C13</x:f>
        <x:v>0.0814</x:v>
      </x:c>
      <x:c r="C21" s="26" t="n">
        <x:f>'Raw Company'!I13</x:f>
        <x:v>0.069</x:v>
      </x:c>
      <x:c r="D21" s="26" t="n">
        <x:f>'Raw Company'!U13</x:f>
        <x:v>-0.012399999999999994</x:v>
      </x:c>
      <x:c r="E21" s="26" t="n">
        <x:f>'Raw Company'!P13</x:f>
        <x:v>0.0375</x:v>
      </x:c>
      <x:c r="F21" s="26" t="n">
        <x:f>'Raw Company'!V13</x:f>
        <x:v>-0.0439</x:v>
      </x:c>
      <x:c r="G21" s="26" t="n">
        <x:f>'Raw Company'!T13</x:f>
        <x:v>0.0554</x:v>
      </x:c>
      <x:c r="H21" s="26" t="n">
        <x:f>'Raw Company'!W13</x:f>
        <x:v>-0.026000000000000002</x:v>
      </x:c>
      <x:c r="I21" s="37" t="n">
        <x:f>'Raw Company'!G13</x:f>
        <x:v>564.67</x:v>
      </x:c>
      <x:c r="J21" s="37" t="n">
        <x:f>'Raw Company'!N13</x:f>
        <x:v>455.87</x:v>
      </x:c>
      <x:c r="K21" s="37" t="n">
        <x:f>'Raw Company'!R13</x:f>
        <x:v>310.67</x:v>
      </x:c>
      <x:c r="L21" s="58"/>
      <x:c r="M21" s="58"/>
      <x:c r="N21" s="58"/>
      <x:c r="O21" s="58"/>
      <x:c r="P21" s="58"/>
      <x:c r="Q21" s="58"/>
      <x:c r="R21" s="58"/>
      <x:c r="S21" s="58"/>
      <x:c r="T21" s="58"/>
      <x:c r="U21" s="58"/>
    </x:row>
    <x:row r="22">
      <x:c r="A22" s="22" t="str">
        <x:f>'Raw Company'!B14</x:f>
        <x:v>Sep-25</x:v>
      </x:c>
      <x:c r="B22" s="26" t="n">
        <x:f>'Raw Company'!C14</x:f>
        <x:v>0.061</x:v>
      </x:c>
      <x:c r="C22" s="26" t="n">
        <x:f>'Raw Company'!I14</x:f>
        <x:v>0.0801</x:v>
      </x:c>
      <x:c r="D22" s="26" t="n">
        <x:f>'Raw Company'!U14</x:f>
        <x:v>0.019100000000000006</x:v>
      </x:c>
      <x:c r="E22" s="26" t="n">
        <x:f>'Raw Company'!P14</x:f>
        <x:v>0.0216</x:v>
      </x:c>
      <x:c r="F22" s="26" t="n">
        <x:f>'Raw Company'!V14</x:f>
        <x:v>-0.0394</x:v>
      </x:c>
      <x:c r="G22" s="26" t="n">
        <x:f>'Raw Company'!T14</x:f>
        <x:v>0.0664</x:v>
      </x:c>
      <x:c r="H22" s="26" t="n">
        <x:f>'Raw Company'!W14</x:f>
        <x:v>0.005400000000000002</x:v>
      </x:c>
      <x:c r="I22" s="37" t="n">
        <x:f>'Raw Company'!G14</x:f>
        <x:v>552.71</x:v>
      </x:c>
      <x:c r="J22" s="37" t="n">
        <x:f>'Raw Company'!N14</x:f>
        <x:v>442.78</x:v>
      </x:c>
      <x:c r="K22" s="37" t="n">
        <x:f>'Raw Company'!R14</x:f>
        <x:v>315.16</x:v>
      </x:c>
      <x:c r="L22" s="58"/>
      <x:c r="M22" s="58"/>
      <x:c r="N22" s="58"/>
      <x:c r="O22" s="58"/>
      <x:c r="P22" s="58"/>
      <x:c r="Q22" s="58"/>
      <x:c r="R22" s="58"/>
      <x:c r="S22" s="58"/>
      <x:c r="T22" s="58"/>
      <x:c r="U22" s="58"/>
    </x:row>
    <x:row r="23">
      <x:c r="A23" s="22" t="str">
        <x:f>'Raw Company'!B15</x:f>
        <x:v>Oct-25</x:v>
      </x:c>
      <x:c r="B23" s="26" t="n">
        <x:f>'Raw Company'!C15</x:f>
        <x:v>0.1169</x:v>
      </x:c>
      <x:c r="C23" s="26" t="n">
        <x:f>'Raw Company'!I15</x:f>
        <x:v>0.0902</x:v>
      </x:c>
      <x:c r="D23" s="26" t="n">
        <x:f>'Raw Company'!U15</x:f>
        <x:v>-0.0267</x:v>
      </x:c>
      <x:c r="E23" s="26" t="n">
        <x:f>'Raw Company'!P15</x:f>
        <x:v>0.0839</x:v>
      </x:c>
      <x:c r="F23" s="26" t="n">
        <x:f>'Raw Company'!V15</x:f>
        <x:v>-0.033</x:v>
      </x:c>
      <x:c r="G23" s="26" t="n">
        <x:f>'Raw Company'!T15</x:f>
        <x:v>0.1148</x:v>
      </x:c>
      <x:c r="H23" s="26" t="n">
        <x:f>'Raw Company'!W15</x:f>
        <x:v>-0.0021000000000000046</x:v>
      </x:c>
      <x:c r="I23" s="37" t="n">
        <x:f>'Raw Company'!G15</x:f>
        <x:v>546.68</x:v>
      </x:c>
      <x:c r="J23" s="37" t="n">
        <x:f>'Raw Company'!N15</x:f>
        <x:v>470.95</x:v>
      </x:c>
      <x:c r="K23" s="37" t="n">
        <x:f>'Raw Company'!R15</x:f>
        <x:v>331.01</x:v>
      </x:c>
      <x:c r="L23" s="58"/>
      <x:c r="M23" s="58"/>
      <x:c r="N23" s="58"/>
      <x:c r="O23" s="58"/>
      <x:c r="P23" s="58"/>
      <x:c r="Q23" s="58"/>
      <x:c r="R23" s="58"/>
      <x:c r="S23" s="58"/>
      <x:c r="T23" s="58"/>
      <x:c r="U23" s="58"/>
    </x:row>
    <x:row r="24">
      <x:c r="A24" s="22" t="str">
        <x:f>'Raw Company'!B16</x:f>
        <x:v>Nov-25</x:v>
      </x:c>
      <x:c r="B24" s="26" t="n">
        <x:f>'Raw Company'!C16</x:f>
        <x:v>0.0856</x:v>
      </x:c>
      <x:c r="C24" s="26" t="n">
        <x:f>'Raw Company'!I16</x:f>
        <x:v>0.0705</x:v>
      </x:c>
      <x:c r="D24" s="26" t="n">
        <x:f>'Raw Company'!U16</x:f>
        <x:v>-0.015100000000000002</x:v>
      </x:c>
      <x:c r="E24" s="26" t="n">
        <x:f>'Raw Company'!P16</x:f>
        <x:v>0.1139</x:v>
      </x:c>
      <x:c r="F24" s="26" t="n">
        <x:f>'Raw Company'!V16</x:f>
        <x:v>0.028300000000000006</x:v>
      </x:c>
      <x:c r="G24" s="26" t="n">
        <x:f>'Raw Company'!T16</x:f>
        <x:v>0.0985</x:v>
      </x:c>
      <x:c r="H24" s="26" t="n">
        <x:f>'Raw Company'!W16</x:f>
        <x:v>0.012900000000000009</x:v>
      </x:c>
      <x:c r="I24" s="37" t="n">
        <x:f>'Raw Company'!G16</x:f>
        <x:v>547.06</x:v>
      </x:c>
      <x:c r="J24" s="37" t="n">
        <x:f>'Raw Company'!N16</x:f>
        <x:v>474.83</x:v>
      </x:c>
      <x:c r="K24" s="37" t="n">
        <x:f>'Raw Company'!R16</x:f>
        <x:v>333.21</x:v>
      </x:c>
      <x:c r="L24" s="58"/>
      <x:c r="M24" s="58"/>
      <x:c r="N24" s="58"/>
      <x:c r="O24" s="58"/>
      <x:c r="P24" s="58"/>
      <x:c r="Q24" s="58"/>
      <x:c r="R24" s="58"/>
      <x:c r="S24" s="58"/>
      <x:c r="T24" s="58"/>
      <x:c r="U24" s="58"/>
    </x:row>
    <x:row r="25">
      <x:c r="A25" s="22" t="str">
        <x:f>'Raw Company'!B17</x:f>
        <x:v>Dec-25</x:v>
      </x:c>
      <x:c r="B25" s="26" t="n">
        <x:f>'Raw Company'!C17</x:f>
        <x:v>0.1499</x:v>
      </x:c>
      <x:c r="C25" s="26" t="n">
        <x:f>'Raw Company'!I17</x:f>
        <x:v>0.12</x:v>
      </x:c>
      <x:c r="D25" s="26" t="n">
        <x:f>'Raw Company'!U17</x:f>
        <x:v>-0.02990000000000001</x:v>
      </x:c>
      <x:c r="E25" s="26" t="n">
        <x:f>'Raw Company'!P17</x:f>
        <x:v>0.1195</x:v>
      </x:c>
      <x:c r="F25" s="26" t="n">
        <x:f>'Raw Company'!V17</x:f>
        <x:v>-0.03040000000000001</x:v>
      </x:c>
      <x:c r="G25" s="26" t="n">
        <x:f>'Raw Company'!T17</x:f>
        <x:v>0.1974</x:v>
      </x:c>
      <x:c r="H25" s="26" t="n">
        <x:f>'Raw Company'!W17</x:f>
        <x:v>0.04749999999999999</x:v>
      </x:c>
      <x:c r="I25" s="37" t="n">
        <x:f>'Raw Company'!G17</x:f>
        <x:v>553.16</x:v>
      </x:c>
      <x:c r="J25" s="37" t="n">
        <x:f>'Raw Company'!N17</x:f>
        <x:v>461.27</x:v>
      </x:c>
      <x:c r="K25" s="37" t="n">
        <x:f>'Raw Company'!R17</x:f>
        <x:v>345.54</x:v>
      </x:c>
      <x:c r="L25" s="58"/>
      <x:c r="M25" s="58"/>
      <x:c r="N25" s="58"/>
      <x:c r="O25" s="58"/>
      <x:c r="P25" s="58"/>
      <x:c r="Q25" s="58"/>
      <x:c r="R25" s="58"/>
      <x:c r="S25" s="58"/>
      <x:c r="T25" s="58"/>
      <x:c r="U25" s="58"/>
    </x:row>
    <x:row r="26">
      <x:c r="A26" s="22" t="str">
        <x:f>'Raw Company'!B18</x:f>
        <x:v>Jan-26</x:v>
      </x:c>
      <x:c r="B26" s="26" t="n">
        <x:f>'Raw Company'!C18</x:f>
        <x:v>0.1147</x:v>
      </x:c>
      <x:c r="C26" s="26" t="n">
        <x:f>'Raw Company'!I18</x:f>
        <x:v>0.0827</x:v>
      </x:c>
      <x:c r="D26" s="26" t="n">
        <x:f>'Raw Company'!U18</x:f>
        <x:v>-0.032</x:v>
      </x:c>
      <x:c r="E26" s="26" t="n">
        <x:f>'Raw Company'!P18</x:f>
        <x:v>0.1224</x:v>
      </x:c>
      <x:c r="F26" s="26" t="n">
        <x:f>'Raw Company'!V18</x:f>
        <x:v>0.0076999999999999985</x:v>
      </x:c>
      <x:c r="G26" s="26" t="n">
        <x:f>'Raw Company'!T18</x:f>
        <x:v>0.149</x:v>
      </x:c>
      <x:c r="H26" s="26" t="n">
        <x:f>'Raw Company'!W18</x:f>
        <x:v>0.0343</x:v>
      </x:c>
      <x:c r="I26" s="37" t="n">
        <x:f>'Raw Company'!G18</x:f>
        <x:v>529.1</x:v>
      </x:c>
      <x:c r="J26" s="37" t="n">
        <x:f>'Raw Company'!N18</x:f>
        <x:v>445.56</x:v>
      </x:c>
      <x:c r="K26" s="37" t="n">
        <x:f>'Raw Company'!R18</x:f>
        <x:v>277.62</x:v>
      </x:c>
      <x:c r="L26" s="58"/>
      <x:c r="M26" s="58"/>
      <x:c r="N26" s="58"/>
      <x:c r="O26" s="58"/>
      <x:c r="P26" s="58"/>
      <x:c r="Q26" s="58"/>
      <x:c r="R26" s="58"/>
      <x:c r="S26" s="58"/>
      <x:c r="T26" s="58"/>
      <x:c r="U26" s="58"/>
    </x:row>
    <x:row r="27">
      <x:c r="A27" s="22" t="str">
        <x:f>'Raw Company'!B19</x:f>
        <x:v>Feb-26</x:v>
      </x:c>
      <x:c r="B27" s="26" t="n">
        <x:f>'Raw Company'!C19</x:f>
        <x:v>0.1242</x:v>
      </x:c>
      <x:c r="C27" s="26" t="n">
        <x:f>'Raw Company'!I19</x:f>
        <x:v>0.1676</x:v>
      </x:c>
      <x:c r="D27" s="26" t="n">
        <x:f>'Raw Company'!U19</x:f>
        <x:v>0.043399999999999994</x:v>
      </x:c>
      <x:c r="E27" s="26" t="n">
        <x:f>'Raw Company'!P19</x:f>
        <x:v>0.0817</x:v>
      </x:c>
      <x:c r="F27" s="26" t="n">
        <x:f>'Raw Company'!V19</x:f>
        <x:v>-0.04250000000000001</x:v>
      </x:c>
      <x:c r="G27" s="26" t="n">
        <x:f>'Raw Company'!T19</x:f>
        <x:v>0.1294</x:v>
      </x:c>
      <x:c r="H27" s="26" t="n">
        <x:f>'Raw Company'!W19</x:f>
        <x:v>0.005199999999999982</x:v>
      </x:c>
      <x:c r="I27" s="37" t="n">
        <x:f>'Raw Company'!G19</x:f>
        <x:v>547.45</x:v>
      </x:c>
      <x:c r="J27" s="37" t="n">
        <x:f>'Raw Company'!N19</x:f>
        <x:v>436.9</x:v>
      </x:c>
      <x:c r="K27" s="37" t="n">
        <x:f>'Raw Company'!R19</x:f>
        <x:v>259.59</x:v>
      </x:c>
      <x:c r="L27" s="58"/>
      <x:c r="M27" s="58"/>
      <x:c r="N27" s="58"/>
      <x:c r="O27" s="58"/>
      <x:c r="P27" s="58"/>
      <x:c r="Q27" s="58"/>
      <x:c r="R27" s="58"/>
      <x:c r="S27" s="58"/>
      <x:c r="T27" s="58"/>
      <x:c r="U27" s="58"/>
    </x:row>
    <x:row r="28">
      <x:c r="A28" s="22" t="str">
        <x:f>'Raw Company'!B20</x:f>
        <x:v>Mar-26</x:v>
      </x:c>
      <x:c r="B28" s="26" t="n">
        <x:f>'Raw Company'!C20</x:f>
        <x:v>0.1069</x:v>
      </x:c>
      <x:c r="C28" s="26" t="n">
        <x:f>'Raw Company'!I20</x:f>
        <x:v>0.164</x:v>
      </x:c>
      <x:c r="D28" s="26" t="n">
        <x:f>'Raw Company'!U20</x:f>
        <x:v>0.05710000000000001</x:v>
      </x:c>
      <x:c r="E28" s="26" t="n">
        <x:f>'Raw Company'!P20</x:f>
        <x:v>0.0727</x:v>
      </x:c>
      <x:c r="F28" s="26" t="n">
        <x:f>'Raw Company'!V20</x:f>
        <x:v>-0.034199999999999994</x:v>
      </x:c>
      <x:c r="G28" s="26" t="n">
        <x:f>'Raw Company'!T20</x:f>
        <x:v>0.0986</x:v>
      </x:c>
      <x:c r="H28" s="26" t="n">
        <x:f>'Raw Company'!W20</x:f>
        <x:v>-0.008300000000000002</x:v>
      </x:c>
      <x:c r="I28" s="37" t="n">
        <x:f>'Raw Company'!G20</x:f>
        <x:v>554.04</x:v>
      </x:c>
      <x:c r="J28" s="37" t="n">
        <x:f>'Raw Company'!N20</x:f>
        <x:v>459.28</x:v>
      </x:c>
      <x:c r="K28" s="37" t="n">
        <x:f>'Raw Company'!R20</x:f>
        <x:v>256.24</x:v>
      </x:c>
      <x:c r="L28" s="58"/>
      <x:c r="M28" s="58"/>
      <x:c r="N28" s="58"/>
      <x:c r="O28" s="58"/>
      <x:c r="P28" s="58"/>
      <x:c r="Q28" s="58"/>
      <x:c r="R28" s="58"/>
      <x:c r="S28" s="58"/>
      <x:c r="T28" s="58"/>
      <x:c r="U28" s="58"/>
    </x:row>
    <x:row r="29">
      <x:c r="A29" s="22" t="str">
        <x:f>'Raw Company'!B21</x:f>
        <x:v>Apr-26</x:v>
      </x:c>
      <x:c r="B29" s="26" t="n">
        <x:f>'Raw Company'!C21</x:f>
        <x:v>0.1247</x:v>
      </x:c>
      <x:c r="C29" s="26" t="n">
        <x:f>'Raw Company'!I21</x:f>
        <x:v>0.1586</x:v>
      </x:c>
      <x:c r="D29" s="26" t="n">
        <x:f>'Raw Company'!U21</x:f>
        <x:v>0.033899999999999986</x:v>
      </x:c>
      <x:c r="E29" s="26" t="n">
        <x:f>'Raw Company'!P21</x:f>
        <x:v>0.0893</x:v>
      </x:c>
      <x:c r="F29" s="26" t="n">
        <x:f>'Raw Company'!V21</x:f>
        <x:v>-0.0354</x:v>
      </x:c>
      <x:c r="G29" s="26" t="n">
        <x:f>'Raw Company'!T21</x:f>
        <x:v>0.0758</x:v>
      </x:c>
      <x:c r="H29" s="26" t="n">
        <x:f>'Raw Company'!W21</x:f>
        <x:v>-0.0489</x:v>
      </x:c>
      <x:c r="I29" s="37" t="n">
        <x:f>'Raw Company'!G21</x:f>
        <x:v>627.86</x:v>
      </x:c>
      <x:c r="J29" s="37" t="n">
        <x:f>'Raw Company'!N21</x:f>
        <x:v>481.99</x:v>
      </x:c>
      <x:c r="K29" s="37" t="n">
        <x:f>'Raw Company'!R21</x:f>
        <x:v>288.01</x:v>
      </x:c>
      <x:c r="L29" s="58"/>
      <x:c r="M29" s="58"/>
      <x:c r="N29" s="58"/>
      <x:c r="O29" s="58"/>
      <x:c r="P29" s="58"/>
      <x:c r="Q29" s="58"/>
      <x:c r="R29" s="58"/>
      <x:c r="S29" s="58"/>
      <x:c r="T29" s="58"/>
      <x:c r="U29" s="58"/>
    </x:row>
    <x:row r="30">
      <x:c r="A30" s="22" t="str">
        <x:f>'Raw Company'!B22</x:f>
        <x:v>May-26</x:v>
      </x:c>
      <x:c r="B30" s="26" t="n">
        <x:f>'Raw Company'!C22</x:f>
        <x:v>0.1213</x:v>
      </x:c>
      <x:c r="C30" s="26" t="n">
        <x:f>'Raw Company'!I22</x:f>
        <x:v>0.1662</x:v>
      </x:c>
      <x:c r="D30" s="26" t="n">
        <x:f>'Raw Company'!U22</x:f>
        <x:v>0.04489999999999998</x:v>
      </x:c>
      <x:c r="E30" s="26" t="n">
        <x:f>'Raw Company'!P22</x:f>
        <x:v>0.0896</x:v>
      </x:c>
      <x:c r="F30" s="26" t="n">
        <x:f>'Raw Company'!V22</x:f>
        <x:v>-0.031700000000000006</x:v>
      </x:c>
      <x:c r="G30" s="26" t="n">
        <x:f>'Raw Company'!T22</x:f>
        <x:v>0.1312</x:v>
      </x:c>
      <x:c r="H30" s="26" t="n">
        <x:f>'Raw Company'!W22</x:f>
        <x:v>0.009900000000000006</x:v>
      </x:c>
      <x:c r="I30" s="37" t="n">
        <x:f>'Raw Company'!G22</x:f>
        <x:v>592.64</x:v>
      </x:c>
      <x:c r="J30" s="37" t="n">
        <x:f>'Raw Company'!N22</x:f>
        <x:v>438.6</x:v>
      </x:c>
      <x:c r="K30" s="37" t="n">
        <x:f>'Raw Company'!R22</x:f>
        <x:v>287.18</x:v>
      </x:c>
      <x:c r="L30" s="58"/>
      <x:c r="M30" s="58"/>
      <x:c r="N30" s="58"/>
      <x:c r="O30" s="58"/>
      <x:c r="P30" s="58"/>
      <x:c r="Q30" s="58"/>
      <x:c r="R30" s="58"/>
      <x:c r="S30" s="58"/>
      <x:c r="T30" s="58"/>
      <x:c r="U30" s="58"/>
    </x:row>
    <x:row r="31">
      <x:c r="A31" s="22" t="str">
        <x:f>'Raw Company'!B23</x:f>
        <x:v>Jun-26</x:v>
      </x:c>
      <x:c r="B31" s="26" t="n">
        <x:f>'Raw Company'!C23</x:f>
        <x:v>0.1598</x:v>
      </x:c>
      <x:c r="C31" s="26" t="n">
        <x:f>'Raw Company'!I23</x:f>
        <x:v>0.2028</x:v>
      </x:c>
      <x:c r="D31" s="26" t="n">
        <x:f>'Raw Company'!U23</x:f>
        <x:v>0.04300000000000001</x:v>
      </x:c>
      <x:c r="E31" s="26" t="n">
        <x:f>'Raw Company'!P23</x:f>
        <x:v>0.142</x:v>
      </x:c>
      <x:c r="F31" s="26" t="n">
        <x:f>'Raw Company'!V23</x:f>
        <x:v>-0.01780000000000001</x:v>
      </x:c>
      <x:c r="G31" s="26" t="n">
        <x:f>'Raw Company'!T23</x:f>
        <x:v>0.1506</x:v>
      </x:c>
      <x:c r="H31" s="26" t="n">
        <x:f>'Raw Company'!W23</x:f>
        <x:v>-0.009199999999999986</x:v>
      </x:c>
      <x:c r="I31" s="37" t="n">
        <x:f>'Raw Company'!G23</x:f>
        <x:v>587.31</x:v>
      </x:c>
      <x:c r="J31" s="37" t="n">
        <x:f>'Raw Company'!N23</x:f>
        <x:v>454.11</x:v>
      </x:c>
      <x:c r="K31" s="37" t="n">
        <x:f>'Raw Company'!R23</x:f>
        <x:v>286.62</x:v>
      </x:c>
      <x:c r="L31" s="58"/>
      <x:c r="M31" s="58"/>
      <x:c r="N31" s="58"/>
      <x:c r="O31" s="58"/>
      <x:c r="P31" s="58"/>
      <x:c r="Q31" s="58"/>
      <x:c r="R31" s="58"/>
      <x:c r="S31" s="58"/>
      <x:c r="T31" s="58"/>
      <x:c r="U31" s="58"/>
    </x:row>
    <x:row r="32">
      <x:c r="A32" s="22" t="str">
        <x:f>'Raw Company'!B24</x:f>
        <x:v>Jul-26</x:v>
      </x:c>
      <x:c r="B32" s="26" t="n">
        <x:f>'Raw Company'!C24</x:f>
        <x:v>0.1358</x:v>
      </x:c>
      <x:c r="C32" s="26" t="n">
        <x:f>'Raw Company'!I24</x:f>
        <x:v>0.1412</x:v>
      </x:c>
      <x:c r="D32" s="26" t="n">
        <x:f>'Raw Company'!U24</x:f>
        <x:v>0.005399999999999988</x:v>
      </x:c>
      <x:c r="E32" s="26" t="n">
        <x:f>'Raw Company'!P24</x:f>
        <x:v>0.1136</x:v>
      </x:c>
      <x:c r="F32" s="26" t="n">
        <x:f>'Raw Company'!V24</x:f>
        <x:v>-0.022199999999999998</x:v>
      </x:c>
      <x:c r="G32" s="26" t="n">
        <x:f>'Raw Company'!T24</x:f>
        <x:v>0.1644</x:v>
      </x:c>
      <x:c r="H32" s="26" t="n">
        <x:f>'Raw Company'!W24</x:f>
        <x:v>0.028599999999999987</x:v>
      </x:c>
      <x:c r="I32" s="37" t="n">
        <x:f>'Raw Company'!G24</x:f>
        <x:v>624.81</x:v>
      </x:c>
      <x:c r="J32" s="37" t="n">
        <x:f>'Raw Company'!N24</x:f>
        <x:v>494.4</x:v>
      </x:c>
      <x:c r="K32" s="37" t="n">
        <x:f>'Raw Company'!R24</x:f>
        <x:v>300.82</x:v>
      </x:c>
      <x:c r="L32" s="58"/>
      <x:c r="M32" s="58"/>
      <x:c r="N32" s="58"/>
      <x:c r="O32" s="58"/>
      <x:c r="P32" s="58"/>
      <x:c r="Q32" s="58"/>
      <x:c r="R32" s="58"/>
      <x:c r="S32" s="58"/>
      <x:c r="T32" s="58"/>
      <x:c r="U32" s="58"/>
    </x:row>
    <x:row r="33">
      <x:c r="A33" s="22" t="str">
        <x:f>'Raw Company'!B25</x:f>
        <x:v>Aug-26</x:v>
      </x:c>
      <x:c r="B33" s="26" t="n">
        <x:f>'Raw Company'!C25</x:f>
        <x:v>0.1296</x:v>
      </x:c>
      <x:c r="C33" s="26" t="n">
        <x:f>'Raw Company'!I25</x:f>
        <x:v>0.108</x:v>
      </x:c>
      <x:c r="D33" s="26" t="n">
        <x:f>'Raw Company'!U25</x:f>
        <x:v>-0.021599999999999994</x:v>
      </x:c>
      <x:c r="E33" s="26" t="n">
        <x:f>'Raw Company'!P25</x:f>
        <x:v>0.1103</x:v>
      </x:c>
      <x:c r="F33" s="26" t="n">
        <x:f>'Raw Company'!V25</x:f>
        <x:v>-0.019299999999999998</x:v>
      </x:c>
      <x:c r="G33" s="26" t="n">
        <x:f>'Raw Company'!T25</x:f>
        <x:v>0.0859</x:v>
      </x:c>
      <x:c r="H33" s="26" t="n">
        <x:f>'Raw Company'!W25</x:f>
        <x:v>-0.04369999999999999</x:v>
      </x:c>
      <x:c r="I33" s="37" t="n">
        <x:f>'Raw Company'!G25</x:f>
        <x:v>624.85</x:v>
      </x:c>
      <x:c r="J33" s="37" t="n">
        <x:f>'Raw Company'!N25</x:f>
        <x:v>506.18</x:v>
      </x:c>
      <x:c r="K33" s="37" t="n">
        <x:f>'Raw Company'!R25</x:f>
        <x:v>307.57</x:v>
      </x:c>
      <x:c r="L33" s="58"/>
      <x:c r="M33" s="58"/>
      <x:c r="N33" s="58"/>
      <x:c r="O33" s="58"/>
      <x:c r="P33" s="58"/>
      <x:c r="Q33" s="58"/>
      <x:c r="R33" s="58"/>
      <x:c r="S33" s="58"/>
      <x:c r="T33" s="58"/>
      <x:c r="U33" s="58"/>
    </x:row>
  </x:sheetData>
  <x:conditionalFormatting sqref="D7:H9">
    <x:cfRule type="cellIs" dxfId="1" priority="1" operator="lessThan">
      <x:formula>0</x:formula>
    </x:cfRule>
    <x:cfRule type="cellIs" dxfId="2" priority="2" operator="greaterThanOrEqual">
      <x:formula>0</x:formula>
    </x:cfRule>
  </x:conditionalFormatting>
  <x:conditionalFormatting sqref="D14:H33">
    <x:cfRule type="colorScale" priority="3">
      <x:colorScale>
        <x:cfvo type="min"/>
        <x:cfvo type="num" val="0"/>
        <x:cfvo type="max"/>
        <x:color rgb="FFB33A3A"/>
        <x:color rgb="FFF3F4F6"/>
        <x:color rgb="FF1B7F5C"/>
      </x:colorScale>
    </x:cfRule>
  </x:conditionalFormatting>
  <x:pageMargins left="0.7" right="0.7" top="0.75" bottom="0.75" header="0.3" footer="0.3"/>
  <x:drawing xmlns:r="http://schemas.openxmlformats.org/officeDocument/2006/relationships" r:id="Rec6c8f5153f54dfd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2">
      <x:c r="A2" s="55" t="str">
        <x:v>Top brand monthly sales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</x:row>
    <x:row r="3">
      <x:c r="A3" s="57" t="str">
        <x:v>Top three disclosed clean-view brands by Aug-26 TTM sales for each target company. Values in ₹ crore.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</x:row>
    <x:row r="4">
      <x:c r="A4" s="58"/>
      <x:c r="B4" s="58"/>
      <x:c r="C4" s="58"/>
      <x:c r="D4" s="58"/>
      <x:c r="E4" s="58"/>
      <x:c r="F4" s="58"/>
      <x:c r="G4" s="58"/>
      <x:c r="H4" s="58"/>
      <x:c r="I4" s="58"/>
      <x:c r="J4" s="58"/>
      <x:c r="K4" s="58"/>
      <x:c r="L4" s="58"/>
      <x:c r="M4" s="58"/>
      <x:c r="N4" s="58"/>
      <x:c r="O4" s="58"/>
      <x:c r="P4" s="58"/>
      <x:c r="Q4" s="58"/>
      <x:c r="R4" s="58"/>
      <x:c r="S4" s="58"/>
      <x:c r="T4" s="58"/>
    </x:row>
    <x:row r="5">
      <x:c r="A5" s="18" t="str">
        <x:v>Date</x:v>
      </x:c>
      <x:c r="B5" s="19" t="str">
        <x:v>Month</x:v>
      </x:c>
      <x:c r="C5" s="19" t="str">
        <x:v>Thyronorm</x:v>
      </x:c>
      <x:c r="D5" s="19" t="str">
        <x:v>Cremaffin Plus</x:v>
      </x:c>
      <x:c r="E5" s="19" t="str">
        <x:v>Digene</x:v>
      </x:c>
      <x:c r="F5" s="19" t="str">
        <x:v>Abbott top 3</x:v>
      </x:c>
      <x:c r="G5" s="19" t="str">
        <x:v>Abbott India sales</x:v>
      </x:c>
      <x:c r="H5" s="19" t="str">
        <x:v>Top 3 share</x:v>
      </x:c>
      <x:c r="I5" s="19" t="str">
        <x:v>Augmentin</x:v>
      </x:c>
      <x:c r="J5" s="19" t="str">
        <x:v>Calpol</x:v>
      </x:c>
      <x:c r="K5" s="19" t="str">
        <x:v>T-Bact</x:v>
      </x:c>
      <x:c r="L5" s="19" t="str">
        <x:v>GSK top 3</x:v>
      </x:c>
      <x:c r="M5" s="19" t="str">
        <x:v>GSK India sales</x:v>
      </x:c>
      <x:c r="N5" s="19" t="str">
        <x:v>Top 3 share</x:v>
      </x:c>
      <x:c r="O5" s="19" t="str">
        <x:v>Prevenar-13</x:v>
      </x:c>
      <x:c r="P5" s="19" t="str">
        <x:v>Eliquis</x:v>
      </x:c>
      <x:c r="Q5" s="19" t="str">
        <x:v>Becosules</x:v>
      </x:c>
      <x:c r="R5" s="19" t="str">
        <x:v>Pfizer top 3</x:v>
      </x:c>
      <x:c r="S5" s="19" t="str">
        <x:v>Pfizer sales</x:v>
      </x:c>
      <x:c r="T5" s="20" t="str">
        <x:v>Top 3 share</x:v>
      </x:c>
    </x:row>
    <x:row r="6">
      <x:c r="A6" s="48" t="n">
        <x:v>45658</x:v>
      </x:c>
      <x:c r="B6" s="22" t="str">
        <x:v>Jan-25</x:v>
      </x:c>
      <x:c r="C6" s="27" t="n">
        <x:v>57.83</x:v>
      </x:c>
      <x:c r="D6" s="27" t="n">
        <x:v>30.5</x:v>
      </x:c>
      <x:c r="E6" s="27" t="n">
        <x:v>19.41</x:v>
      </x:c>
      <x:c r="F6" s="37" t="n">
        <x:f>SUM(C6:E6)</x:f>
        <x:v>107.74</x:v>
      </x:c>
      <x:c r="G6" s="37" t="n">
        <x:f>'Raw Company'!G6</x:f>
        <x:v>455.25</x:v>
      </x:c>
      <x:c r="H6" s="26" t="n">
        <x:f>F6/G6</x:f>
        <x:v>0.23666117517847335</x:v>
      </x:c>
      <x:c r="I6" s="27" t="n">
        <x:v>71.99</x:v>
      </x:c>
      <x:c r="J6" s="27" t="n">
        <x:v>27.89</x:v>
      </x:c>
      <x:c r="K6" s="27" t="n">
        <x:v>27.25</x:v>
      </x:c>
      <x:c r="L6" s="37" t="n">
        <x:f>SUM(I6:K6)</x:f>
        <x:v>127.13</x:v>
      </x:c>
      <x:c r="M6" s="37" t="n">
        <x:f>'Raw Company'!N6</x:f>
        <x:v>396.97</x:v>
      </x:c>
      <x:c r="N6" s="26" t="n">
        <x:f>L6/M6</x:f>
        <x:v>0.3202509005718316</x:v>
      </x:c>
      <x:c r="O6" s="27" t="n">
        <x:v>33.51</x:v>
      </x:c>
      <x:c r="P6" s="27" t="n">
        <x:v>19.31</x:v>
      </x:c>
      <x:c r="Q6" s="27" t="n">
        <x:v>22.13</x:v>
      </x:c>
      <x:c r="R6" s="37" t="n">
        <x:f>SUM(O6:Q6)</x:f>
        <x:v>74.94999999999999</x:v>
      </x:c>
      <x:c r="S6" s="37" t="n">
        <x:f>'Raw Company'!R6</x:f>
        <x:v>287.91</x:v>
      </x:c>
      <x:c r="T6" s="26" t="n">
        <x:f>R6/S6</x:f>
        <x:v>0.26032440693272196</x:v>
      </x:c>
    </x:row>
    <x:row r="7">
      <x:c r="A7" s="48" t="n">
        <x:v>45689</x:v>
      </x:c>
      <x:c r="B7" s="22" t="str">
        <x:v>Feb-25</x:v>
      </x:c>
      <x:c r="C7" s="27" t="n">
        <x:v>56.81</x:v>
      </x:c>
      <x:c r="D7" s="27" t="n">
        <x:v>28.75</x:v>
      </x:c>
      <x:c r="E7" s="27" t="n">
        <x:v>18.4</x:v>
      </x:c>
      <x:c r="F7" s="37" t="n">
        <x:f>SUM(C7:E7)</x:f>
        <x:v>103.96000000000001</x:v>
      </x:c>
      <x:c r="G7" s="37" t="n">
        <x:f>'Raw Company'!G7</x:f>
        <x:v>438.95</x:v>
      </x:c>
      <x:c r="H7" s="26" t="n">
        <x:f>F7/G7</x:f>
        <x:v>0.23683790864563165</x:v>
      </x:c>
      <x:c r="I7" s="27" t="n">
        <x:v>75.69</x:v>
      </x:c>
      <x:c r="J7" s="27" t="n">
        <x:v>33.39</x:v>
      </x:c>
      <x:c r="K7" s="27" t="n">
        <x:v>27.85</x:v>
      </x:c>
      <x:c r="L7" s="37" t="n">
        <x:f>SUM(I7:K7)</x:f>
        <x:v>136.93</x:v>
      </x:c>
      <x:c r="M7" s="37" t="n">
        <x:f>'Raw Company'!N7</x:f>
        <x:v>403.82</x:v>
      </x:c>
      <x:c r="N7" s="26" t="n">
        <x:f>L7/M7</x:f>
        <x:v>0.3390867218067456</x:v>
      </x:c>
      <x:c r="O7" s="27" t="n">
        <x:v>32.67</x:v>
      </x:c>
      <x:c r="P7" s="27" t="n">
        <x:v>17.7</x:v>
      </x:c>
      <x:c r="Q7" s="27" t="n">
        <x:v>22.92</x:v>
      </x:c>
      <x:c r="R7" s="37" t="n">
        <x:f>SUM(O7:Q7)</x:f>
        <x:v>73.29</x:v>
      </x:c>
      <x:c r="S7" s="37" t="n">
        <x:f>'Raw Company'!R7</x:f>
        <x:v>274</x:v>
      </x:c>
      <x:c r="T7" s="26" t="n">
        <x:f>R7/S7</x:f>
        <x:v>0.26748175182481754</x:v>
      </x:c>
    </x:row>
    <x:row r="8">
      <x:c r="A8" s="48" t="n">
        <x:v>45717</x:v>
      </x:c>
      <x:c r="B8" s="22" t="str">
        <x:v>Mar-25</x:v>
      </x:c>
      <x:c r="C8" s="27" t="n">
        <x:v>56.83</x:v>
      </x:c>
      <x:c r="D8" s="27" t="n">
        <x:v>28.26</x:v>
      </x:c>
      <x:c r="E8" s="27" t="n">
        <x:v>19.31</x:v>
      </x:c>
      <x:c r="F8" s="37" t="n">
        <x:f>SUM(C8:E8)</x:f>
        <x:v>104.4</x:v>
      </x:c>
      <x:c r="G8" s="37" t="n">
        <x:f>'Raw Company'!G8</x:f>
        <x:v>444.99</x:v>
      </x:c>
      <x:c r="H8" s="26" t="n">
        <x:f>F8/G8</x:f>
        <x:v>0.23461201375311805</x:v>
      </x:c>
      <x:c r="I8" s="27" t="n">
        <x:v>73.64</x:v>
      </x:c>
      <x:c r="J8" s="27" t="n">
        <x:v>34.07</x:v>
      </x:c>
      <x:c r="K8" s="27" t="n">
        <x:v>35.45</x:v>
      </x:c>
      <x:c r="L8" s="37" t="n">
        <x:f>SUM(I8:K8)</x:f>
        <x:v>143.16000000000003</x:v>
      </x:c>
      <x:c r="M8" s="37" t="n">
        <x:f>'Raw Company'!N8</x:f>
        <x:v>428.02</x:v>
      </x:c>
      <x:c r="N8" s="26" t="n">
        <x:f>L8/M8</x:f>
        <x:v>0.33447035185271723</x:v>
      </x:c>
      <x:c r="O8" s="27" t="n">
        <x:v>36.26</x:v>
      </x:c>
      <x:c r="P8" s="27" t="n">
        <x:v>16.85</x:v>
      </x:c>
      <x:c r="Q8" s="27" t="n">
        <x:v>23.26</x:v>
      </x:c>
      <x:c r="R8" s="37" t="n">
        <x:f>SUM(O8:Q8)</x:f>
        <x:v>76.37</x:v>
      </x:c>
      <x:c r="S8" s="37" t="n">
        <x:f>'Raw Company'!R8</x:f>
        <x:v>272.59</x:v>
      </x:c>
      <x:c r="T8" s="26" t="n">
        <x:f>R8/S8</x:f>
        <x:v>0.2801643493891926</x:v>
      </x:c>
    </x:row>
    <x:row r="9">
      <x:c r="A9" s="48" t="n">
        <x:v>45748</x:v>
      </x:c>
      <x:c r="B9" s="22" t="str">
        <x:v>Apr-25</x:v>
      </x:c>
      <x:c r="C9" s="27" t="n">
        <x:v>64.93</x:v>
      </x:c>
      <x:c r="D9" s="27" t="n">
        <x:v>32.52</x:v>
      </x:c>
      <x:c r="E9" s="27" t="n">
        <x:v>23.46</x:v>
      </x:c>
      <x:c r="F9" s="37" t="n">
        <x:f>SUM(C9:E9)</x:f>
        <x:v>120.91000000000003</x:v>
      </x:c>
      <x:c r="G9" s="37" t="n">
        <x:f>'Raw Company'!G9</x:f>
        <x:v>509.81</x:v>
      </x:c>
      <x:c r="H9" s="26" t="n">
        <x:f>F9/G9</x:f>
        <x:v>0.23716678762676296</x:v>
      </x:c>
      <x:c r="I9" s="27" t="n">
        <x:v>71.72</x:v>
      </x:c>
      <x:c r="J9" s="27" t="n">
        <x:v>37.1</x:v>
      </x:c>
      <x:c r="K9" s="27" t="n">
        <x:v>35.45</x:v>
      </x:c>
      <x:c r="L9" s="37" t="n">
        <x:f>SUM(I9:K9)</x:f>
        <x:v>144.26999999999998</x:v>
      </x:c>
      <x:c r="M9" s="37" t="n">
        <x:f>'Raw Company'!N9</x:f>
        <x:v>442.36</x:v>
      </x:c>
      <x:c r="N9" s="26" t="n">
        <x:f>L9/M9</x:f>
        <x:v>0.32613708291888954</x:v>
      </x:c>
      <x:c r="O9" s="27" t="n">
        <x:v>36.8</x:v>
      </x:c>
      <x:c r="P9" s="27" t="n">
        <x:v>19.54</x:v>
      </x:c>
      <x:c r="Q9" s="27" t="n">
        <x:v>29.08</x:v>
      </x:c>
      <x:c r="R9" s="37" t="n">
        <x:f>SUM(O9:Q9)</x:f>
        <x:v>85.41999999999999</x:v>
      </x:c>
      <x:c r="S9" s="37" t="n">
        <x:f>'Raw Company'!R9</x:f>
        <x:v>310.56</x:v>
      </x:c>
      <x:c r="T9" s="26" t="n">
        <x:f>R9/S9</x:f>
        <x:v>0.2750515198351365</x:v>
      </x:c>
    </x:row>
    <x:row r="10">
      <x:c r="A10" s="48" t="n">
        <x:v>45778</x:v>
      </x:c>
      <x:c r="B10" s="22" t="str">
        <x:v>May-25</x:v>
      </x:c>
      <x:c r="C10" s="27" t="n">
        <x:v>62.24</x:v>
      </x:c>
      <x:c r="D10" s="27" t="n">
        <x:v>31.02</x:v>
      </x:c>
      <x:c r="E10" s="27" t="n">
        <x:v>20.64</x:v>
      </x:c>
      <x:c r="F10" s="37" t="n">
        <x:f>SUM(C10:E10)</x:f>
        <x:v>113.9</x:v>
      </x:c>
      <x:c r="G10" s="37" t="n">
        <x:f>'Raw Company'!G10</x:f>
        <x:v>476.49</x:v>
      </x:c>
      <x:c r="H10" s="26" t="n">
        <x:f>F10/G10</x:f>
        <x:v>0.23903964406388384</x:v>
      </x:c>
      <x:c r="I10" s="27" t="n">
        <x:v>57.87</x:v>
      </x:c>
      <x:c r="J10" s="27" t="n">
        <x:v>32.33</x:v>
      </x:c>
      <x:c r="K10" s="27" t="n">
        <x:v>30.09</x:v>
      </x:c>
      <x:c r="L10" s="37" t="n">
        <x:f>SUM(I10:K10)</x:f>
        <x:v>120.28999999999999</x:v>
      </x:c>
      <x:c r="M10" s="37" t="n">
        <x:f>'Raw Company'!N10</x:f>
        <x:v>402.47</x:v>
      </x:c>
      <x:c r="N10" s="26" t="n">
        <x:f>L10/M10</x:f>
        <x:v>0.29887941958406833</x:v>
      </x:c>
      <x:c r="O10" s="27" t="n">
        <x:v>31.97</x:v>
      </x:c>
      <x:c r="P10" s="27" t="n">
        <x:v>18.93</x:v>
      </x:c>
      <x:c r="Q10" s="27" t="n">
        <x:v>28.55</x:v>
      </x:c>
      <x:c r="R10" s="37" t="n">
        <x:f>SUM(O10:Q10)</x:f>
        <x:v>79.45</x:v>
      </x:c>
      <x:c r="S10" s="37" t="n">
        <x:f>'Raw Company'!R10</x:f>
        <x:v>292.66</x:v>
      </x:c>
      <x:c r="T10" s="26" t="n">
        <x:f>R10/S10</x:f>
        <x:v>0.2714754322421923</x:v>
      </x:c>
    </x:row>
    <x:row r="11">
      <x:c r="A11" s="48" t="n">
        <x:v>45809</x:v>
      </x:c>
      <x:c r="B11" s="22" t="str">
        <x:v>Jun-25</x:v>
      </x:c>
      <x:c r="C11" s="27" t="n">
        <x:v>58.33</x:v>
      </x:c>
      <x:c r="D11" s="27" t="n">
        <x:v>29.54</x:v>
      </x:c>
      <x:c r="E11" s="27" t="n">
        <x:v>21.38</x:v>
      </x:c>
      <x:c r="F11" s="37" t="n">
        <x:f>SUM(C11:E11)</x:f>
        <x:v>109.25</x:v>
      </x:c>
      <x:c r="G11" s="37" t="n">
        <x:f>'Raw Company'!G11</x:f>
        <x:v>489.83</x:v>
      </x:c>
      <x:c r="H11" s="26" t="n">
        <x:f>F11/G11</x:f>
        <x:v>0.2230365637057755</x:v>
      </x:c>
      <x:c r="I11" s="27" t="n">
        <x:v>60.22</x:v>
      </x:c>
      <x:c r="J11" s="27" t="n">
        <x:v>33.36</x:v>
      </x:c>
      <x:c r="K11" s="27" t="n">
        <x:v>33.45</x:v>
      </x:c>
      <x:c r="L11" s="37" t="n">
        <x:f>SUM(I11:K11)</x:f>
        <x:v>127.03</x:v>
      </x:c>
      <x:c r="M11" s="37" t="n">
        <x:f>'Raw Company'!N11</x:f>
        <x:v>397.51</x:v>
      </x:c>
      <x:c r="N11" s="26" t="n">
        <x:f>L11/M11</x:f>
        <x:v>0.3195642876908757</x:v>
      </x:c>
      <x:c r="O11" s="27" t="n">
        <x:v>32.31</x:v>
      </x:c>
      <x:c r="P11" s="27" t="n">
        <x:v>18.31</x:v>
      </x:c>
      <x:c r="Q11" s="27" t="n">
        <x:v>27.13</x:v>
      </x:c>
      <x:c r="R11" s="37" t="n">
        <x:f>SUM(O11:Q11)</x:f>
        <x:v>77.75</x:v>
      </x:c>
      <x:c r="S11" s="37" t="n">
        <x:f>'Raw Company'!R11</x:f>
        <x:v>284.24</x:v>
      </x:c>
      <x:c r="T11" s="26" t="n">
        <x:f>R11/S11</x:f>
        <x:v>0.2735364480720518</x:v>
      </x:c>
    </x:row>
    <x:row r="12">
      <x:c r="A12" s="48" t="n">
        <x:v>45839</x:v>
      </x:c>
      <x:c r="B12" s="22" t="str">
        <x:v>Jul-25</x:v>
      </x:c>
      <x:c r="C12" s="27" t="n">
        <x:v>62.03</x:v>
      </x:c>
      <x:c r="D12" s="27" t="n">
        <x:v>32.3</x:v>
      </x:c>
      <x:c r="E12" s="27" t="n">
        <x:v>19.84</x:v>
      </x:c>
      <x:c r="F12" s="37" t="n">
        <x:f>SUM(C12:E12)</x:f>
        <x:v>114.17</x:v>
      </x:c>
      <x:c r="G12" s="37" t="n">
        <x:f>'Raw Company'!G12</x:f>
        <x:v>548.58</x:v>
      </x:c>
      <x:c r="H12" s="26" t="n">
        <x:f>F12/G12</x:f>
        <x:v>0.20811914397170878</x:v>
      </x:c>
      <x:c r="I12" s="27" t="n">
        <x:v>80.11</x:v>
      </x:c>
      <x:c r="J12" s="27" t="n">
        <x:v>36.06</x:v>
      </x:c>
      <x:c r="K12" s="27" t="n">
        <x:v>45.44</x:v>
      </x:c>
      <x:c r="L12" s="37" t="n">
        <x:f>SUM(I12:K12)</x:f>
        <x:v>161.61</x:v>
      </x:c>
      <x:c r="M12" s="37" t="n">
        <x:f>'Raw Company'!N12</x:f>
        <x:v>443.73</x:v>
      </x:c>
      <x:c r="N12" s="26" t="n">
        <x:f>L12/M12</x:f>
        <x:v>0.3642079643026165</x:v>
      </x:c>
      <x:c r="O12" s="27" t="n">
        <x:v>33.16</x:v>
      </x:c>
      <x:c r="P12" s="27" t="n">
        <x:v>18.13</x:v>
      </x:c>
      <x:c r="Q12" s="27" t="n">
        <x:v>25.49</x:v>
      </x:c>
      <x:c r="R12" s="37" t="n">
        <x:f>SUM(O12:Q12)</x:f>
        <x:v>76.77999999999999</x:v>
      </x:c>
      <x:c r="S12" s="37" t="n">
        <x:f>'Raw Company'!R12</x:f>
        <x:v>293.47</x:v>
      </x:c>
      <x:c r="T12" s="26" t="n">
        <x:f>R12/S12</x:f>
        <x:v>0.2616281050874024</x:v>
      </x:c>
    </x:row>
    <x:row r="13">
      <x:c r="A13" s="48" t="n">
        <x:v>45870</x:v>
      </x:c>
      <x:c r="B13" s="22" t="str">
        <x:v>Aug-25</x:v>
      </x:c>
      <x:c r="C13" s="27" t="n">
        <x:v>59.13</x:v>
      </x:c>
      <x:c r="D13" s="27" t="n">
        <x:v>32.39</x:v>
      </x:c>
      <x:c r="E13" s="27" t="n">
        <x:v>19.54</x:v>
      </x:c>
      <x:c r="F13" s="37" t="n">
        <x:f>SUM(C13:E13)</x:f>
        <x:v>111.06</x:v>
      </x:c>
      <x:c r="G13" s="37" t="n">
        <x:f>'Raw Company'!G13</x:f>
        <x:v>564.67</x:v>
      </x:c>
      <x:c r="H13" s="26" t="n">
        <x:f>F13/G13</x:f>
        <x:v>0.19668124745426535</x:v>
      </x:c>
      <x:c r="I13" s="27" t="n">
        <x:v>90.2</x:v>
      </x:c>
      <x:c r="J13" s="27" t="n">
        <x:v>45.84</x:v>
      </x:c>
      <x:c r="K13" s="27" t="n">
        <x:v>38.33</x:v>
      </x:c>
      <x:c r="L13" s="37" t="n">
        <x:f>SUM(I13:K13)</x:f>
        <x:v>174.37</x:v>
      </x:c>
      <x:c r="M13" s="37" t="n">
        <x:f>'Raw Company'!N13</x:f>
        <x:v>455.87</x:v>
      </x:c>
      <x:c r="N13" s="26" t="n">
        <x:f>L13/M13</x:f>
        <x:v>0.38249939675784767</x:v>
      </x:c>
      <x:c r="O13" s="27" t="n">
        <x:v>26.03</x:v>
      </x:c>
      <x:c r="P13" s="27" t="n">
        <x:v>18.24</x:v>
      </x:c>
      <x:c r="Q13" s="27" t="n">
        <x:v>28.73</x:v>
      </x:c>
      <x:c r="R13" s="37" t="n">
        <x:f>SUM(O13:Q13)</x:f>
        <x:v>73</x:v>
      </x:c>
      <x:c r="S13" s="37" t="n">
        <x:f>'Raw Company'!R13</x:f>
        <x:v>310.67</x:v>
      </x:c>
      <x:c r="T13" s="26" t="n">
        <x:f>R13/S13</x:f>
        <x:v>0.23497601957060546</x:v>
      </x:c>
    </x:row>
    <x:row r="14">
      <x:c r="A14" s="48" t="n">
        <x:v>45901</x:v>
      </x:c>
      <x:c r="B14" s="22" t="str">
        <x:v>Sep-25</x:v>
      </x:c>
      <x:c r="C14" s="27" t="n">
        <x:v>68.31</x:v>
      </x:c>
      <x:c r="D14" s="27" t="n">
        <x:v>33.47</x:v>
      </x:c>
      <x:c r="E14" s="27" t="n">
        <x:v>19.23</x:v>
      </x:c>
      <x:c r="F14" s="37" t="n">
        <x:f>SUM(C14:E14)</x:f>
        <x:v>121.01</x:v>
      </x:c>
      <x:c r="G14" s="37" t="n">
        <x:f>'Raw Company'!G14</x:f>
        <x:v>552.71</x:v>
      </x:c>
      <x:c r="H14" s="26" t="n">
        <x:f>F14/G14</x:f>
        <x:v>0.21893940764596262</x:v>
      </x:c>
      <x:c r="I14" s="27" t="n">
        <x:v>83.59</x:v>
      </x:c>
      <x:c r="J14" s="27" t="n">
        <x:v>42.64</x:v>
      </x:c>
      <x:c r="K14" s="27" t="n">
        <x:v>34.4</x:v>
      </x:c>
      <x:c r="L14" s="37" t="n">
        <x:f>SUM(I14:K14)</x:f>
        <x:v>160.63</x:v>
      </x:c>
      <x:c r="M14" s="37" t="n">
        <x:f>'Raw Company'!N14</x:f>
        <x:v>442.78</x:v>
      </x:c>
      <x:c r="N14" s="26" t="n">
        <x:f>L14/M14</x:f>
        <x:v>0.3627760964813226</x:v>
      </x:c>
      <x:c r="O14" s="27" t="n">
        <x:v>34.31</x:v>
      </x:c>
      <x:c r="P14" s="27" t="n">
        <x:v>16.86</x:v>
      </x:c>
      <x:c r="Q14" s="27" t="n">
        <x:v>25.71</x:v>
      </x:c>
      <x:c r="R14" s="37" t="n">
        <x:f>SUM(O14:Q14)</x:f>
        <x:v>76.88</x:v>
      </x:c>
      <x:c r="S14" s="37" t="n">
        <x:f>'Raw Company'!R14</x:f>
        <x:v>315.16</x:v>
      </x:c>
      <x:c r="T14" s="26" t="n">
        <x:f>R14/S14</x:f>
        <x:v>0.24393958624190884</x:v>
      </x:c>
    </x:row>
    <x:row r="15">
      <x:c r="A15" s="48" t="n">
        <x:v>45931</x:v>
      </x:c>
      <x:c r="B15" s="22" t="str">
        <x:v>Oct-25</x:v>
      </x:c>
      <x:c r="C15" s="27" t="n">
        <x:v>62.34</x:v>
      </x:c>
      <x:c r="D15" s="27" t="n">
        <x:v>32.6</x:v>
      </x:c>
      <x:c r="E15" s="27" t="n">
        <x:v>21.42</x:v>
      </x:c>
      <x:c r="F15" s="37" t="n">
        <x:f>SUM(C15:E15)</x:f>
        <x:v>116.36</x:v>
      </x:c>
      <x:c r="G15" s="37" t="n">
        <x:f>'Raw Company'!G15</x:f>
        <x:v>546.68</x:v>
      </x:c>
      <x:c r="H15" s="26" t="n">
        <x:f>F15/G15</x:f>
        <x:v>0.2128484671105583</x:v>
      </x:c>
      <x:c r="I15" s="27" t="n">
        <x:v>82.79</x:v>
      </x:c>
      <x:c r="J15" s="27" t="n">
        <x:v>43.04</x:v>
      </x:c>
      <x:c r="K15" s="27" t="n">
        <x:v>42.48</x:v>
      </x:c>
      <x:c r="L15" s="37" t="n">
        <x:f>SUM(I15:K15)</x:f>
        <x:v>168.31</x:v>
      </x:c>
      <x:c r="M15" s="37" t="n">
        <x:f>'Raw Company'!N15</x:f>
        <x:v>470.95</x:v>
      </x:c>
      <x:c r="N15" s="26" t="n">
        <x:f>L15/M15</x:f>
        <x:v>0.35738401104151185</x:v>
      </x:c>
      <x:c r="O15" s="27" t="n">
        <x:v>30.35</x:v>
      </x:c>
      <x:c r="P15" s="27" t="n">
        <x:v>19.16</x:v>
      </x:c>
      <x:c r="Q15" s="27" t="n">
        <x:v>28.92</x:v>
      </x:c>
      <x:c r="R15" s="37" t="n">
        <x:f>SUM(O15:Q15)</x:f>
        <x:v>78.43</x:v>
      </x:c>
      <x:c r="S15" s="37" t="n">
        <x:f>'Raw Company'!R15</x:f>
        <x:v>331.01</x:v>
      </x:c>
      <x:c r="T15" s="26" t="n">
        <x:f>R15/S15</x:f>
        <x:v>0.23694148213044927</x:v>
      </x:c>
    </x:row>
    <x:row r="16">
      <x:c r="A16" s="48" t="n">
        <x:v>45962</x:v>
      </x:c>
      <x:c r="B16" s="22" t="str">
        <x:v>Nov-25</x:v>
      </x:c>
      <x:c r="C16" s="27" t="n">
        <x:v>63.72</x:v>
      </x:c>
      <x:c r="D16" s="27" t="n">
        <x:v>32.9</x:v>
      </x:c>
      <x:c r="E16" s="27" t="n">
        <x:v>22.67</x:v>
      </x:c>
      <x:c r="F16" s="37" t="n">
        <x:f>SUM(C16:E16)</x:f>
        <x:v>119.29</x:v>
      </x:c>
      <x:c r="G16" s="37" t="n">
        <x:f>'Raw Company'!G16</x:f>
        <x:v>547.06</x:v>
      </x:c>
      <x:c r="H16" s="26" t="n">
        <x:f>F16/G16</x:f>
        <x:v>0.21805652030855852</x:v>
      </x:c>
      <x:c r="I16" s="27" t="n">
        <x:v>90.68</x:v>
      </x:c>
      <x:c r="J16" s="27" t="n">
        <x:v>35.03</x:v>
      </x:c>
      <x:c r="K16" s="27" t="n">
        <x:v>39.12</x:v>
      </x:c>
      <x:c r="L16" s="37" t="n">
        <x:f>SUM(I16:K16)</x:f>
        <x:v>164.83</x:v>
      </x:c>
      <x:c r="M16" s="37" t="n">
        <x:f>'Raw Company'!N16</x:f>
        <x:v>474.83</x:v>
      </x:c>
      <x:c r="N16" s="26" t="n">
        <x:f>L16/M16</x:f>
        <x:v>0.3471347640208075</x:v>
      </x:c>
      <x:c r="O16" s="27" t="n">
        <x:v>26.31</x:v>
      </x:c>
      <x:c r="P16" s="27" t="n">
        <x:v>22.76</x:v>
      </x:c>
      <x:c r="Q16" s="27" t="n">
        <x:v>26.9</x:v>
      </x:c>
      <x:c r="R16" s="37" t="n">
        <x:f>SUM(O16:Q16)</x:f>
        <x:v>75.97</x:v>
      </x:c>
      <x:c r="S16" s="37" t="n">
        <x:f>'Raw Company'!R16</x:f>
        <x:v>333.21</x:v>
      </x:c>
      <x:c r="T16" s="26" t="n">
        <x:f>R16/S16</x:f>
        <x:v>0.22799435791242761</x:v>
      </x:c>
    </x:row>
    <x:row r="17">
      <x:c r="A17" s="48" t="n">
        <x:v>45992</x:v>
      </x:c>
      <x:c r="B17" s="22" t="str">
        <x:v>Dec-25</x:v>
      </x:c>
      <x:c r="C17" s="27" t="n">
        <x:v>65.39</x:v>
      </x:c>
      <x:c r="D17" s="27" t="n">
        <x:v>30.73</x:v>
      </x:c>
      <x:c r="E17" s="27" t="n">
        <x:v>21.47</x:v>
      </x:c>
      <x:c r="F17" s="37" t="n">
        <x:f>SUM(C17:E17)</x:f>
        <x:v>117.59</x:v>
      </x:c>
      <x:c r="G17" s="37" t="n">
        <x:f>'Raw Company'!G17</x:f>
        <x:v>553.16</x:v>
      </x:c>
      <x:c r="H17" s="26" t="n">
        <x:f>F17/G17</x:f>
        <x:v>0.2125786390917637</x:v>
      </x:c>
      <x:c r="I17" s="27" t="n">
        <x:v>83.05</x:v>
      </x:c>
      <x:c r="J17" s="27" t="n">
        <x:v>33.56</x:v>
      </x:c>
      <x:c r="K17" s="27" t="n">
        <x:v>31.53</x:v>
      </x:c>
      <x:c r="L17" s="37" t="n">
        <x:f>SUM(I17:K17)</x:f>
        <x:v>148.14</x:v>
      </x:c>
      <x:c r="M17" s="37" t="n">
        <x:f>'Raw Company'!N17</x:f>
        <x:v>461.27</x:v>
      </x:c>
      <x:c r="N17" s="26" t="n">
        <x:f>L17/M17</x:f>
        <x:v>0.3211568062089449</x:v>
      </x:c>
      <x:c r="O17" s="27" t="n">
        <x:v>33.24</x:v>
      </x:c>
      <x:c r="P17" s="27" t="n">
        <x:v>22.97</x:v>
      </x:c>
      <x:c r="Q17" s="27" t="n">
        <x:v>24.24</x:v>
      </x:c>
      <x:c r="R17" s="37" t="n">
        <x:f>SUM(O17:Q17)</x:f>
        <x:v>80.45</x:v>
      </x:c>
      <x:c r="S17" s="37" t="n">
        <x:f>'Raw Company'!R17</x:f>
        <x:v>345.54</x:v>
      </x:c>
      <x:c r="T17" s="26" t="n">
        <x:f>R17/S17</x:f>
        <x:v>0.23282398564565607</x:v>
      </x:c>
    </x:row>
    <x:row r="18">
      <x:c r="A18" s="48" t="n">
        <x:v>46023</x:v>
      </x:c>
      <x:c r="B18" s="22" t="str">
        <x:v>Jan-26</x:v>
      </x:c>
      <x:c r="C18" s="27" t="n">
        <x:v>64.77</x:v>
      </x:c>
      <x:c r="D18" s="27" t="n">
        <x:v>32.89</x:v>
      </x:c>
      <x:c r="E18" s="27" t="n">
        <x:v>21.74</x:v>
      </x:c>
      <x:c r="F18" s="37" t="n">
        <x:f>SUM(C18:E18)</x:f>
        <x:v>119.39999999999999</x:v>
      </x:c>
      <x:c r="G18" s="37" t="n">
        <x:f>'Raw Company'!G18</x:f>
        <x:v>529.1</x:v>
      </x:c>
      <x:c r="H18" s="26" t="n">
        <x:f>F18/G18</x:f>
        <x:v>0.22566622566622563</x:v>
      </x:c>
      <x:c r="I18" s="27" t="n">
        <x:v>79.62</x:v>
      </x:c>
      <x:c r="J18" s="27" t="n">
        <x:v>33.41</x:v>
      </x:c>
      <x:c r="K18" s="27" t="n">
        <x:v>32.53</x:v>
      </x:c>
      <x:c r="L18" s="37" t="n">
        <x:f>SUM(I18:K18)</x:f>
        <x:v>145.56</x:v>
      </x:c>
      <x:c r="M18" s="37" t="n">
        <x:f>'Raw Company'!N18</x:f>
        <x:v>445.56</x:v>
      </x:c>
      <x:c r="N18" s="26" t="n">
        <x:f>L18/M18</x:f>
        <x:v>0.32669000807971993</x:v>
      </x:c>
      <x:c r="O18" s="27" t="n">
        <x:v>31.49</x:v>
      </x:c>
      <x:c r="P18" s="27" t="n">
        <x:v>21.37</x:v>
      </x:c>
      <x:c r="Q18" s="27" t="n">
        <x:v>21.84</x:v>
      </x:c>
      <x:c r="R18" s="37" t="n">
        <x:f>SUM(O18:Q18)</x:f>
        <x:v>74.7</x:v>
      </x:c>
      <x:c r="S18" s="37" t="n">
        <x:f>'Raw Company'!R18</x:f>
        <x:v>277.62</x:v>
      </x:c>
      <x:c r="T18" s="26" t="n">
        <x:f>R18/S18</x:f>
        <x:v>0.2690728333693538</x:v>
      </x:c>
    </x:row>
    <x:row r="19">
      <x:c r="A19" s="48" t="n">
        <x:v>46054</x:v>
      </x:c>
      <x:c r="B19" s="22" t="str">
        <x:v>Feb-26</x:v>
      </x:c>
      <x:c r="C19" s="27" t="n">
        <x:v>65.06</x:v>
      </x:c>
      <x:c r="D19" s="27" t="n">
        <x:v>35.94</x:v>
      </x:c>
      <x:c r="E19" s="27" t="n">
        <x:v>22.08</x:v>
      </x:c>
      <x:c r="F19" s="37" t="n">
        <x:f>SUM(C19:E19)</x:f>
        <x:v>123.08</x:v>
      </x:c>
      <x:c r="G19" s="37" t="n">
        <x:f>'Raw Company'!G19</x:f>
        <x:v>547.45</x:v>
      </x:c>
      <x:c r="H19" s="26" t="n">
        <x:f>F19/G19</x:f>
        <x:v>0.22482418485706454</x:v>
      </x:c>
      <x:c r="I19" s="27" t="n">
        <x:v>81.18</x:v>
      </x:c>
      <x:c r="J19" s="27" t="n">
        <x:v>36.61</x:v>
      </x:c>
      <x:c r="K19" s="27" t="n">
        <x:v>33.88</x:v>
      </x:c>
      <x:c r="L19" s="37" t="n">
        <x:f>SUM(I19:K19)</x:f>
        <x:v>151.67000000000002</x:v>
      </x:c>
      <x:c r="M19" s="37" t="n">
        <x:f>'Raw Company'!N19</x:f>
        <x:v>436.9</x:v>
      </x:c>
      <x:c r="N19" s="26" t="n">
        <x:f>L19/M19</x:f>
        <x:v>0.347150377660792</x:v>
      </x:c>
      <x:c r="O19" s="27" t="n">
        <x:v>31.49</x:v>
      </x:c>
      <x:c r="P19" s="27" t="n">
        <x:v>22.52</x:v>
      </x:c>
      <x:c r="Q19" s="27" t="n">
        <x:v>21.19</x:v>
      </x:c>
      <x:c r="R19" s="37" t="n">
        <x:f>SUM(O19:Q19)</x:f>
        <x:v>75.2</x:v>
      </x:c>
      <x:c r="S19" s="37" t="n">
        <x:f>'Raw Company'!R19</x:f>
        <x:v>259.59</x:v>
      </x:c>
      <x:c r="T19" s="26" t="n">
        <x:f>R19/S19</x:f>
        <x:v>0.2896875842674988</x:v>
      </x:c>
    </x:row>
    <x:row r="20">
      <x:c r="A20" s="48" t="n">
        <x:v>46082</x:v>
      </x:c>
      <x:c r="B20" s="22" t="str">
        <x:v>Mar-26</x:v>
      </x:c>
      <x:c r="C20" s="27" t="n">
        <x:v>63.9</x:v>
      </x:c>
      <x:c r="D20" s="27" t="n">
        <x:v>37.19</x:v>
      </x:c>
      <x:c r="E20" s="27" t="n">
        <x:v>21.68</x:v>
      </x:c>
      <x:c r="F20" s="37" t="n">
        <x:f>SUM(C20:E20)</x:f>
        <x:v>122.77000000000001</x:v>
      </x:c>
      <x:c r="G20" s="37" t="n">
        <x:f>'Raw Company'!G20</x:f>
        <x:v>554.04</x:v>
      </x:c>
      <x:c r="H20" s="26" t="n">
        <x:f>F20/G20</x:f>
        <x:v>0.22159049888094726</x:v>
      </x:c>
      <x:c r="I20" s="27" t="n">
        <x:v>78.67</x:v>
      </x:c>
      <x:c r="J20" s="27" t="n">
        <x:v>37.47</x:v>
      </x:c>
      <x:c r="K20" s="27" t="n">
        <x:v>37.68</x:v>
      </x:c>
      <x:c r="L20" s="37" t="n">
        <x:f>SUM(I20:K20)</x:f>
        <x:v>153.82</x:v>
      </x:c>
      <x:c r="M20" s="37" t="n">
        <x:f>'Raw Company'!N20</x:f>
        <x:v>459.28</x:v>
      </x:c>
      <x:c r="N20" s="26" t="n">
        <x:f>L20/M20</x:f>
        <x:v>0.3349155199442606</x:v>
      </x:c>
      <x:c r="O20" s="27" t="n">
        <x:v>35.47</x:v>
      </x:c>
      <x:c r="P20" s="27" t="n">
        <x:v>22.11</x:v>
      </x:c>
      <x:c r="Q20" s="27" t="n">
        <x:v>19.71</x:v>
      </x:c>
      <x:c r="R20" s="37" t="n">
        <x:f>SUM(O20:Q20)</x:f>
        <x:v>77.28999999999999</x:v>
      </x:c>
      <x:c r="S20" s="37" t="n">
        <x:f>'Raw Company'!R20</x:f>
        <x:v>256.24</x:v>
      </x:c>
      <x:c r="T20" s="26" t="n">
        <x:f>R20/S20</x:f>
        <x:v>0.3016312831720262</x:v>
      </x:c>
    </x:row>
    <x:row r="21">
      <x:c r="A21" s="48" t="n">
        <x:v>46113</x:v>
      </x:c>
      <x:c r="B21" s="22" t="str">
        <x:v>Apr-26</x:v>
      </x:c>
      <x:c r="C21" s="27" t="n">
        <x:v>74.04</x:v>
      </x:c>
      <x:c r="D21" s="27" t="n">
        <x:v>39.67</x:v>
      </x:c>
      <x:c r="E21" s="27" t="n">
        <x:v>22.22</x:v>
      </x:c>
      <x:c r="F21" s="37" t="n">
        <x:f>SUM(C21:E21)</x:f>
        <x:v>135.93</x:v>
      </x:c>
      <x:c r="G21" s="37" t="n">
        <x:f>'Raw Company'!G21</x:f>
        <x:v>627.86</x:v>
      </x:c>
      <x:c r="H21" s="26" t="n">
        <x:f>F21/G21</x:f>
        <x:v>0.21649730831714076</x:v>
      </x:c>
      <x:c r="I21" s="27" t="n">
        <x:v>72.31</x:v>
      </x:c>
      <x:c r="J21" s="27" t="n">
        <x:v>41.03</x:v>
      </x:c>
      <x:c r="K21" s="27" t="n">
        <x:v>41.59</x:v>
      </x:c>
      <x:c r="L21" s="37" t="n">
        <x:f>SUM(I21:K21)</x:f>
        <x:v>154.93</x:v>
      </x:c>
      <x:c r="M21" s="37" t="n">
        <x:f>'Raw Company'!N21</x:f>
        <x:v>481.99</x:v>
      </x:c>
      <x:c r="N21" s="26" t="n">
        <x:f>L21/M21</x:f>
        <x:v>0.32143820411211854</x:v>
      </x:c>
      <x:c r="O21" s="27" t="n">
        <x:v>38.16</x:v>
      </x:c>
      <x:c r="P21" s="27" t="n">
        <x:v>24.24</x:v>
      </x:c>
      <x:c r="Q21" s="27" t="n">
        <x:v>26.51</x:v>
      </x:c>
      <x:c r="R21" s="37" t="n">
        <x:f>SUM(O21:Q21)</x:f>
        <x:v>88.91</x:v>
      </x:c>
      <x:c r="S21" s="37" t="n">
        <x:f>'Raw Company'!R21</x:f>
        <x:v>288.01</x:v>
      </x:c>
      <x:c r="T21" s="26" t="n">
        <x:f>R21/S21</x:f>
        <x:v>0.30870455886948367</x:v>
      </x:c>
    </x:row>
    <x:row r="22">
      <x:c r="A22" s="48" t="n">
        <x:v>46143</x:v>
      </x:c>
      <x:c r="B22" s="22" t="str">
        <x:v>May-26</x:v>
      </x:c>
      <x:c r="C22" s="27" t="n">
        <x:v>70.47</x:v>
      </x:c>
      <x:c r="D22" s="27" t="n">
        <x:v>38.77</x:v>
      </x:c>
      <x:c r="E22" s="27" t="n">
        <x:v>23.32</x:v>
      </x:c>
      <x:c r="F22" s="37" t="n">
        <x:f>SUM(C22:E22)</x:f>
        <x:v>132.56</x:v>
      </x:c>
      <x:c r="G22" s="37" t="n">
        <x:f>'Raw Company'!G22</x:f>
        <x:v>592.64</x:v>
      </x:c>
      <x:c r="H22" s="26" t="n">
        <x:f>F22/G22</x:f>
        <x:v>0.2236771058315335</x:v>
      </x:c>
      <x:c r="I22" s="27" t="n">
        <x:v>66.16</x:v>
      </x:c>
      <x:c r="J22" s="27" t="n">
        <x:v>36.18</x:v>
      </x:c>
      <x:c r="K22" s="27" t="n">
        <x:v>34.12</x:v>
      </x:c>
      <x:c r="L22" s="37" t="n">
        <x:f>SUM(I22:K22)</x:f>
        <x:v>136.46</x:v>
      </x:c>
      <x:c r="M22" s="37" t="n">
        <x:f>'Raw Company'!N22</x:f>
        <x:v>438.6</x:v>
      </x:c>
      <x:c r="N22" s="26" t="n">
        <x:f>L22/M22</x:f>
        <x:v>0.3111263109895121</x:v>
      </x:c>
      <x:c r="O22" s="27" t="n">
        <x:v>31.74</x:v>
      </x:c>
      <x:c r="P22" s="27" t="n">
        <x:v>25.06</x:v>
      </x:c>
      <x:c r="Q22" s="27" t="n">
        <x:v>27.61</x:v>
      </x:c>
      <x:c r="R22" s="37" t="n">
        <x:f>SUM(O22:Q22)</x:f>
        <x:v>84.41</x:v>
      </x:c>
      <x:c r="S22" s="37" t="n">
        <x:f>'Raw Company'!R22</x:f>
        <x:v>287.18</x:v>
      </x:c>
      <x:c r="T22" s="26" t="n">
        <x:f>R22/S22</x:f>
        <x:v>0.29392715370151123</x:v>
      </x:c>
    </x:row>
    <x:row r="23">
      <x:c r="A23" s="48" t="n">
        <x:v>46174</x:v>
      </x:c>
      <x:c r="B23" s="22" t="str">
        <x:v>Jun-26</x:v>
      </x:c>
      <x:c r="C23" s="27" t="n">
        <x:v>65.35</x:v>
      </x:c>
      <x:c r="D23" s="27" t="n">
        <x:v>39.83</x:v>
      </x:c>
      <x:c r="E23" s="27" t="n">
        <x:v>26.73</x:v>
      </x:c>
      <x:c r="F23" s="37" t="n">
        <x:f>SUM(C23:E23)</x:f>
        <x:v>131.91</x:v>
      </x:c>
      <x:c r="G23" s="37" t="n">
        <x:f>'Raw Company'!G23</x:f>
        <x:v>587.31</x:v>
      </x:c>
      <x:c r="H23" s="26" t="n">
        <x:f>F23/G23</x:f>
        <x:v>0.22460029626602648</x:v>
      </x:c>
      <x:c r="I23" s="27" t="n">
        <x:v>75.66</x:v>
      </x:c>
      <x:c r="J23" s="27" t="n">
        <x:v>33.91</x:v>
      </x:c>
      <x:c r="K23" s="27" t="n">
        <x:v>41.02</x:v>
      </x:c>
      <x:c r="L23" s="37" t="n">
        <x:f>SUM(I23:K23)</x:f>
        <x:v>150.59</x:v>
      </x:c>
      <x:c r="M23" s="37" t="n">
        <x:f>'Raw Company'!N23</x:f>
        <x:v>454.11</x:v>
      </x:c>
      <x:c r="N23" s="26" t="n">
        <x:f>L23/M23</x:f>
        <x:v>0.33161568782894013</x:v>
      </x:c>
      <x:c r="O23" s="27" t="n">
        <x:v>31.4</x:v>
      </x:c>
      <x:c r="P23" s="27" t="n">
        <x:v>24.08</x:v>
      </x:c>
      <x:c r="Q23" s="27" t="n">
        <x:v>24.49</x:v>
      </x:c>
      <x:c r="R23" s="37" t="n">
        <x:f>SUM(O23:Q23)</x:f>
        <x:v>79.97</x:v>
      </x:c>
      <x:c r="S23" s="37" t="n">
        <x:f>'Raw Company'!R23</x:f>
        <x:v>286.62</x:v>
      </x:c>
      <x:c r="T23" s="26" t="n">
        <x:f>R23/S23</x:f>
        <x:v>0.27901053659898123</x:v>
      </x:c>
    </x:row>
    <x:row r="24">
      <x:c r="A24" s="48" t="n">
        <x:v>46204</x:v>
      </x:c>
      <x:c r="B24" s="22" t="str">
        <x:v>Jul-26</x:v>
      </x:c>
      <x:c r="C24" s="27" t="n">
        <x:v>68.06</x:v>
      </x:c>
      <x:c r="D24" s="27" t="n">
        <x:v>41.3</x:v>
      </x:c>
      <x:c r="E24" s="27" t="n">
        <x:v>24.2</x:v>
      </x:c>
      <x:c r="F24" s="37" t="n">
        <x:f>SUM(C24:E24)</x:f>
        <x:v>133.56</x:v>
      </x:c>
      <x:c r="G24" s="37" t="n">
        <x:f>'Raw Company'!G24</x:f>
        <x:v>624.81</x:v>
      </x:c>
      <x:c r="H24" s="26" t="n">
        <x:f>F24/G24</x:f>
        <x:v>0.21376098333893506</x:v>
      </x:c>
      <x:c r="I24" s="27" t="n">
        <x:v>90.72</x:v>
      </x:c>
      <x:c r="J24" s="27" t="n">
        <x:v>42.78</x:v>
      </x:c>
      <x:c r="K24" s="27" t="n">
        <x:v>48.18</x:v>
      </x:c>
      <x:c r="L24" s="37" t="n">
        <x:f>SUM(I24:K24)</x:f>
        <x:v>181.68</x:v>
      </x:c>
      <x:c r="M24" s="37" t="n">
        <x:f>'Raw Company'!N24</x:f>
        <x:v>494.4</x:v>
      </x:c>
      <x:c r="N24" s="26" t="n">
        <x:f>L24/M24</x:f>
        <x:v>0.36747572815533985</x:v>
      </x:c>
      <x:c r="O24" s="27" t="n">
        <x:v>33.28</x:v>
      </x:c>
      <x:c r="P24" s="27" t="n">
        <x:v>22.64</x:v>
      </x:c>
      <x:c r="Q24" s="27" t="n">
        <x:v>24.82</x:v>
      </x:c>
      <x:c r="R24" s="37" t="n">
        <x:f>SUM(O24:Q24)</x:f>
        <x:v>80.74000000000001</x:v>
      </x:c>
      <x:c r="S24" s="37" t="n">
        <x:f>'Raw Company'!R24</x:f>
        <x:v>300.82</x:v>
      </x:c>
      <x:c r="T24" s="26" t="n">
        <x:f>R24/S24</x:f>
        <x:v>0.2683997074662589</x:v>
      </x:c>
    </x:row>
    <x:row r="25">
      <x:c r="A25" s="48" t="n">
        <x:v>46235</x:v>
      </x:c>
      <x:c r="B25" s="22" t="str">
        <x:v>Aug-26</x:v>
      </x:c>
      <x:c r="C25" s="27" t="n">
        <x:v>63.86</x:v>
      </x:c>
      <x:c r="D25" s="27" t="n">
        <x:v>42.11</x:v>
      </x:c>
      <x:c r="E25" s="27" t="n">
        <x:v>23.84</x:v>
      </x:c>
      <x:c r="F25" s="37" t="n">
        <x:f>SUM(C25:E25)</x:f>
        <x:v>129.81</x:v>
      </x:c>
      <x:c r="G25" s="37" t="n">
        <x:f>'Raw Company'!G25</x:f>
        <x:v>624.85</x:v>
      </x:c>
      <x:c r="H25" s="26" t="n">
        <x:f>F25/G25</x:f>
        <x:v>0.20774585900616147</x:v>
      </x:c>
      <x:c r="I25" s="27" t="n">
        <x:v>99.26</x:v>
      </x:c>
      <x:c r="J25" s="27" t="n">
        <x:v>50.09</x:v>
      </x:c>
      <x:c r="K25" s="27" t="n">
        <x:v>43.02</x:v>
      </x:c>
      <x:c r="L25" s="37" t="n">
        <x:f>SUM(I25:K25)</x:f>
        <x:v>192.37000000000003</x:v>
      </x:c>
      <x:c r="M25" s="37" t="n">
        <x:f>'Raw Company'!N25</x:f>
        <x:v>506.18</x:v>
      </x:c>
      <x:c r="N25" s="26" t="n">
        <x:f>L25/M25</x:f>
        <x:v>0.3800426725670711</x:v>
      </x:c>
      <x:c r="O25" s="27" t="n">
        <x:v>30.33</x:v>
      </x:c>
      <x:c r="P25" s="27" t="n">
        <x:v>23.53</x:v>
      </x:c>
      <x:c r="Q25" s="27" t="n">
        <x:v>23.11</x:v>
      </x:c>
      <x:c r="R25" s="37" t="n">
        <x:f>SUM(O25:Q25)</x:f>
        <x:v>76.97</x:v>
      </x:c>
      <x:c r="S25" s="37" t="n">
        <x:f>'Raw Company'!R25</x:f>
        <x:v>307.57</x:v>
      </x:c>
      <x:c r="T25" s="26" t="n">
        <x:f>R25/S25</x:f>
        <x:v>0.25025197516012615</x:v>
      </x:c>
    </x:row>
  </x:sheetData>
  <x:pageMargins left="0.7" right="0.7" top="0.75" bottom="0.75" header="0.3" footer="0.3"/>
  <x:drawing xmlns:r="http://schemas.openxmlformats.org/officeDocument/2006/relationships" r:id="Re0d46161f55443b8"/>
</x:worksheet>
</file>

<file path=xl/worksheets/sheet4.xml><?xml version="1.0" encoding="utf-8"?>
<x:worksheet xmlns:x="http://schemas.openxmlformats.org/spreadsheetml/2006/main">
  <x:sheetPr>
    <x:tabColor rgb="FF1F8A8A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13" hidden="0" customWidth="1"/>
    <x:col min="3" max="3" width="19" hidden="0" customWidth="1"/>
    <x:col min="4" max="4" width="19" hidden="0" customWidth="1"/>
    <x:col min="5" max="5" width="14" hidden="0" customWidth="1"/>
    <x:col min="6" max="6" width="27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28" hidden="0" customWidth="1"/>
  </x:cols>
  <x:sheetData>
    <x:row r="2">
      <x:c r="A2" s="55" t="str">
        <x:v>Brand portfolio and growth contribution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</x:row>
    <x:row r="3">
      <x:c r="A3" s="57" t="str">
        <x:v>Latest supplied product snapshot: Aug 2026. Clean target view excludes brands not verified to the listed company.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</x:row>
    <x:row r="4">
      <x:c r="A4" s="58"/>
      <x:c r="B4" s="58"/>
      <x:c r="C4" s="58"/>
      <x:c r="D4" s="58"/>
      <x:c r="E4" s="58"/>
      <x:c r="F4" s="58"/>
      <x:c r="G4" s="58"/>
      <x:c r="H4" s="58"/>
      <x:c r="I4" s="58"/>
      <x:c r="J4" s="58"/>
      <x:c r="K4" s="58"/>
      <x:c r="L4" s="58"/>
      <x:c r="M4" s="58"/>
      <x:c r="N4" s="58"/>
      <x:c r="O4" s="58"/>
      <x:c r="P4" s="58"/>
      <x:c r="Q4" s="58"/>
      <x:c r="R4" s="58"/>
      <x:c r="S4" s="58"/>
      <x:c r="T4" s="58"/>
    </x:row>
    <x:row r="5">
      <x:c r="A5" s="18" t="str">
        <x:v>Brand</x:v>
      </x:c>
      <x:c r="B5" s="19" t="str">
        <x:v>Source manufacturer</x:v>
      </x:c>
      <x:c r="C5" s="19" t="str">
        <x:v>Economic owner</x:v>
      </x:c>
      <x:c r="D5" s="19" t="str">
        <x:v>Target company</x:v>
      </x:c>
      <x:c r="E5" s="19" t="str">
        <x:v>Clean target view</x:v>
      </x:c>
      <x:c r="F5" s="19" t="str">
        <x:v>Therapy</x:v>
      </x:c>
      <x:c r="G5" s="19" t="str">
        <x:v>Packs / SKUs</x:v>
      </x:c>
      <x:c r="H5" s="19" t="str">
        <x:v>Aug-26 sales</x:v>
      </x:c>
      <x:c r="I5" s="19" t="str">
        <x:v>Aug growth</x:v>
      </x:c>
      <x:c r="J5" s="19" t="str">
        <x:v>YTD-26 sales</x:v>
      </x:c>
      <x:c r="K5" s="19" t="str">
        <x:v>YTD growth</x:v>
      </x:c>
      <x:c r="L5" s="19" t="str">
        <x:v>TTM sales</x:v>
      </x:c>
      <x:c r="M5" s="19" t="str">
        <x:v>TTM growth</x:v>
      </x:c>
      <x:c r="N5" s="19" t="str">
        <x:v>Prior TTM sales</x:v>
      </x:c>
      <x:c r="O5" s="19" t="str">
        <x:v>TTM growth contribution</x:v>
      </x:c>
      <x:c r="P5" s="19" t="str">
        <x:v>YTD minus TTM growth</x:v>
      </x:c>
      <x:c r="Q5" s="19" t="str">
        <x:v>≥ ₹100cr TTM</x:v>
      </x:c>
      <x:c r="R5" s="19" t="str">
        <x:v>TTM rank</x:v>
      </x:c>
      <x:c r="S5" s="19" t="str">
        <x:v>Month rank</x:v>
      </x:c>
      <x:c r="T5" s="20" t="str">
        <x:v>Mapping note</x:v>
      </x:c>
    </x:row>
    <x:row r="6">
      <x:c r="A6" s="23" t="str">
        <x:v>Augmentin</x:v>
      </x:c>
      <x:c r="B6" s="23" t="str">
        <x:v>GSK</x:v>
      </x:c>
      <x:c r="C6" s="23" t="str">
        <x:v>GSK India</x:v>
      </x:c>
      <x:c r="D6" s="23" t="str">
        <x:v>GSK India</x:v>
      </x:c>
      <x:c r="E6" s="23" t="str">
        <x:v>Yes</x:v>
      </x:c>
      <x:c r="F6" s="23" t="str">
        <x:v>Anti-infectives</x:v>
      </x:c>
      <x:c r="G6" s="38" t="n">
        <x:v>23</x:v>
      </x:c>
      <x:c r="H6" s="27" t="n">
        <x:v>99.26</x:v>
      </x:c>
      <x:c r="I6" s="25" t="n">
        <x:v>0.1004</x:v>
      </x:c>
      <x:c r="J6" s="27" t="n">
        <x:v>643.59</x:v>
      </x:c>
      <x:c r="K6" s="25" t="n">
        <x:v>0.1069</x:v>
      </x:c>
      <x:c r="L6" s="27" t="n">
        <x:v>983.7</x:v>
      </x:c>
      <x:c r="M6" s="25" t="n">
        <x:v>0.1209</x:v>
      </x:c>
      <x:c r="N6" s="37" t="n">
        <x:f>IF(M6&gt;-99.9%,L6/(1+M6),"")</x:f>
        <x:v>877.5983584619503</x:v>
      </x:c>
      <x:c r="O6" s="37" t="n">
        <x:f>IF(N6="","",L6-N6)</x:f>
        <x:v>106.10164153804976</x:v>
      </x:c>
      <x:c r="P6" s="26" t="n">
        <x:f>K6-M6</x:f>
        <x:v>-0.013999999999999999</x:v>
      </x:c>
      <x:c r="Q6" s="22" t="str">
        <x:f>IF(L6&gt;=100,"Yes","No")</x:f>
        <x:v>Yes</x:v>
      </x:c>
      <x:c r="R6" s="38" t="n">
        <x:v>3</x:v>
      </x:c>
      <x:c r="S6" s="38" t="n">
        <x:v>2</x:v>
      </x:c>
      <x:c r="T6" s="23" t="str">
        <x:v>Listed-company proxy</x:v>
      </x:c>
    </x:row>
    <x:row r="7">
      <x:c r="A7" s="23" t="str">
        <x:v>Thyronorm</x:v>
      </x:c>
      <x:c r="B7" s="23" t="str">
        <x:v>ABT</x:v>
      </x:c>
      <x:c r="C7" s="23" t="str">
        <x:v>Abbott India</x:v>
      </x:c>
      <x:c r="D7" s="23" t="str">
        <x:v>Abbott India</x:v>
      </x:c>
      <x:c r="E7" s="23" t="str">
        <x:v>Yes</x:v>
      </x:c>
      <x:c r="F7" s="23" t="str">
        <x:v>Thyroid</x:v>
      </x:c>
      <x:c r="G7" s="38" t="n">
        <x:v>31</x:v>
      </x:c>
      <x:c r="H7" s="27" t="n">
        <x:v>63.86</x:v>
      </x:c>
      <x:c r="I7" s="25" t="n">
        <x:v>0.0799</x:v>
      </x:c>
      <x:c r="J7" s="27" t="n">
        <x:v>535.51</x:v>
      </x:c>
      <x:c r="K7" s="25" t="n">
        <x:v>0.1198</x:v>
      </x:c>
      <x:c r="L7" s="27" t="n">
        <x:v>795.28</x:v>
      </x:c>
      <x:c r="M7" s="25" t="n">
        <x:v>0.128</x:v>
      </x:c>
      <x:c r="N7" s="37" t="n">
        <x:f>IF(M7&gt;-99.9%,L7/(1+M7),"")</x:f>
        <x:v>705.0354609929077</x:v>
      </x:c>
      <x:c r="O7" s="37" t="n">
        <x:f>IF(N7="","",L7-N7)</x:f>
        <x:v>90.24453900709227</x:v>
      </x:c>
      <x:c r="P7" s="26" t="n">
        <x:f>K7-M7</x:f>
        <x:v>-0.008199999999999999</x:v>
      </x:c>
      <x:c r="Q7" s="22" t="str">
        <x:f>IF(L7&gt;=100,"Yes","No")</x:f>
        <x:v>Yes</x:v>
      </x:c>
      <x:c r="R7" s="38" t="n">
        <x:v>6</x:v>
      </x:c>
      <x:c r="S7" s="38" t="n">
        <x:v>10</x:v>
      </x:c>
      <x:c r="T7" s="23" t="str">
        <x:v>Confirmed Abbott India brand</x:v>
      </x:c>
    </x:row>
    <x:row r="8">
      <x:c r="A8" s="23" t="str">
        <x:v>Ryzodeg</x:v>
      </x:c>
      <x:c r="B8" s="23" t="str">
        <x:v>ABT</x:v>
      </x:c>
      <x:c r="C8" s="23" t="str">
        <x:v>Novo Nordisk</x:v>
      </x:c>
      <x:c r="D8" s="23" t="str">
        <x:v>Excluded</x:v>
      </x:c>
      <x:c r="E8" s="23" t="str">
        <x:v>No</x:v>
      </x:c>
      <x:c r="F8" s="23" t="str">
        <x:v>Diabetes</x:v>
      </x:c>
      <x:c r="G8" s="38" t="n">
        <x:v>3</x:v>
      </x:c>
      <x:c r="H8" s="27" t="n">
        <x:v>63.6</x:v>
      </x:c>
      <x:c r="I8" s="25" t="n">
        <x:v>0.1056</x:v>
      </x:c>
      <x:c r="J8" s="27" t="n">
        <x:v>504.21</x:v>
      </x:c>
      <x:c r="K8" s="25" t="n">
        <x:v>0.1271</x:v>
      </x:c>
      <x:c r="L8" s="27" t="n">
        <x:v>744.32</x:v>
      </x:c>
      <x:c r="M8" s="25" t="n">
        <x:v>0.1296</x:v>
      </x:c>
      <x:c r="N8" s="37" t="n">
        <x:f>IF(M8&gt;-99.9%,L8/(1+M8),"")</x:f>
        <x:v>658.9235127478754</x:v>
      </x:c>
      <x:c r="O8" s="37" t="n">
        <x:f>IF(N8="","",L8-N8)</x:f>
        <x:v>85.39648725212464</x:v>
      </x:c>
      <x:c r="P8" s="26" t="n">
        <x:f>K8-M8</x:f>
        <x:v>-0.0025000000000000022</x:v>
      </x:c>
      <x:c r="Q8" s="22" t="str">
        <x:f>IF(L8&gt;=100,"Yes","No")</x:f>
        <x:v>Yes</x:v>
      </x:c>
      <x:c r="R8" s="38" t="n">
        <x:v>8</x:v>
      </x:c>
      <x:c r="S8" s="38" t="n">
        <x:v>11</x:v>
      </x:c>
      <x:c r="T8" s="23" t="str">
        <x:v>Source bucket is not Abbott India</x:v>
      </x:c>
    </x:row>
    <x:row r="9">
      <x:c r="A9" s="23" t="str">
        <x:v>Mixtard</x:v>
      </x:c>
      <x:c r="B9" s="23" t="str">
        <x:v>ABT</x:v>
      </x:c>
      <x:c r="C9" s="23" t="str">
        <x:v>Novo Nordisk</x:v>
      </x:c>
      <x:c r="D9" s="23" t="str">
        <x:v>Excluded</x:v>
      </x:c>
      <x:c r="E9" s="23" t="str">
        <x:v>No</x:v>
      </x:c>
      <x:c r="F9" s="23" t="str">
        <x:v>Diabetes</x:v>
      </x:c>
      <x:c r="G9" s="38" t="n">
        <x:v>14</x:v>
      </x:c>
      <x:c r="H9" s="27" t="n">
        <x:v>37.76</x:v>
      </x:c>
      <x:c r="I9" s="25" t="n">
        <x:v>-0.3513</x:v>
      </x:c>
      <x:c r="J9" s="27" t="n">
        <x:v>315.01</x:v>
      </x:c>
      <x:c r="K9" s="25" t="n">
        <x:v>-0.3566</x:v>
      </x:c>
      <x:c r="L9" s="27" t="n">
        <x:v>512.6</x:v>
      </x:c>
      <x:c r="M9" s="25" t="n">
        <x:v>-0.324</x:v>
      </x:c>
      <x:c r="N9" s="37" t="n">
        <x:f>IF(M9&gt;-99.9%,L9/(1+M9),"")</x:f>
        <x:v>758.2840236686392</x:v>
      </x:c>
      <x:c r="O9" s="37" t="n">
        <x:f>IF(N9="","",L9-N9)</x:f>
        <x:v>-245.68402366863916</x:v>
      </x:c>
      <x:c r="P9" s="26" t="n">
        <x:f>K9-M9</x:f>
        <x:v>-0.03259999999999996</x:v>
      </x:c>
      <x:c r="Q9" s="22" t="str">
        <x:f>IF(L9&gt;=100,"Yes","No")</x:f>
        <x:v>Yes</x:v>
      </x:c>
      <x:c r="R9" s="38" t="n">
        <x:v>24</x:v>
      </x:c>
      <x:c r="S9" s="38" t="n">
        <x:v>41</x:v>
      </x:c>
      <x:c r="T9" s="23" t="str">
        <x:v>Source bucket is not Abbott India</x:v>
      </x:c>
    </x:row>
    <x:row r="10">
      <x:c r="A10" s="23" t="str">
        <x:v>Calpol</x:v>
      </x:c>
      <x:c r="B10" s="23" t="str">
        <x:v>GSK</x:v>
      </x:c>
      <x:c r="C10" s="23" t="str">
        <x:v>GSK India</x:v>
      </x:c>
      <x:c r="D10" s="23" t="str">
        <x:v>GSK India</x:v>
      </x:c>
      <x:c r="E10" s="23" t="str">
        <x:v>Yes</x:v>
      </x:c>
      <x:c r="F10" s="23" t="str">
        <x:v>Pain / fever</x:v>
      </x:c>
      <x:c r="G10" s="38" t="n">
        <x:v>22</x:v>
      </x:c>
      <x:c r="H10" s="27" t="n">
        <x:v>50.09</x:v>
      </x:c>
      <x:c r="I10" s="25" t="n">
        <x:v>0.0929</x:v>
      </x:c>
      <x:c r="J10" s="27" t="n">
        <x:v>311.48</x:v>
      </x:c>
      <x:c r="K10" s="25" t="n">
        <x:v>0.1123</x:v>
      </x:c>
      <x:c r="L10" s="27" t="n">
        <x:v>465.74</x:v>
      </x:c>
      <x:c r="M10" s="25" t="n">
        <x:v>0.0929</x:v>
      </x:c>
      <x:c r="N10" s="37" t="n">
        <x:f>IF(M10&gt;-99.9%,L10/(1+M10),"")</x:f>
        <x:v>426.1506084728704</x:v>
      </x:c>
      <x:c r="O10" s="37" t="n">
        <x:f>IF(N10="","",L10-N10)</x:f>
        <x:v>39.589391527129635</x:v>
      </x:c>
      <x:c r="P10" s="26" t="n">
        <x:f>K10-M10</x:f>
        <x:v>0.0194</x:v>
      </x:c>
      <x:c r="Q10" s="22" t="str">
        <x:f>IF(L10&gt;=100,"Yes","No")</x:f>
        <x:v>Yes</x:v>
      </x:c>
      <x:c r="R10" s="38" t="n">
        <x:v>29</x:v>
      </x:c>
      <x:c r="S10" s="38" t="n">
        <x:v>20</x:v>
      </x:c>
      <x:c r="T10" s="23" t="str">
        <x:v>Listed-company proxy</x:v>
      </x:c>
    </x:row>
    <x:row r="11">
      <x:c r="A11" s="23" t="str">
        <x:v>T-Bact</x:v>
      </x:c>
      <x:c r="B11" s="23" t="str">
        <x:v>GSK</x:v>
      </x:c>
      <x:c r="C11" s="23" t="str">
        <x:v>GSK India</x:v>
      </x:c>
      <x:c r="D11" s="23" t="str">
        <x:v>GSK India</x:v>
      </x:c>
      <x:c r="E11" s="23" t="str">
        <x:v>Yes</x:v>
      </x:c>
      <x:c r="F11" s="23" t="str">
        <x:v>Dermatology / anti-infective</x:v>
      </x:c>
      <x:c r="G11" s="38" t="n">
        <x:v>7</x:v>
      </x:c>
      <x:c r="H11" s="27" t="n">
        <x:v>43.02</x:v>
      </x:c>
      <x:c r="I11" s="25" t="n">
        <x:v>0.1222</x:v>
      </x:c>
      <x:c r="J11" s="27" t="n">
        <x:v>312.01</x:v>
      </x:c>
      <x:c r="K11" s="25" t="n">
        <x:v>0.1416</x:v>
      </x:c>
      <x:c r="L11" s="27" t="n">
        <x:v>459.55</x:v>
      </x:c>
      <x:c r="M11" s="25" t="n">
        <x:v>0.1349</x:v>
      </x:c>
      <x:c r="N11" s="37" t="n">
        <x:f>IF(M11&gt;-99.9%,L11/(1+M11),"")</x:f>
        <x:v>404.92554410080186</x:v>
      </x:c>
      <x:c r="O11" s="37" t="n">
        <x:f>IF(N11="","",L11-N11)</x:f>
        <x:v>54.62445589919815</x:v>
      </x:c>
      <x:c r="P11" s="26" t="n">
        <x:f>K11-M11</x:f>
        <x:v>0.0067000000000000115</x:v>
      </x:c>
      <x:c r="Q11" s="22" t="str">
        <x:f>IF(L11&gt;=100,"Yes","No")</x:f>
        <x:v>Yes</x:v>
      </x:c>
      <x:c r="R11" s="38" t="n">
        <x:v>30</x:v>
      </x:c>
      <x:c r="S11" s="38" t="n">
        <x:v>26</x:v>
      </x:c>
      <x:c r="T11" s="23" t="str">
        <x:v>Listed-company proxy</x:v>
      </x:c>
    </x:row>
    <x:row r="12">
      <x:c r="A12" s="23" t="str">
        <x:v>Cremaffin Plus</x:v>
      </x:c>
      <x:c r="B12" s="23" t="str">
        <x:v>ABT</x:v>
      </x:c>
      <x:c r="C12" s="23" t="str">
        <x:v>Abbott India</x:v>
      </x:c>
      <x:c r="D12" s="23" t="str">
        <x:v>Abbott India</x:v>
      </x:c>
      <x:c r="E12" s="23" t="str">
        <x:v>Yes</x:v>
      </x:c>
      <x:c r="F12" s="23" t="str">
        <x:v>Gastrointestinal</x:v>
      </x:c>
      <x:c r="G12" s="38" t="n">
        <x:v>7</x:v>
      </x:c>
      <x:c r="H12" s="27" t="n">
        <x:v>42.11</x:v>
      </x:c>
      <x:c r="I12" s="25" t="n">
        <x:v>0.3</x:v>
      </x:c>
      <x:c r="J12" s="27" t="n">
        <x:v>307.79</x:v>
      </x:c>
      <x:c r="K12" s="25" t="n">
        <x:v>0.2548</x:v>
      </x:c>
      <x:c r="L12" s="27" t="n">
        <x:v>437.49</x:v>
      </x:c>
      <x:c r="M12" s="25" t="n">
        <x:v>0.2165</x:v>
      </x:c>
      <x:c r="N12" s="37" t="n">
        <x:f>IF(M12&gt;-99.9%,L12/(1+M12),"")</x:f>
        <x:v>359.6300863131936</x:v>
      </x:c>
      <x:c r="O12" s="37" t="n">
        <x:f>IF(N12="","",L12-N12)</x:f>
        <x:v>77.85991368680641</x:v>
      </x:c>
      <x:c r="P12" s="26" t="n">
        <x:f>K12-M12</x:f>
        <x:v>0.03830000000000003</x:v>
      </x:c>
      <x:c r="Q12" s="22" t="str">
        <x:f>IF(L12&gt;=100,"Yes","No")</x:f>
        <x:v>Yes</x:v>
      </x:c>
      <x:c r="R12" s="38" t="n">
        <x:v>34</x:v>
      </x:c>
      <x:c r="S12" s="38" t="n">
        <x:v>30</x:v>
      </x:c>
      <x:c r="T12" s="23" t="str">
        <x:v>Confirmed Abbott India brand</x:v>
      </x:c>
    </x:row>
    <x:row r="13">
      <x:c r="A13" s="23" t="str">
        <x:v>Rybelsus</x:v>
      </x:c>
      <x:c r="B13" s="23" t="str">
        <x:v>ABT</x:v>
      </x:c>
      <x:c r="C13" s="23" t="str">
        <x:v>Novo Nordisk</x:v>
      </x:c>
      <x:c r="D13" s="23" t="str">
        <x:v>Excluded</x:v>
      </x:c>
      <x:c r="E13" s="23" t="str">
        <x:v>No</x:v>
      </x:c>
      <x:c r="F13" s="23" t="str">
        <x:v>Diabetes</x:v>
      </x:c>
      <x:c r="G13" s="38" t="n">
        <x:v>4</x:v>
      </x:c>
      <x:c r="H13" s="27" t="n">
        <x:v>24.9</x:v>
      </x:c>
      <x:c r="I13" s="25" t="n">
        <x:v>-0.3629</x:v>
      </x:c>
      <x:c r="J13" s="27" t="n">
        <x:v>238.31</x:v>
      </x:c>
      <x:c r="K13" s="25" t="n">
        <x:v>-0.2924</x:v>
      </x:c>
      <x:c r="L13" s="27" t="n">
        <x:v>385.94</x:v>
      </x:c>
      <x:c r="M13" s="25" t="n">
        <x:v>-0.1983</x:v>
      </x:c>
      <x:c r="N13" s="37" t="n">
        <x:f>IF(M13&gt;-99.9%,L13/(1+M13),"")</x:f>
        <x:v>481.40202070599975</x:v>
      </x:c>
      <x:c r="O13" s="37" t="n">
        <x:f>IF(N13="","",L13-N13)</x:f>
        <x:v>-95.46202070599975</x:v>
      </x:c>
      <x:c r="P13" s="26" t="n">
        <x:f>K13-M13</x:f>
        <x:v>-0.09409999999999999</x:v>
      </x:c>
      <x:c r="Q13" s="22" t="str">
        <x:f>IF(L13&gt;=100,"Yes","No")</x:f>
        <x:v>Yes</x:v>
      </x:c>
      <x:c r="R13" s="38" t="n">
        <x:v>50</x:v>
      </x:c>
      <x:c r="S13" s="38" t="n">
        <x:v>96</x:v>
      </x:c>
      <x:c r="T13" s="23" t="str">
        <x:v>Source bucket is not Abbott India</x:v>
      </x:c>
    </x:row>
    <x:row r="14">
      <x:c r="A14" s="23" t="str">
        <x:v>Novomix</x:v>
      </x:c>
      <x:c r="B14" s="23" t="str">
        <x:v>ABT</x:v>
      </x:c>
      <x:c r="C14" s="23" t="str">
        <x:v>Novo Nordisk</x:v>
      </x:c>
      <x:c r="D14" s="23" t="str">
        <x:v>Excluded</x:v>
      </x:c>
      <x:c r="E14" s="23" t="str">
        <x:v>No</x:v>
      </x:c>
      <x:c r="F14" s="23" t="str">
        <x:v>Diabetes</x:v>
      </x:c>
      <x:c r="G14" s="38" t="n">
        <x:v>7</x:v>
      </x:c>
      <x:c r="H14" s="27" t="n">
        <x:v>27.78</x:v>
      </x:c>
      <x:c r="I14" s="25" t="n">
        <x:v>-0.0884</x:v>
      </x:c>
      <x:c r="J14" s="27" t="n">
        <x:v>224.36</x:v>
      </x:c>
      <x:c r="K14" s="25" t="n">
        <x:v>-0.0596</x:v>
      </x:c>
      <x:c r="L14" s="27" t="n">
        <x:v>341.98</x:v>
      </x:c>
      <x:c r="M14" s="25" t="n">
        <x:v>-0.0595</x:v>
      </x:c>
      <x:c r="N14" s="37" t="n">
        <x:f>IF(M14&gt;-99.9%,L14/(1+M14),"")</x:f>
        <x:v>363.6150983519405</x:v>
      </x:c>
      <x:c r="O14" s="37" t="n">
        <x:f>IF(N14="","",L14-N14)</x:f>
        <x:v>-21.635098351940485</x:v>
      </x:c>
      <x:c r="P14" s="26" t="n">
        <x:f>K14-M14</x:f>
        <x:v>-0.00010000000000000286</x:v>
      </x:c>
      <x:c r="Q14" s="22" t="str">
        <x:f>IF(L14&gt;=100,"Yes","No")</x:f>
        <x:v>Yes</x:v>
      </x:c>
      <x:c r="R14" s="38" t="n">
        <x:v>62</x:v>
      </x:c>
      <x:c r="S14" s="38" t="n">
        <x:v>76</x:v>
      </x:c>
      <x:c r="T14" s="23" t="str">
        <x:v>Source bucket is not Abbott India</x:v>
      </x:c>
    </x:row>
    <x:row r="15">
      <x:c r="A15" s="23" t="str">
        <x:v>Prevenar-13</x:v>
      </x:c>
      <x:c r="B15" s="23" t="str">
        <x:v>PFZ</x:v>
      </x:c>
      <x:c r="C15" s="23" t="str">
        <x:v>Pfizer Limited</x:v>
      </x:c>
      <x:c r="D15" s="23" t="str">
        <x:v>Pfizer Limited</x:v>
      </x:c>
      <x:c r="E15" s="23" t="str">
        <x:v>Yes</x:v>
      </x:c>
      <x:c r="F15" s="23" t="str">
        <x:v>Vaccines</x:v>
      </x:c>
      <x:c r="G15" s="38" t="n">
        <x:v>1</x:v>
      </x:c>
      <x:c r="H15" s="27" t="n">
        <x:v>30.33</x:v>
      </x:c>
      <x:c r="I15" s="25" t="n">
        <x:v>0.1245</x:v>
      </x:c>
      <x:c r="J15" s="27" t="n">
        <x:v>226.84</x:v>
      </x:c>
      <x:c r="K15" s="25" t="n">
        <x:v>-0.071</x:v>
      </x:c>
      <x:c r="L15" s="27" t="n">
        <x:v>341.31</x:v>
      </x:c>
      <x:c r="M15" s="25" t="n">
        <x:v>-0.0333</x:v>
      </x:c>
      <x:c r="N15" s="37" t="n">
        <x:f>IF(M15&gt;-99.9%,L15/(1+M15),"")</x:f>
        <x:v>353.0671356160132</x:v>
      </x:c>
      <x:c r="O15" s="37" t="n">
        <x:f>IF(N15="","",L15-N15)</x:f>
        <x:v>-11.757135616013215</x:v>
      </x:c>
      <x:c r="P15" s="26" t="n">
        <x:f>K15-M15</x:f>
        <x:v>-0.03769999999999999</x:v>
      </x:c>
      <x:c r="Q15" s="22" t="str">
        <x:f>IF(L15&gt;=100,"Yes","No")</x:f>
        <x:v>Yes</x:v>
      </x:c>
      <x:c r="R15" s="38" t="n">
        <x:v>63</x:v>
      </x:c>
      <x:c r="S15" s="38" t="n">
        <x:v>68</x:v>
      </x:c>
      <x:c r="T15" s="23" t="str">
        <x:v>Listed-company brand</x:v>
      </x:c>
    </x:row>
    <x:row r="16">
      <x:c r="A16" s="23" t="str">
        <x:v>Ceftum</x:v>
      </x:c>
      <x:c r="B16" s="23" t="str">
        <x:v>GSK</x:v>
      </x:c>
      <x:c r="C16" s="23" t="str">
        <x:v>GSK India</x:v>
      </x:c>
      <x:c r="D16" s="23" t="str">
        <x:v>GSK India</x:v>
      </x:c>
      <x:c r="E16" s="23" t="str">
        <x:v>Yes</x:v>
      </x:c>
      <x:c r="F16" s="23" t="str">
        <x:v>Anti-infectives</x:v>
      </x:c>
      <x:c r="G16" s="38" t="n">
        <x:v>15</x:v>
      </x:c>
      <x:c r="H16" s="27" t="n">
        <x:v>26.26</x:v>
      </x:c>
      <x:c r="I16" s="25" t="n">
        <x:v>0.0892</x:v>
      </x:c>
      <x:c r="J16" s="27" t="n">
        <x:v>199.25</x:v>
      </x:c>
      <x:c r="K16" s="25" t="n">
        <x:v>0.0498</x:v>
      </x:c>
      <x:c r="L16" s="27" t="n">
        <x:v>302.88</x:v>
      </x:c>
      <x:c r="M16" s="25" t="n">
        <x:v>0.0909</x:v>
      </x:c>
      <x:c r="N16" s="37" t="n">
        <x:f>IF(M16&gt;-99.9%,L16/(1+M16),"")</x:f>
        <x:v>277.6423136859474</x:v>
      </x:c>
      <x:c r="O16" s="37" t="n">
        <x:f>IF(N16="","",L16-N16)</x:f>
        <x:v>25.23768631405261</x:v>
      </x:c>
      <x:c r="P16" s="26" t="n">
        <x:f>K16-M16</x:f>
        <x:v>-0.0411</x:v>
      </x:c>
      <x:c r="Q16" s="22" t="str">
        <x:f>IF(L16&gt;=100,"Yes","No")</x:f>
        <x:v>Yes</x:v>
      </x:c>
      <x:c r="R16" s="38" t="n">
        <x:v>82</x:v>
      </x:c>
      <x:c r="S16" s="38" t="n">
        <x:v>87</x:v>
      </x:c>
      <x:c r="T16" s="23" t="str">
        <x:v>Listed-company proxy</x:v>
      </x:c>
    </x:row>
    <x:row r="17">
      <x:c r="A17" s="23" t="str">
        <x:v>Eliquis</x:v>
      </x:c>
      <x:c r="B17" s="23" t="str">
        <x:v>PFZ</x:v>
      </x:c>
      <x:c r="C17" s="23" t="str">
        <x:v>Pfizer Limited</x:v>
      </x:c>
      <x:c r="D17" s="23" t="str">
        <x:v>Pfizer Limited</x:v>
      </x:c>
      <x:c r="E17" s="23" t="str">
        <x:v>Yes</x:v>
      </x:c>
      <x:c r="F17" s="23" t="str">
        <x:v>Cardiovascular</x:v>
      </x:c>
      <x:c r="G17" s="38" t="n">
        <x:v>4</x:v>
      </x:c>
      <x:c r="H17" s="27" t="n">
        <x:v>23.53</x:v>
      </x:c>
      <x:c r="I17" s="25" t="n">
        <x:v>0.0334</x:v>
      </x:c>
      <x:c r="J17" s="27" t="n">
        <x:v>204.12</x:v>
      </x:c>
      <x:c r="K17" s="25" t="n">
        <x:v>0.2423</x:v>
      </x:c>
      <x:c r="L17" s="27" t="n">
        <x:v>298.11</x:v>
      </x:c>
      <x:c r="M17" s="25" t="n">
        <x:v>0.289</x:v>
      </x:c>
      <x:c r="N17" s="37" t="n">
        <x:f>IF(M17&gt;-99.9%,L17/(1+M17),"")</x:f>
        <x:v>231.27230411171453</x:v>
      </x:c>
      <x:c r="O17" s="37" t="n">
        <x:f>IF(N17="","",L17-N17)</x:f>
        <x:v>66.83769588828548</x:v>
      </x:c>
      <x:c r="P17" s="26" t="n">
        <x:f>K17-M17</x:f>
        <x:v>-0.04669999999999999</x:v>
      </x:c>
      <x:c r="Q17" s="22" t="str">
        <x:f>IF(L17&gt;=100,"Yes","No")</x:f>
        <x:v>Yes</x:v>
      </x:c>
      <x:c r="R17" s="38" t="n">
        <x:v>85</x:v>
      </x:c>
      <x:c r="S17" s="38" t="n">
        <x:v>110</x:v>
      </x:c>
      <x:c r="T17" s="23" t="str">
        <x:v>Listed-company brand</x:v>
      </x:c>
    </x:row>
    <x:row r="18">
      <x:c r="A18" s="23" t="str">
        <x:v>Betnovate-N</x:v>
      </x:c>
      <x:c r="B18" s="23" t="str">
        <x:v>GSK</x:v>
      </x:c>
      <x:c r="C18" s="23" t="str">
        <x:v>GSK India</x:v>
      </x:c>
      <x:c r="D18" s="23" t="str">
        <x:v>GSK India</x:v>
      </x:c>
      <x:c r="E18" s="23" t="str">
        <x:v>Yes</x:v>
      </x:c>
      <x:c r="F18" s="23" t="str">
        <x:v>Dermatology</x:v>
      </x:c>
      <x:c r="G18" s="38" t="n">
        <x:v>5</x:v>
      </x:c>
      <x:c r="H18" s="27" t="n">
        <x:v>26.85</x:v>
      </x:c>
      <x:c r="I18" s="25" t="n">
        <x:v>0.1204</x:v>
      </x:c>
      <x:c r="J18" s="27" t="n">
        <x:v>191.09</x:v>
      </x:c>
      <x:c r="K18" s="25" t="n">
        <x:v>0.1418</x:v>
      </x:c>
      <x:c r="L18" s="27" t="n">
        <x:v>280.68</x:v>
      </x:c>
      <x:c r="M18" s="25" t="n">
        <x:v>0.1116</x:v>
      </x:c>
      <x:c r="N18" s="37" t="n">
        <x:f>IF(M18&gt;-99.9%,L18/(1+M18),"")</x:f>
        <x:v>252.50089960417418</x:v>
      </x:c>
      <x:c r="O18" s="37" t="n">
        <x:f>IF(N18="","",L18-N18)</x:f>
        <x:v>28.179100395825827</x:v>
      </x:c>
      <x:c r="P18" s="26" t="n">
        <x:f>K18-M18</x:f>
        <x:v>0.030200000000000005</x:v>
      </x:c>
      <x:c r="Q18" s="22" t="str">
        <x:f>IF(L18&gt;=100,"Yes","No")</x:f>
        <x:v>Yes</x:v>
      </x:c>
      <x:c r="R18" s="38" t="n">
        <x:v>99</x:v>
      </x:c>
      <x:c r="S18" s="38" t="n">
        <x:v>79</x:v>
      </x:c>
      <x:c r="T18" s="23" t="str">
        <x:v>Listed-company proxy</x:v>
      </x:c>
    </x:row>
    <x:row r="19">
      <x:c r="A19" s="23" t="str">
        <x:v>Becosules</x:v>
      </x:c>
      <x:c r="B19" s="23" t="str">
        <x:v>PFZ</x:v>
      </x:c>
      <x:c r="C19" s="23" t="str">
        <x:v>Pfizer Limited</x:v>
      </x:c>
      <x:c r="D19" s="23" t="str">
        <x:v>Pfizer Limited</x:v>
      </x:c>
      <x:c r="E19" s="23" t="str">
        <x:v>Yes</x:v>
      </x:c>
      <x:c r="F19" s="23" t="str">
        <x:v>Vitamins / supplements</x:v>
      </x:c>
      <x:c r="G19" s="38" t="n">
        <x:v>10</x:v>
      </x:c>
      <x:c r="H19" s="27" t="n">
        <x:v>23.11</x:v>
      </x:c>
      <x:c r="I19" s="25" t="n">
        <x:v>-0.1831</x:v>
      </x:c>
      <x:c r="J19" s="27" t="n">
        <x:v>188.59</x:v>
      </x:c>
      <x:c r="K19" s="25" t="n">
        <x:v>-0.0219</x:v>
      </x:c>
      <x:c r="L19" s="27" t="n">
        <x:v>279.82</x:v>
      </x:c>
      <x:c r="M19" s="25" t="n">
        <x:v>0.007</x:v>
      </x:c>
      <x:c r="N19" s="37" t="n">
        <x:f>IF(M19&gt;-99.9%,L19/(1+M19),"")</x:f>
        <x:v>277.8748758689176</x:v>
      </x:c>
      <x:c r="O19" s="37" t="n">
        <x:f>IF(N19="","",L19-N19)</x:f>
        <x:v>1.9451241310823661</x:v>
      </x:c>
      <x:c r="P19" s="26" t="n">
        <x:f>K19-M19</x:f>
        <x:v>-0.0289</x:v>
      </x:c>
      <x:c r="Q19" s="22" t="str">
        <x:f>IF(L19&gt;=100,"Yes","No")</x:f>
        <x:v>Yes</x:v>
      </x:c>
      <x:c r="R19" s="38" t="n">
        <x:v>100</x:v>
      </x:c>
      <x:c r="S19" s="38" t="n">
        <x:v>116</x:v>
      </x:c>
      <x:c r="T19" s="23" t="str">
        <x:v>Listed-company brand</x:v>
      </x:c>
    </x:row>
    <x:row r="20">
      <x:c r="A20" s="23" t="str">
        <x:v>Novo Rapid</x:v>
      </x:c>
      <x:c r="B20" s="23" t="str">
        <x:v>ABT</x:v>
      </x:c>
      <x:c r="C20" s="23" t="str">
        <x:v>Novo Nordisk</x:v>
      </x:c>
      <x:c r="D20" s="23" t="str">
        <x:v>Excluded</x:v>
      </x:c>
      <x:c r="E20" s="23" t="str">
        <x:v>No</x:v>
      </x:c>
      <x:c r="F20" s="23" t="str">
        <x:v>Diabetes</x:v>
      </x:c>
      <x:c r="G20" s="38" t="n">
        <x:v>5</x:v>
      </x:c>
      <x:c r="H20" s="27" t="n">
        <x:v>23.36</x:v>
      </x:c>
      <x:c r="I20" s="25" t="n">
        <x:v>0.064</x:v>
      </x:c>
      <x:c r="J20" s="27" t="n">
        <x:v>184.31</x:v>
      </x:c>
      <x:c r="K20" s="25" t="n">
        <x:v>0.0567</x:v>
      </x:c>
      <x:c r="L20" s="27" t="n">
        <x:v>273.86</x:v>
      </x:c>
      <x:c r="M20" s="25" t="n">
        <x:v>0.0483</x:v>
      </x:c>
      <x:c r="N20" s="37" t="n">
        <x:f>IF(M20&gt;-99.9%,L20/(1+M20),"")</x:f>
        <x:v>261.2420108747496</x:v>
      </x:c>
      <x:c r="O20" s="37" t="n">
        <x:f>IF(N20="","",L20-N20)</x:f>
        <x:v>12.617989125250404</x:v>
      </x:c>
      <x:c r="P20" s="26" t="n">
        <x:f>K20-M20</x:f>
        <x:v>0.008399999999999998</x:v>
      </x:c>
      <x:c r="Q20" s="22" t="str">
        <x:f>IF(L20&gt;=100,"Yes","No")</x:f>
        <x:v>Yes</x:v>
      </x:c>
      <x:c r="R20" s="38" t="n">
        <x:v>105</x:v>
      </x:c>
      <x:c r="S20" s="38" t="n">
        <x:v>114</x:v>
      </x:c>
      <x:c r="T20" s="23" t="str">
        <x:v>Source bucket is not Abbott India</x:v>
      </x:c>
    </x:row>
    <x:row r="21">
      <x:c r="A21" s="23" t="str">
        <x:v>Eltroxin</x:v>
      </x:c>
      <x:c r="B21" s="23" t="str">
        <x:v>GSK</x:v>
      </x:c>
      <x:c r="C21" s="23" t="str">
        <x:v>GSK India</x:v>
      </x:c>
      <x:c r="D21" s="23" t="str">
        <x:v>GSK India</x:v>
      </x:c>
      <x:c r="E21" s="23" t="str">
        <x:v>Yes</x:v>
      </x:c>
      <x:c r="F21" s="23" t="str">
        <x:v>Thyroid</x:v>
      </x:c>
      <x:c r="G21" s="38" t="n">
        <x:v>19</x:v>
      </x:c>
      <x:c r="H21" s="27" t="n">
        <x:v>21.75</x:v>
      </x:c>
      <x:c r="I21" s="25" t="n">
        <x:v>-0.0345</x:v>
      </x:c>
      <x:c r="J21" s="27" t="n">
        <x:v>180.92</x:v>
      </x:c>
      <x:c r="K21" s="25" t="n">
        <x:v>0.0215</x:v>
      </x:c>
      <x:c r="L21" s="27" t="n">
        <x:v>271.53</x:v>
      </x:c>
      <x:c r="M21" s="25" t="n">
        <x:v>0.0437</x:v>
      </x:c>
      <x:c r="N21" s="37" t="n">
        <x:f>IF(M21&gt;-99.9%,L21/(1+M21),"")</x:f>
        <x:v>260.1609657947686</x:v>
      </x:c>
      <x:c r="O21" s="37" t="n">
        <x:f>IF(N21="","",L21-N21)</x:f>
        <x:v>11.3690342052314</x:v>
      </x:c>
      <x:c r="P21" s="26" t="n">
        <x:f>K21-M21</x:f>
        <x:v>-0.022200000000000004</x:v>
      </x:c>
      <x:c r="Q21" s="22" t="str">
        <x:f>IF(L21&gt;=100,"Yes","No")</x:f>
        <x:v>Yes</x:v>
      </x:c>
      <x:c r="R21" s="38" t="n">
        <x:v>107</x:v>
      </x:c>
      <x:c r="S21" s="38" t="n">
        <x:v>131</x:v>
      </x:c>
      <x:c r="T21" s="23" t="str">
        <x:v>Listed-company proxy</x:v>
      </x:c>
    </x:row>
    <x:row r="22">
      <x:c r="A22" s="23" t="str">
        <x:v>Digene</x:v>
      </x:c>
      <x:c r="B22" s="23" t="str">
        <x:v>ABT</x:v>
      </x:c>
      <x:c r="C22" s="23" t="str">
        <x:v>Abbott India</x:v>
      </x:c>
      <x:c r="D22" s="23" t="str">
        <x:v>Abbott India</x:v>
      </x:c>
      <x:c r="E22" s="23" t="str">
        <x:v>Yes</x:v>
      </x:c>
      <x:c r="F22" s="23" t="str">
        <x:v>Gastrointestinal</x:v>
      </x:c>
      <x:c r="G22" s="38" t="n">
        <x:v>65</x:v>
      </x:c>
      <x:c r="H22" s="27" t="n">
        <x:v>23.84</x:v>
      </x:c>
      <x:c r="I22" s="25" t="n">
        <x:v>0.2203</x:v>
      </x:c>
      <x:c r="J22" s="27" t="n">
        <x:v>185.81</x:v>
      </x:c>
      <x:c r="K22" s="25" t="n">
        <x:v>0.1471</x:v>
      </x:c>
      <x:c r="L22" s="27" t="n">
        <x:v>270.61</x:v>
      </x:c>
      <x:c r="M22" s="25" t="n">
        <x:v>0.1101</x:v>
      </x:c>
      <x:c r="N22" s="37" t="n">
        <x:f>IF(M22&gt;-99.9%,L22/(1+M22),"")</x:f>
        <x:v>243.77083145662553</x:v>
      </x:c>
      <x:c r="O22" s="37" t="n">
        <x:f>IF(N22="","",L22-N22)</x:f>
        <x:v>26.839168543374484</x:v>
      </x:c>
      <x:c r="P22" s="26" t="n">
        <x:f>K22-M22</x:f>
        <x:v>0.037000000000000005</x:v>
      </x:c>
      <x:c r="Q22" s="22" t="str">
        <x:f>IF(L22&gt;=100,"Yes","No")</x:f>
        <x:v>Yes</x:v>
      </x:c>
      <x:c r="R22" s="38" t="n">
        <x:v>108</x:v>
      </x:c>
      <x:c r="S22" s="38" t="n">
        <x:v>106</x:v>
      </x:c>
      <x:c r="T22" s="23" t="str">
        <x:v>Confirmed Abbott India brand</x:v>
      </x:c>
    </x:row>
    <x:row r="23">
      <x:c r="A23" s="23" t="str">
        <x:v>Betnovate-C</x:v>
      </x:c>
      <x:c r="B23" s="23" t="str">
        <x:v>GSK</x:v>
      </x:c>
      <x:c r="C23" s="23" t="str">
        <x:v>GSK India</x:v>
      </x:c>
      <x:c r="D23" s="23" t="str">
        <x:v>GSK India</x:v>
      </x:c>
      <x:c r="E23" s="23" t="str">
        <x:v>Yes</x:v>
      </x:c>
      <x:c r="F23" s="23" t="str">
        <x:v>Dermatology</x:v>
      </x:c>
      <x:c r="G23" s="38" t="n">
        <x:v>4</x:v>
      </x:c>
      <x:c r="H23" s="27" t="n">
        <x:v>17.98</x:v>
      </x:c>
      <x:c r="I23" s="25" t="n">
        <x:v>0.2027</x:v>
      </x:c>
      <x:c r="J23" s="27" t="n">
        <x:v>174.75</x:v>
      </x:c>
      <x:c r="K23" s="25" t="n">
        <x:v>0.0742</x:v>
      </x:c>
      <x:c r="L23" s="27" t="n">
        <x:v>269.65</x:v>
      </x:c>
      <x:c r="M23" s="25" t="n">
        <x:v>0.0415</x:v>
      </x:c>
      <x:c r="N23" s="37" t="n">
        <x:f>IF(M23&gt;-99.9%,L23/(1+M23),"")</x:f>
        <x:v>258.9054248679788</x:v>
      </x:c>
      <x:c r="O23" s="37" t="n">
        <x:f>IF(N23="","",L23-N23)</x:f>
        <x:v>10.744575132021168</x:v>
      </x:c>
      <x:c r="P23" s="26" t="n">
        <x:f>K23-M23</x:f>
        <x:v>0.0327</x:v>
      </x:c>
      <x:c r="Q23" s="22" t="str">
        <x:f>IF(L23&gt;=100,"Yes","No")</x:f>
        <x:v>Yes</x:v>
      </x:c>
      <x:c r="R23" s="38" t="n">
        <x:v>110</x:v>
      </x:c>
      <x:c r="S23" s="38" t="n">
        <x:v>181</x:v>
      </x:c>
      <x:c r="T23" s="23" t="str">
        <x:v>Listed-company proxy</x:v>
      </x:c>
    </x:row>
    <x:row r="24">
      <x:c r="A24" s="23" t="str">
        <x:v>Neosporin</x:v>
      </x:c>
      <x:c r="B24" s="23" t="str">
        <x:v>GSK</x:v>
      </x:c>
      <x:c r="C24" s="23" t="str">
        <x:v>GSK India</x:v>
      </x:c>
      <x:c r="D24" s="23" t="str">
        <x:v>GSK India</x:v>
      </x:c>
      <x:c r="E24" s="23" t="str">
        <x:v>Yes</x:v>
      </x:c>
      <x:c r="F24" s="23" t="str">
        <x:v>Dermatology / anti-infective</x:v>
      </x:c>
      <x:c r="G24" s="38" t="n">
        <x:v>11</x:v>
      </x:c>
      <x:c r="H24" s="27" t="n">
        <x:v>23.9</x:v>
      </x:c>
      <x:c r="I24" s="25" t="n">
        <x:v>0.1375</x:v>
      </x:c>
      <x:c r="J24" s="27" t="n">
        <x:v>173.34</x:v>
      </x:c>
      <x:c r="K24" s="25" t="n">
        <x:v>0.2</x:v>
      </x:c>
      <x:c r="L24" s="27" t="n">
        <x:v>255.5</x:v>
      </x:c>
      <x:c r="M24" s="25" t="n">
        <x:v>0.1724</x:v>
      </x:c>
      <x:c r="N24" s="37" t="n">
        <x:f>IF(M24&gt;-99.9%,L24/(1+M24),"")</x:f>
        <x:v>217.92903445922892</x:v>
      </x:c>
      <x:c r="O24" s="37" t="n">
        <x:f>IF(N24="","",L24-N24)</x:f>
        <x:v>37.570965540771084</x:v>
      </x:c>
      <x:c r="P24" s="26" t="n">
        <x:f>K24-M24</x:f>
        <x:v>0.027600000000000013</x:v>
      </x:c>
      <x:c r="Q24" s="22" t="str">
        <x:f>IF(L24&gt;=100,"Yes","No")</x:f>
        <x:v>Yes</x:v>
      </x:c>
      <x:c r="R24" s="38" t="n">
        <x:v>122</x:v>
      </x:c>
      <x:c r="S24" s="38" t="n">
        <x:v>105</x:v>
      </x:c>
      <x:c r="T24" s="23" t="str">
        <x:v>Listed-company proxy</x:v>
      </x:c>
    </x:row>
    <x:row r="25">
      <x:c r="A25" s="23" t="str">
        <x:v>Minipress-XL</x:v>
      </x:c>
      <x:c r="B25" s="23" t="str">
        <x:v>PFZ</x:v>
      </x:c>
      <x:c r="C25" s="23" t="str">
        <x:v>Pfizer Limited</x:v>
      </x:c>
      <x:c r="D25" s="23" t="str">
        <x:v>Pfizer Limited</x:v>
      </x:c>
      <x:c r="E25" s="23" t="str">
        <x:v>Yes</x:v>
      </x:c>
      <x:c r="F25" s="23" t="str">
        <x:v>Cardiovascular</x:v>
      </x:c>
      <x:c r="G25" s="38" t="n">
        <x:v>7</x:v>
      </x:c>
      <x:c r="H25" s="27" t="n">
        <x:v>21.96</x:v>
      </x:c>
      <x:c r="I25" s="25" t="n">
        <x:v>-0.0749</x:v>
      </x:c>
      <x:c r="J25" s="27" t="n">
        <x:v>156.2</x:v>
      </x:c>
      <x:c r="K25" s="25" t="n">
        <x:v>-0.1411</x:v>
      </x:c>
      <x:c r="L25" s="27" t="n">
        <x:v>250.74</x:v>
      </x:c>
      <x:c r="M25" s="25" t="n">
        <x:v>-0.0412</x:v>
      </x:c>
      <x:c r="N25" s="37" t="n">
        <x:f>IF(M25&gt;-99.9%,L25/(1+M25),"")</x:f>
        <x:v>261.51439299123905</x:v>
      </x:c>
      <x:c r="O25" s="37" t="n">
        <x:f>IF(N25="","",L25-N25)</x:f>
        <x:v>-10.77439299123904</x:v>
      </x:c>
      <x:c r="P25" s="26" t="n">
        <x:f>K25-M25</x:f>
        <x:v>-0.0999</x:v>
      </x:c>
      <x:c r="Q25" s="22" t="str">
        <x:f>IF(L25&gt;=100,"Yes","No")</x:f>
        <x:v>Yes</x:v>
      </x:c>
      <x:c r="R25" s="38" t="n">
        <x:v>126</x:v>
      </x:c>
      <x:c r="S25" s="38" t="n">
        <x:v>127</x:v>
      </x:c>
      <x:c r="T25" s="23" t="str">
        <x:v>Listed-company brand</x:v>
      </x:c>
    </x:row>
    <x:row r="26">
      <x:c r="A26" s="23" t="str">
        <x:v>Tresiba</x:v>
      </x:c>
      <x:c r="B26" s="23" t="str">
        <x:v>ABT</x:v>
      </x:c>
      <x:c r="C26" s="23" t="str">
        <x:v>Novo Nordisk</x:v>
      </x:c>
      <x:c r="D26" s="23" t="str">
        <x:v>Excluded</x:v>
      </x:c>
      <x:c r="E26" s="23" t="str">
        <x:v>No</x:v>
      </x:c>
      <x:c r="F26" s="23" t="str">
        <x:v>Diabetes</x:v>
      </x:c>
      <x:c r="G26" s="38" t="n">
        <x:v>2</x:v>
      </x:c>
      <x:c r="H26" s="27" t="n">
        <x:v>21.33</x:v>
      </x:c>
      <x:c r="I26" s="25" t="n">
        <x:v>0.1083</x:v>
      </x:c>
      <x:c r="J26" s="27" t="n">
        <x:v>162.53</x:v>
      </x:c>
      <x:c r="K26" s="25" t="n">
        <x:v>0.0972</x:v>
      </x:c>
      <x:c r="L26" s="27" t="n">
        <x:v>239.64</x:v>
      </x:c>
      <x:c r="M26" s="25" t="n">
        <x:v>0.1033</x:v>
      </x:c>
      <x:c r="N26" s="37" t="n">
        <x:f>IF(M26&gt;-99.9%,L26/(1+M26),"")</x:f>
        <x:v>217.2029366446116</x:v>
      </x:c>
      <x:c r="O26" s="37" t="n">
        <x:f>IF(N26="","",L26-N26)</x:f>
        <x:v>22.437063355388375</x:v>
      </x:c>
      <x:c r="P26" s="26" t="n">
        <x:f>K26-M26</x:f>
        <x:v>-0.006100000000000008</x:v>
      </x:c>
      <x:c r="Q26" s="22" t="str">
        <x:f>IF(L26&gt;=100,"Yes","No")</x:f>
        <x:v>Yes</x:v>
      </x:c>
      <x:c r="R26" s="38" t="n">
        <x:v>135</x:v>
      </x:c>
      <x:c r="S26" s="38" t="n">
        <x:v>135</x:v>
      </x:c>
      <x:c r="T26" s="23" t="str">
        <x:v>Source bucket is not Abbott India</x:v>
      </x:c>
    </x:row>
    <x:row r="27">
      <x:c r="A27" s="23" t="str">
        <x:v>Infanrix Hexa</x:v>
      </x:c>
      <x:c r="B27" s="23" t="str">
        <x:v>GSK</x:v>
      </x:c>
      <x:c r="C27" s="23" t="str">
        <x:v>GSK India</x:v>
      </x:c>
      <x:c r="D27" s="23" t="str">
        <x:v>GSK India</x:v>
      </x:c>
      <x:c r="E27" s="23" t="str">
        <x:v>Yes</x:v>
      </x:c>
      <x:c r="F27" s="23" t="str">
        <x:v>Vaccines</x:v>
      </x:c>
      <x:c r="G27" s="38" t="n">
        <x:v>1</x:v>
      </x:c>
      <x:c r="H27" s="27" t="n">
        <x:v>15.07</x:v>
      </x:c>
      <x:c r="I27" s="25" t="n">
        <x:v>0.1264</x:v>
      </x:c>
      <x:c r="J27" s="27" t="n">
        <x:v>147.88</x:v>
      </x:c>
      <x:c r="K27" s="25" t="n">
        <x:v>0.2224</x:v>
      </x:c>
      <x:c r="L27" s="27" t="n">
        <x:v>213.43</x:v>
      </x:c>
      <x:c r="M27" s="25" t="n">
        <x:v>0.1741</x:v>
      </x:c>
      <x:c r="N27" s="37" t="n">
        <x:f>IF(M27&gt;-99.9%,L27/(1+M27),"")</x:f>
        <x:v>181.78179030746958</x:v>
      </x:c>
      <x:c r="O27" s="37" t="n">
        <x:f>IF(N27="","",L27-N27)</x:f>
        <x:v>31.64820969253043</x:v>
      </x:c>
      <x:c r="P27" s="26" t="n">
        <x:f>K27-M27</x:f>
        <x:v>0.04829999999999998</x:v>
      </x:c>
      <x:c r="Q27" s="22" t="str">
        <x:f>IF(L27&gt;=100,"Yes","No")</x:f>
        <x:v>Yes</x:v>
      </x:c>
      <x:c r="R27" s="38" t="n">
        <x:v>159</x:v>
      </x:c>
      <x:c r="S27" s="38" t="n">
        <x:v>229</x:v>
      </x:c>
      <x:c r="T27" s="23" t="str">
        <x:v>Listed-company proxy</x:v>
      </x:c>
    </x:row>
    <x:row r="28">
      <x:c r="A28" s="23" t="str">
        <x:v>Mucaine</x:v>
      </x:c>
      <x:c r="B28" s="23" t="str">
        <x:v>PFZ</x:v>
      </x:c>
      <x:c r="C28" s="23" t="str">
        <x:v>Pfizer Limited</x:v>
      </x:c>
      <x:c r="D28" s="23" t="str">
        <x:v>Pfizer Limited</x:v>
      </x:c>
      <x:c r="E28" s="23" t="str">
        <x:v>Yes</x:v>
      </x:c>
      <x:c r="F28" s="23" t="str">
        <x:v>Gastrointestinal</x:v>
      </x:c>
      <x:c r="G28" s="38" t="n">
        <x:v>10</x:v>
      </x:c>
      <x:c r="H28" s="27" t="n">
        <x:v>21.28</x:v>
      </x:c>
      <x:c r="I28" s="25" t="n">
        <x:v>-0.017</x:v>
      </x:c>
      <x:c r="J28" s="27" t="n">
        <x:v>142.7</x:v>
      </x:c>
      <x:c r="K28" s="25" t="n">
        <x:v>0.0953</x:v>
      </x:c>
      <x:c r="L28" s="27" t="n">
        <x:v>211.9</x:v>
      </x:c>
      <x:c r="M28" s="25" t="n">
        <x:v>0.1637</x:v>
      </x:c>
      <x:c r="N28" s="37" t="n">
        <x:f>IF(M28&gt;-99.9%,L28/(1+M28),"")</x:f>
        <x:v>182.09160436538627</x:v>
      </x:c>
      <x:c r="O28" s="37" t="n">
        <x:f>IF(N28="","",L28-N28)</x:f>
        <x:v>29.80839563461373</x:v>
      </x:c>
      <x:c r="P28" s="26" t="n">
        <x:f>K28-M28</x:f>
        <x:v>-0.06840000000000002</x:v>
      </x:c>
      <x:c r="Q28" s="22" t="str">
        <x:f>IF(L28&gt;=100,"Yes","No")</x:f>
        <x:v>Yes</x:v>
      </x:c>
      <x:c r="R28" s="38" t="n">
        <x:v>162</x:v>
      </x:c>
      <x:c r="S28" s="38" t="n">
        <x:v>138</x:v>
      </x:c>
      <x:c r="T28" s="23" t="str">
        <x:v>Listed-company brand</x:v>
      </x:c>
    </x:row>
    <x:row r="29">
      <x:c r="A29" s="23" t="str">
        <x:v>Cremaffin</x:v>
      </x:c>
      <x:c r="B29" s="23" t="str">
        <x:v>ABT</x:v>
      </x:c>
      <x:c r="C29" s="23" t="str">
        <x:v>Abbott India</x:v>
      </x:c>
      <x:c r="D29" s="23" t="str">
        <x:v>Abbott India</x:v>
      </x:c>
      <x:c r="E29" s="23" t="str">
        <x:v>Yes</x:v>
      </x:c>
      <x:c r="F29" s="23" t="str">
        <x:v>Gastrointestinal</x:v>
      </x:c>
      <x:c r="G29" s="38" t="n">
        <x:v>17</x:v>
      </x:c>
      <x:c r="H29" s="27" t="n">
        <x:v>16.51</x:v>
      </x:c>
      <x:c r="I29" s="25" t="n">
        <x:v>0.2</x:v>
      </x:c>
      <x:c r="J29" s="27" t="n">
        <x:v>132.45</x:v>
      </x:c>
      <x:c r="K29" s="25" t="n">
        <x:v>0.181</x:v>
      </x:c>
      <x:c r="L29" s="27" t="n">
        <x:v>189.81</x:v>
      </x:c>
      <x:c r="M29" s="25" t="n">
        <x:v>0.1288</x:v>
      </x:c>
      <x:c r="N29" s="37" t="n">
        <x:f>IF(M29&gt;-99.9%,L29/(1+M29),"")</x:f>
        <x:v>168.15201984408222</x:v>
      </x:c>
      <x:c r="O29" s="37" t="n">
        <x:f>IF(N29="","",L29-N29)</x:f>
        <x:v>21.657980155917784</x:v>
      </x:c>
      <x:c r="P29" s="26" t="n">
        <x:f>K29-M29</x:f>
        <x:v>0.052199999999999996</x:v>
      </x:c>
      <x:c r="Q29" s="22" t="str">
        <x:f>IF(L29&gt;=100,"Yes","No")</x:f>
        <x:v>Yes</x:v>
      </x:c>
      <x:c r="R29" s="38" t="n">
        <x:v>187</x:v>
      </x:c>
      <x:c r="S29" s="38" t="n">
        <x:v>196</x:v>
      </x:c>
      <x:c r="T29" s="23" t="str">
        <x:v>Confirmed Abbott India brand</x:v>
      </x:c>
    </x:row>
    <x:row r="30">
      <x:c r="A30" s="23" t="str">
        <x:v>Wegovy</x:v>
      </x:c>
      <x:c r="B30" s="23" t="str">
        <x:v>ABT</x:v>
      </x:c>
      <x:c r="C30" s="23" t="str">
        <x:v>Novo Nordisk</x:v>
      </x:c>
      <x:c r="D30" s="23" t="str">
        <x:v>Excluded</x:v>
      </x:c>
      <x:c r="E30" s="23" t="str">
        <x:v>No</x:v>
      </x:c>
      <x:c r="F30" s="23" t="str">
        <x:v>Obesity</x:v>
      </x:c>
      <x:c r="G30" s="38" t="n">
        <x:v>5</x:v>
      </x:c>
      <x:c r="H30" s="27" t="n">
        <x:v>18.44</x:v>
      </x:c>
      <x:c r="I30" s="25" t="n">
        <x:v>1.1061</x:v>
      </x:c>
      <x:c r="J30" s="27" t="n">
        <x:v>128.16</x:v>
      </x:c>
      <x:c r="K30" s="25" t="n">
        <x:v>5.1847</x:v>
      </x:c>
      <x:c r="L30" s="27" t="n">
        <x:v>183.06</x:v>
      </x:c>
      <x:c r="M30" s="25" t="n">
        <x:v>7.834</x:v>
      </x:c>
      <x:c r="N30" s="37" t="n">
        <x:f>IF(M30&gt;-99.9%,L30/(1+M30),"")</x:f>
        <x:v>20.72220964455513</x:v>
      </x:c>
      <x:c r="O30" s="37" t="n">
        <x:f>IF(N30="","",L30-N30)</x:f>
        <x:v>162.33779035544487</x:v>
      </x:c>
      <x:c r="P30" s="26" t="n">
        <x:f>K30-M30</x:f>
        <x:v>-2.6492999999999993</x:v>
      </x:c>
      <x:c r="Q30" s="22" t="str">
        <x:f>IF(L30&gt;=100,"Yes","No")</x:f>
        <x:v>Yes</x:v>
      </x:c>
      <x:c r="R30" s="38" t="n">
        <x:v>198</x:v>
      </x:c>
      <x:c r="S30" s="38" t="n">
        <x:v>178</x:v>
      </x:c>
      <x:c r="T30" s="23" t="str">
        <x:v>Source bucket is not Abbott India</x:v>
      </x:c>
    </x:row>
    <x:row r="31">
      <x:c r="A31" s="23" t="str">
        <x:v>CCM</x:v>
      </x:c>
      <x:c r="B31" s="23" t="str">
        <x:v>GSK</x:v>
      </x:c>
      <x:c r="C31" s="23" t="str">
        <x:v>GSK India</x:v>
      </x:c>
      <x:c r="D31" s="23" t="str">
        <x:v>GSK India</x:v>
      </x:c>
      <x:c r="E31" s="23" t="str">
        <x:v>Yes</x:v>
      </x:c>
      <x:c r="F31" s="23" t="str">
        <x:v>Bone health / supplements</x:v>
      </x:c>
      <x:c r="G31" s="38" t="n">
        <x:v>2</x:v>
      </x:c>
      <x:c r="H31" s="27" t="n">
        <x:v>16.28</x:v>
      </x:c>
      <x:c r="I31" s="25" t="n">
        <x:v>0.0884</x:v>
      </x:c>
      <x:c r="J31" s="27" t="n">
        <x:v>118.4</x:v>
      </x:c>
      <x:c r="K31" s="25" t="n">
        <x:v>0.0739</x:v>
      </x:c>
      <x:c r="L31" s="27" t="n">
        <x:v>178.09</x:v>
      </x:c>
      <x:c r="M31" s="25" t="n">
        <x:v>0.0859</x:v>
      </x:c>
      <x:c r="N31" s="37" t="n">
        <x:f>IF(M31&gt;-99.9%,L31/(1+M31),"")</x:f>
        <x:v>164.0022101482641</x:v>
      </x:c>
      <x:c r="O31" s="37" t="n">
        <x:f>IF(N31="","",L31-N31)</x:f>
        <x:v>14.087789851735891</x:v>
      </x:c>
      <x:c r="P31" s="26" t="n">
        <x:f>K31-M31</x:f>
        <x:v>-0.01200000000000001</x:v>
      </x:c>
      <x:c r="Q31" s="22" t="str">
        <x:f>IF(L31&gt;=100,"Yes","No")</x:f>
        <x:v>Yes</x:v>
      </x:c>
      <x:c r="R31" s="38" t="n">
        <x:v>208</x:v>
      </x:c>
      <x:c r="S31" s="38" t="n">
        <x:v>201</x:v>
      </x:c>
      <x:c r="T31" s="23" t="str">
        <x:v>Listed-company proxy</x:v>
      </x:c>
    </x:row>
    <x:row r="32">
      <x:c r="A32" s="23" t="str">
        <x:v>Similac</x:v>
      </x:c>
      <x:c r="B32" s="23" t="str">
        <x:v>ABT</x:v>
      </x:c>
      <x:c r="C32" s="23" t="str">
        <x:v>Abbott group / unclear</x:v>
      </x:c>
      <x:c r="D32" s="23" t="str">
        <x:v>Excluded</x:v>
      </x:c>
      <x:c r="E32" s="23" t="str">
        <x:v>No</x:v>
      </x:c>
      <x:c r="F32" s="23" t="str">
        <x:v>Nutrition</x:v>
      </x:c>
      <x:c r="G32" s="38" t="n">
        <x:v>16</x:v>
      </x:c>
      <x:c r="H32" s="27" t="n">
        <x:v>13</x:v>
      </x:c>
      <x:c r="I32" s="25" t="n">
        <x:v>-0.0721</x:v>
      </x:c>
      <x:c r="J32" s="27" t="n">
        <x:v>102</x:v>
      </x:c>
      <x:c r="K32" s="25" t="n">
        <x:v>-0.1085</x:v>
      </x:c>
      <x:c r="L32" s="27" t="n">
        <x:v>155</x:v>
      </x:c>
      <x:c r="M32" s="25" t="n">
        <x:v>-0.1231</x:v>
      </x:c>
      <x:c r="N32" s="37" t="n">
        <x:f>IF(M32&gt;-99.9%,L32/(1+M32),"")</x:f>
        <x:v>176.7590375185312</x:v>
      </x:c>
      <x:c r="O32" s="37" t="n">
        <x:f>IF(N32="","",L32-N32)</x:f>
        <x:v>-21.759037518531187</x:v>
      </x:c>
      <x:c r="P32" s="26" t="n">
        <x:f>K32-M32</x:f>
        <x:v>0.014600000000000002</x:v>
      </x:c>
      <x:c r="Q32" s="22" t="str">
        <x:f>IF(L32&gt;=100,"Yes","No")</x:f>
        <x:v>Yes</x:v>
      </x:c>
      <x:c r="R32" s="38" t="n">
        <x:v>242</x:v>
      </x:c>
      <x:c r="S32" s="38" t="n">
        <x:v>273</x:v>
      </x:c>
      <x:c r="T32" s="23" t="str">
        <x:v>Listed entity not verified</x:v>
      </x:c>
    </x:row>
    <x:row r="33">
      <x:c r="A33" s="23" t="str">
        <x:v>Actrapid</x:v>
      </x:c>
      <x:c r="B33" s="23" t="str">
        <x:v>ABT</x:v>
      </x:c>
      <x:c r="C33" s="23" t="str">
        <x:v>Novo Nordisk</x:v>
      </x:c>
      <x:c r="D33" s="23" t="str">
        <x:v>Excluded</x:v>
      </x:c>
      <x:c r="E33" s="23" t="str">
        <x:v>No</x:v>
      </x:c>
      <x:c r="F33" s="23" t="str">
        <x:v>Diabetes</x:v>
      </x:c>
      <x:c r="G33" s="38" t="n">
        <x:v>7</x:v>
      </x:c>
      <x:c r="H33" s="27" t="n">
        <x:v>13</x:v>
      </x:c>
      <x:c r="I33" s="25" t="n">
        <x:v>-0.3468</x:v>
      </x:c>
      <x:c r="J33" s="27" t="n">
        <x:v>97</x:v>
      </x:c>
      <x:c r="K33" s="25" t="n">
        <x:v>-0.3671</x:v>
      </x:c>
      <x:c r="L33" s="27" t="n">
        <x:v>153</x:v>
      </x:c>
      <x:c r="M33" s="25" t="n">
        <x:v>-0.3581</x:v>
      </x:c>
      <x:c r="N33" s="37" t="n">
        <x:f>IF(M33&gt;-99.9%,L33/(1+M33),"")</x:f>
        <x:v>238.35488393830815</x:v>
      </x:c>
      <x:c r="O33" s="37" t="n">
        <x:f>IF(N33="","",L33-N33)</x:f>
        <x:v>-85.35488393830815</x:v>
      </x:c>
      <x:c r="P33" s="26" t="n">
        <x:f>K33-M33</x:f>
        <x:v>-0.009000000000000008</x:v>
      </x:c>
      <x:c r="Q33" s="22" t="str">
        <x:f>IF(L33&gt;=100,"Yes","No")</x:f>
        <x:v>Yes</x:v>
      </x:c>
      <x:c r="R33" s="38" t="n">
        <x:v>244</x:v>
      </x:c>
      <x:c r="S33" s="38" t="n">
        <x:v>287</x:v>
      </x:c>
      <x:c r="T33" s="23" t="str">
        <x:v>Source bucket is not Abbott India</x:v>
      </x:c>
    </x:row>
    <x:row r="34">
      <x:c r="A34" s="23" t="str">
        <x:v>Fiasp</x:v>
      </x:c>
      <x:c r="B34" s="23" t="str">
        <x:v>ABT</x:v>
      </x:c>
      <x:c r="C34" s="23" t="str">
        <x:v>Novo Nordisk</x:v>
      </x:c>
      <x:c r="D34" s="23" t="str">
        <x:v>Excluded</x:v>
      </x:c>
      <x:c r="E34" s="23" t="str">
        <x:v>No</x:v>
      </x:c>
      <x:c r="F34" s="23" t="str">
        <x:v>Diabetes</x:v>
      </x:c>
      <x:c r="G34" s="38" t="n">
        <x:v>5</x:v>
      </x:c>
      <x:c r="H34" s="27" t="n">
        <x:v>14</x:v>
      </x:c>
      <x:c r="I34" s="25" t="n">
        <x:v>0.2708</x:v>
      </x:c>
      <x:c r="J34" s="27" t="n">
        <x:v>104</x:v>
      </x:c>
      <x:c r="K34" s="25" t="n">
        <x:v>0.2775</x:v>
      </x:c>
      <x:c r="L34" s="27" t="n">
        <x:v>150</x:v>
      </x:c>
      <x:c r="M34" s="25" t="n">
        <x:v>0.2735</x:v>
      </x:c>
      <x:c r="N34" s="37" t="n">
        <x:f>IF(M34&gt;-99.9%,L34/(1+M34),"")</x:f>
        <x:v>117.78563015312132</x:v>
      </x:c>
      <x:c r="O34" s="37" t="n">
        <x:f>IF(N34="","",L34-N34)</x:f>
        <x:v>32.21436984687868</x:v>
      </x:c>
      <x:c r="P34" s="26" t="n">
        <x:f>K34-M34</x:f>
        <x:v>0.0040000000000000036</x:v>
      </x:c>
      <x:c r="Q34" s="22" t="str">
        <x:f>IF(L34&gt;=100,"Yes","No")</x:f>
        <x:v>Yes</x:v>
      </x:c>
      <x:c r="R34" s="38" t="n">
        <x:v>250</x:v>
      </x:c>
      <x:c r="S34" s="38" t="n">
        <x:v>248</x:v>
      </x:c>
      <x:c r="T34" s="23" t="str">
        <x:v>Source bucket is not Abbott India</x:v>
      </x:c>
    </x:row>
    <x:row r="35">
      <x:c r="A35" s="23" t="str">
        <x:v>Betnesol</x:v>
      </x:c>
      <x:c r="B35" s="23" t="str">
        <x:v>GSK</x:v>
      </x:c>
      <x:c r="C35" s="23" t="str">
        <x:v>GSK India</x:v>
      </x:c>
      <x:c r="D35" s="23" t="str">
        <x:v>GSK India</x:v>
      </x:c>
      <x:c r="E35" s="23" t="str">
        <x:v>Yes</x:v>
      </x:c>
      <x:c r="F35" s="23" t="str">
        <x:v>Corticosteroids / anti-inflammatory</x:v>
      </x:c>
      <x:c r="G35" s="38" t="n">
        <x:v>17</x:v>
      </x:c>
      <x:c r="H35" s="27" t="n">
        <x:v>11</x:v>
      </x:c>
      <x:c r="I35" s="25" t="n">
        <x:v>-0.0673</x:v>
      </x:c>
      <x:c r="J35" s="27" t="n">
        <x:v>88</x:v>
      </x:c>
      <x:c r="K35" s="25" t="n">
        <x:v>0.0759</x:v>
      </x:c>
      <x:c r="L35" s="27" t="n">
        <x:v>138</x:v>
      </x:c>
      <x:c r="M35" s="25" t="n">
        <x:v>0.0871</x:v>
      </x:c>
      <x:c r="N35" s="37" t="n">
        <x:f>IF(M35&gt;-99.9%,L35/(1+M35),"")</x:f>
        <x:v>126.94324349185908</x:v>
      </x:c>
      <x:c r="O35" s="37" t="n">
        <x:f>IF(N35="","",L35-N35)</x:f>
        <x:v>11.056756508140921</x:v>
      </x:c>
      <x:c r="P35" s="26" t="n">
        <x:f>K35-M35</x:f>
        <x:v>-0.011200000000000002</x:v>
      </x:c>
      <x:c r="Q35" s="22" t="str">
        <x:f>IF(L35&gt;=100,"Yes","No")</x:f>
        <x:v>Yes</x:v>
      </x:c>
      <x:c r="R35" s="38" t="n">
        <x:v>279</x:v>
      </x:c>
      <x:c r="S35" s="38" t="n">
        <x:v>334</x:v>
      </x:c>
      <x:c r="T35" s="23" t="str">
        <x:v>Listed-company proxy</x:v>
      </x:c>
    </x:row>
    <x:row r="36">
      <x:c r="A36" s="23" t="str">
        <x:v>Gelusil-MPS</x:v>
      </x:c>
      <x:c r="B36" s="23" t="str">
        <x:v>PFZ</x:v>
      </x:c>
      <x:c r="C36" s="23" t="str">
        <x:v>Pfizer Limited</x:v>
      </x:c>
      <x:c r="D36" s="23" t="str">
        <x:v>Pfizer Limited</x:v>
      </x:c>
      <x:c r="E36" s="23" t="str">
        <x:v>Yes</x:v>
      </x:c>
      <x:c r="F36" s="23" t="str">
        <x:v>Gastrointestinal</x:v>
      </x:c>
      <x:c r="G36" s="38" t="n">
        <x:v>40</x:v>
      </x:c>
      <x:c r="H36" s="27" t="n">
        <x:v>15</x:v>
      </x:c>
      <x:c r="I36" s="25" t="n">
        <x:v>0.2481</x:v>
      </x:c>
      <x:c r="J36" s="27" t="n">
        <x:v>91</x:v>
      </x:c>
      <x:c r="K36" s="25" t="n">
        <x:v>0.0521</x:v>
      </x:c>
      <x:c r="L36" s="27" t="n">
        <x:v>133</x:v>
      </x:c>
      <x:c r="M36" s="25" t="n">
        <x:v>0.0769</x:v>
      </x:c>
      <x:c r="N36" s="37" t="n">
        <x:f>IF(M36&gt;-99.9%,L36/(1+M36),"")</x:f>
        <x:v>123.50264648528183</x:v>
      </x:c>
      <x:c r="O36" s="37" t="n">
        <x:f>IF(N36="","",L36-N36)</x:f>
        <x:v>9.49735351471817</x:v>
      </x:c>
      <x:c r="P36" s="26" t="n">
        <x:f>K36-M36</x:f>
        <x:v>-0.024799999999999996</x:v>
      </x:c>
      <x:c r="Q36" s="22" t="str">
        <x:f>IF(L36&gt;=100,"Yes","No")</x:f>
        <x:v>Yes</x:v>
      </x:c>
      <x:c r="R36" s="38" t="n">
        <x:v>295</x:v>
      </x:c>
      <x:c r="S36" s="38" t="n">
        <x:v>232</x:v>
      </x:c>
      <x:c r="T36" s="23" t="str">
        <x:v>Listed-company brand</x:v>
      </x:c>
    </x:row>
  </x:sheetData>
  <x:conditionalFormatting sqref="M6:M36">
    <x:cfRule type="colorScale" priority="1">
      <x:colorScale>
        <x:cfvo type="min"/>
        <x:cfvo type="percentile" val="50"/>
        <x:cfvo type="max"/>
        <x:color rgb="FFB33A3A"/>
        <x:color rgb="FFFFF1D6"/>
        <x:color rgb="FF1B7F5C"/>
      </x:colorScale>
    </x:cfRule>
  </x:conditionalFormatting>
  <x:conditionalFormatting sqref="P6:P36">
    <x:cfRule type="colorScale" priority="2">
      <x:colorScale>
        <x:cfvo type="min"/>
        <x:cfvo type="percentile" val="50"/>
        <x:cfvo type="max"/>
        <x:color rgb="FFB33A3A"/>
        <x:color rgb="FFF3F4F6"/>
        <x:color rgb="FF1B7F5C"/>
      </x:colorScale>
    </x:cfRule>
  </x:conditionalFormatting>
  <x:conditionalFormatting sqref="E6:E36">
    <x:cfRule type="containsText" dxfId="0" priority="3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bba1e6e18eee4d39"/>
  </x:tableParts>
</x:worksheet>
</file>

<file path=xl/worksheets/sheet5.xml><?xml version="1.0" encoding="utf-8"?>
<x:worksheet xmlns:x="http://schemas.openxmlformats.org/spreadsheetml/2006/main">
  <x:sheetPr>
    <x:tabColor rgb="FF1F8A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2">
      <x:c r="A2" s="55" t="str">
        <x:v>Therapy mix and growth contribution</x:v>
      </x:c>
      <x:c r="B2" s="56"/>
      <x:c r="C2" s="56"/>
      <x:c r="D2" s="56"/>
      <x:c r="E2" s="56"/>
      <x:c r="F2" s="56"/>
      <x:c r="G2" s="56"/>
      <x:c r="H2" s="56"/>
      <x:c r="I2" s="56"/>
      <x:c r="J2" s="56"/>
    </x:row>
    <x:row r="3">
      <x:c r="A3" s="57" t="str">
        <x:v>Clean target-company view based on the disclosed Aug-26 product subset. TTM values in ₹ crore.</x:v>
      </x:c>
      <x:c r="B3" s="57"/>
      <x:c r="C3" s="57"/>
      <x:c r="D3" s="57"/>
      <x:c r="E3" s="57"/>
      <x:c r="F3" s="57"/>
      <x:c r="G3" s="57"/>
      <x:c r="H3" s="57"/>
      <x:c r="I3" s="57"/>
      <x:c r="J3" s="57"/>
    </x:row>
    <x:row r="4">
      <x:c r="A4" s="58"/>
      <x:c r="B4" s="58"/>
      <x:c r="C4" s="58"/>
      <x:c r="D4" s="58"/>
      <x:c r="E4" s="58"/>
      <x:c r="F4" s="58"/>
      <x:c r="G4" s="58"/>
      <x:c r="H4" s="58"/>
      <x:c r="I4" s="58"/>
      <x:c r="J4" s="58"/>
    </x:row>
    <x:row r="5">
      <x:c r="A5" s="18" t="str">
        <x:v>Company</x:v>
      </x:c>
      <x:c r="B5" s="19" t="str">
        <x:v>Therapy</x:v>
      </x:c>
      <x:c r="C5" s="19" t="str">
        <x:v>Brands</x:v>
      </x:c>
      <x:c r="D5" s="19" t="str">
        <x:v>Aug-26 sales</x:v>
      </x:c>
      <x:c r="E5" s="19" t="str">
        <x:v>YTD-26 sales</x:v>
      </x:c>
      <x:c r="F5" s="19" t="str">
        <x:v>TTM sales</x:v>
      </x:c>
      <x:c r="G5" s="19" t="str">
        <x:v>Prior TTM sales</x:v>
      </x:c>
      <x:c r="H5" s="19" t="str">
        <x:v>Growth contribution</x:v>
      </x:c>
      <x:c r="I5" s="19" t="str">
        <x:v>Implied TTM growth</x:v>
      </x:c>
      <x:c r="J5" s="20" t="str">
        <x:v>Company disclosed mix</x:v>
      </x:c>
    </x:row>
    <x:row r="6">
      <x:c r="A6" s="22" t="str">
        <x:v>Abbott India</x:v>
      </x:c>
      <x:c r="B6" s="22" t="str">
        <x:v>Gastrointestinal</x:v>
      </x:c>
      <x:c r="C6" s="39" t="n">
        <x:f>COUNTIFS('Brand Portfolio'!$D$6:$D$36,A6,'Brand Portfolio'!$F$6:$F$36,B6,'Brand Portfolio'!$E$6:$E$36,"Yes")</x:f>
        <x:v>3</x:v>
      </x:c>
      <x:c r="D6" s="37" t="n">
        <x:f>SUMIFS('Brand Portfolio'!$H$6:$H$36,'Brand Portfolio'!$D$6:$D$36,A6,'Brand Portfolio'!$F$6:$F$36,B6,'Brand Portfolio'!$E$6:$E$36,"Yes")</x:f>
        <x:v>82.46000000000001</x:v>
      </x:c>
      <x:c r="E6" s="37" t="n">
        <x:f>SUMIFS('Brand Portfolio'!$J$6:$J$36,'Brand Portfolio'!$D$6:$D$36,A6,'Brand Portfolio'!$F$6:$F$36,B6,'Brand Portfolio'!$E$6:$E$36,"Yes")</x:f>
        <x:v>626.05</x:v>
      </x:c>
      <x:c r="F6" s="37" t="n">
        <x:f>SUMIFS('Brand Portfolio'!$L$6:$L$36,'Brand Portfolio'!$D$6:$D$36,A6,'Brand Portfolio'!$F$6:$F$36,B6,'Brand Portfolio'!$E$6:$E$36,"Yes")</x:f>
        <x:v>897.9100000000001</x:v>
      </x:c>
      <x:c r="G6" s="37" t="n">
        <x:f>SUMIFS('Brand Portfolio'!$N$6:$N$36,'Brand Portfolio'!$D$6:$D$36,A6,'Brand Portfolio'!$F$6:$F$36,B6,'Brand Portfolio'!$E$6:$E$36,"Yes")</x:f>
        <x:v>771.5529376139013</x:v>
      </x:c>
      <x:c r="H6" s="37" t="n">
        <x:f>F6-G6</x:f>
        <x:v>126.35706238609873</x:v>
      </x:c>
      <x:c r="I6" s="26" t="n">
        <x:f>IF(G6=0,"",F6/G6-1)</x:f>
        <x:v>0.1637697897656505</x:v>
      </x:c>
      <x:c r="J6" s="26" t="n">
        <x:f>F6/SUMIFS($F$6:$F$19,$A$6:$A$19,A6)</x:f>
        <x:v>0.5303066991891047</x:v>
      </x:c>
    </x:row>
    <x:row r="7">
      <x:c r="A7" s="22" t="str">
        <x:v>Abbott India</x:v>
      </x:c>
      <x:c r="B7" s="22" t="str">
        <x:v>Thyroid</x:v>
      </x:c>
      <x:c r="C7" s="39" t="n">
        <x:f>COUNTIFS('Brand Portfolio'!$D$6:$D$36,A7,'Brand Portfolio'!$F$6:$F$36,B7,'Brand Portfolio'!$E$6:$E$36,"Yes")</x:f>
        <x:v>1</x:v>
      </x:c>
      <x:c r="D7" s="37" t="n">
        <x:f>SUMIFS('Brand Portfolio'!$H$6:$H$36,'Brand Portfolio'!$D$6:$D$36,A7,'Brand Portfolio'!$F$6:$F$36,B7,'Brand Portfolio'!$E$6:$E$36,"Yes")</x:f>
        <x:v>63.86</x:v>
      </x:c>
      <x:c r="E7" s="37" t="n">
        <x:f>SUMIFS('Brand Portfolio'!$J$6:$J$36,'Brand Portfolio'!$D$6:$D$36,A7,'Brand Portfolio'!$F$6:$F$36,B7,'Brand Portfolio'!$E$6:$E$36,"Yes")</x:f>
        <x:v>535.51</x:v>
      </x:c>
      <x:c r="F7" s="37" t="n">
        <x:f>SUMIFS('Brand Portfolio'!$L$6:$L$36,'Brand Portfolio'!$D$6:$D$36,A7,'Brand Portfolio'!$F$6:$F$36,B7,'Brand Portfolio'!$E$6:$E$36,"Yes")</x:f>
        <x:v>795.28</x:v>
      </x:c>
      <x:c r="G7" s="37" t="n">
        <x:f>SUMIFS('Brand Portfolio'!$N$6:$N$36,'Brand Portfolio'!$D$6:$D$36,A7,'Brand Portfolio'!$F$6:$F$36,B7,'Brand Portfolio'!$E$6:$E$36,"Yes")</x:f>
        <x:v>705.0354609929077</x:v>
      </x:c>
      <x:c r="H7" s="37" t="n">
        <x:f>F7-G7</x:f>
        <x:v>90.24453900709227</x:v>
      </x:c>
      <x:c r="I7" s="26" t="n">
        <x:f>IF(G7=0,"",F7/G7-1)</x:f>
        <x:v>0.1280000000000001</x:v>
      </x:c>
      <x:c r="J7" s="26" t="n">
        <x:f>F7/SUMIFS($F$6:$F$19,$A$6:$A$19,A7)</x:f>
        <x:v>0.4696933008108954</x:v>
      </x:c>
    </x:row>
    <x:row r="8">
      <x:c r="A8" s="22" t="str">
        <x:v>GSK India</x:v>
      </x:c>
      <x:c r="B8" s="22" t="str">
        <x:v>Anti-infectives</x:v>
      </x:c>
      <x:c r="C8" s="39" t="n">
        <x:f>COUNTIFS('Brand Portfolio'!$D$6:$D$36,A8,'Brand Portfolio'!$F$6:$F$36,B8,'Brand Portfolio'!$E$6:$E$36,"Yes")</x:f>
        <x:v>2</x:v>
      </x:c>
      <x:c r="D8" s="37" t="n">
        <x:f>SUMIFS('Brand Portfolio'!$H$6:$H$36,'Brand Portfolio'!$D$6:$D$36,A8,'Brand Portfolio'!$F$6:$F$36,B8,'Brand Portfolio'!$E$6:$E$36,"Yes")</x:f>
        <x:v>125.52000000000001</x:v>
      </x:c>
      <x:c r="E8" s="37" t="n">
        <x:f>SUMIFS('Brand Portfolio'!$J$6:$J$36,'Brand Portfolio'!$D$6:$D$36,A8,'Brand Portfolio'!$F$6:$F$36,B8,'Brand Portfolio'!$E$6:$E$36,"Yes")</x:f>
        <x:v>842.84</x:v>
      </x:c>
      <x:c r="F8" s="37" t="n">
        <x:f>SUMIFS('Brand Portfolio'!$L$6:$L$36,'Brand Portfolio'!$D$6:$D$36,A8,'Brand Portfolio'!$F$6:$F$36,B8,'Brand Portfolio'!$E$6:$E$36,"Yes")</x:f>
        <x:v>1286.58</x:v>
      </x:c>
      <x:c r="G8" s="37" t="n">
        <x:f>SUMIFS('Brand Portfolio'!$N$6:$N$36,'Brand Portfolio'!$D$6:$D$36,A8,'Brand Portfolio'!$F$6:$F$36,B8,'Brand Portfolio'!$E$6:$E$36,"Yes")</x:f>
        <x:v>1155.2406721478976</x:v>
      </x:c>
      <x:c r="H8" s="37" t="n">
        <x:f>F8-G8</x:f>
        <x:v>131.33932785210231</x:v>
      </x:c>
      <x:c r="I8" s="26" t="n">
        <x:f>IF(G8=0,"",F8/G8-1)</x:f>
        <x:v>0.11369001370762666</x:v>
      </x:c>
      <x:c r="J8" s="26" t="n">
        <x:f>F8/SUMIFS($F$6:$F$19,$A$6:$A$19,A8)</x:f>
        <x:v>0.33691129296235683</x:v>
      </x:c>
    </x:row>
    <x:row r="9">
      <x:c r="A9" s="22" t="str">
        <x:v>GSK India</x:v>
      </x:c>
      <x:c r="B9" s="22" t="str">
        <x:v>Bone health / supplements</x:v>
      </x:c>
      <x:c r="C9" s="39" t="n">
        <x:f>COUNTIFS('Brand Portfolio'!$D$6:$D$36,A9,'Brand Portfolio'!$F$6:$F$36,B9,'Brand Portfolio'!$E$6:$E$36,"Yes")</x:f>
        <x:v>1</x:v>
      </x:c>
      <x:c r="D9" s="37" t="n">
        <x:f>SUMIFS('Brand Portfolio'!$H$6:$H$36,'Brand Portfolio'!$D$6:$D$36,A9,'Brand Portfolio'!$F$6:$F$36,B9,'Brand Portfolio'!$E$6:$E$36,"Yes")</x:f>
        <x:v>16.28</x:v>
      </x:c>
      <x:c r="E9" s="37" t="n">
        <x:f>SUMIFS('Brand Portfolio'!$J$6:$J$36,'Brand Portfolio'!$D$6:$D$36,A9,'Brand Portfolio'!$F$6:$F$36,B9,'Brand Portfolio'!$E$6:$E$36,"Yes")</x:f>
        <x:v>118.4</x:v>
      </x:c>
      <x:c r="F9" s="37" t="n">
        <x:f>SUMIFS('Brand Portfolio'!$L$6:$L$36,'Brand Portfolio'!$D$6:$D$36,A9,'Brand Portfolio'!$F$6:$F$36,B9,'Brand Portfolio'!$E$6:$E$36,"Yes")</x:f>
        <x:v>178.09</x:v>
      </x:c>
      <x:c r="G9" s="37" t="n">
        <x:f>SUMIFS('Brand Portfolio'!$N$6:$N$36,'Brand Portfolio'!$D$6:$D$36,A9,'Brand Portfolio'!$F$6:$F$36,B9,'Brand Portfolio'!$E$6:$E$36,"Yes")</x:f>
        <x:v>164.0022101482641</x:v>
      </x:c>
      <x:c r="H9" s="37" t="n">
        <x:f>F9-G9</x:f>
        <x:v>14.087789851735891</x:v>
      </x:c>
      <x:c r="I9" s="26" t="n">
        <x:f>IF(G9=0,"",F9/G9-1)</x:f>
        <x:v>0.08590000000000009</x:v>
      </x:c>
      <x:c r="J9" s="26" t="n">
        <x:f>F9/SUMIFS($F$6:$F$19,$A$6:$A$19,A9)</x:f>
        <x:v>0.04663567921440263</x:v>
      </x:c>
    </x:row>
    <x:row r="10">
      <x:c r="A10" s="22" t="str">
        <x:v>GSK India</x:v>
      </x:c>
      <x:c r="B10" s="22" t="str">
        <x:v>Corticosteroids / anti-inflammatory</x:v>
      </x:c>
      <x:c r="C10" s="39" t="n">
        <x:f>COUNTIFS('Brand Portfolio'!$D$6:$D$36,A10,'Brand Portfolio'!$F$6:$F$36,B10,'Brand Portfolio'!$E$6:$E$36,"Yes")</x:f>
        <x:v>1</x:v>
      </x:c>
      <x:c r="D10" s="37" t="n">
        <x:f>SUMIFS('Brand Portfolio'!$H$6:$H$36,'Brand Portfolio'!$D$6:$D$36,A10,'Brand Portfolio'!$F$6:$F$36,B10,'Brand Portfolio'!$E$6:$E$36,"Yes")</x:f>
        <x:v>11</x:v>
      </x:c>
      <x:c r="E10" s="37" t="n">
        <x:f>SUMIFS('Brand Portfolio'!$J$6:$J$36,'Brand Portfolio'!$D$6:$D$36,A10,'Brand Portfolio'!$F$6:$F$36,B10,'Brand Portfolio'!$E$6:$E$36,"Yes")</x:f>
        <x:v>88</x:v>
      </x:c>
      <x:c r="F10" s="37" t="n">
        <x:f>SUMIFS('Brand Portfolio'!$L$6:$L$36,'Brand Portfolio'!$D$6:$D$36,A10,'Brand Portfolio'!$F$6:$F$36,B10,'Brand Portfolio'!$E$6:$E$36,"Yes")</x:f>
        <x:v>138</x:v>
      </x:c>
      <x:c r="G10" s="37" t="n">
        <x:f>SUMIFS('Brand Portfolio'!$N$6:$N$36,'Brand Portfolio'!$D$6:$D$36,A10,'Brand Portfolio'!$F$6:$F$36,B10,'Brand Portfolio'!$E$6:$E$36,"Yes")</x:f>
        <x:v>126.94324349185908</x:v>
      </x:c>
      <x:c r="H10" s="37" t="n">
        <x:f>F10-G10</x:f>
        <x:v>11.056756508140921</x:v>
      </x:c>
      <x:c r="I10" s="26" t="n">
        <x:f>IF(G10=0,"",F10/G10-1)</x:f>
        <x:v>0.08709999999999996</x:v>
      </x:c>
      <x:c r="J10" s="26" t="n">
        <x:f>F10/SUMIFS($F$6:$F$19,$A$6:$A$19,A10)</x:f>
        <x:v>0.036137479541734865</x:v>
      </x:c>
    </x:row>
    <x:row r="11">
      <x:c r="A11" s="22" t="str">
        <x:v>GSK India</x:v>
      </x:c>
      <x:c r="B11" s="22" t="str">
        <x:v>Dermatology</x:v>
      </x:c>
      <x:c r="C11" s="39" t="n">
        <x:f>COUNTIFS('Brand Portfolio'!$D$6:$D$36,A11,'Brand Portfolio'!$F$6:$F$36,B11,'Brand Portfolio'!$E$6:$E$36,"Yes")</x:f>
        <x:v>2</x:v>
      </x:c>
      <x:c r="D11" s="37" t="n">
        <x:f>SUMIFS('Brand Portfolio'!$H$6:$H$36,'Brand Portfolio'!$D$6:$D$36,A11,'Brand Portfolio'!$F$6:$F$36,B11,'Brand Portfolio'!$E$6:$E$36,"Yes")</x:f>
        <x:v>44.83</x:v>
      </x:c>
      <x:c r="E11" s="37" t="n">
        <x:f>SUMIFS('Brand Portfolio'!$J$6:$J$36,'Brand Portfolio'!$D$6:$D$36,A11,'Brand Portfolio'!$F$6:$F$36,B11,'Brand Portfolio'!$E$6:$E$36,"Yes")</x:f>
        <x:v>365.84000000000003</x:v>
      </x:c>
      <x:c r="F11" s="37" t="n">
        <x:f>SUMIFS('Brand Portfolio'!$L$6:$L$36,'Brand Portfolio'!$D$6:$D$36,A11,'Brand Portfolio'!$F$6:$F$36,B11,'Brand Portfolio'!$E$6:$E$36,"Yes")</x:f>
        <x:v>550.3299999999999</x:v>
      </x:c>
      <x:c r="G11" s="37" t="n">
        <x:f>SUMIFS('Brand Portfolio'!$N$6:$N$36,'Brand Portfolio'!$D$6:$D$36,A11,'Brand Portfolio'!$F$6:$F$36,B11,'Brand Portfolio'!$E$6:$E$36,"Yes")</x:f>
        <x:v>511.40632447215296</x:v>
      </x:c>
      <x:c r="H11" s="37" t="n">
        <x:f>F11-G11</x:f>
        <x:v>38.92367552784697</x:v>
      </x:c>
      <x:c r="I11" s="26" t="n">
        <x:f>IF(G11=0,"",F11/G11-1)</x:f>
        <x:v>0.07611105624871173</x:v>
      </x:c>
      <x:c r="J11" s="26" t="n">
        <x:f>F11/SUMIFS($F$6:$F$19,$A$6:$A$19,A11)</x:f>
        <x:v>0.1441126022913257</x:v>
      </x:c>
    </x:row>
    <x:row r="12">
      <x:c r="A12" s="22" t="str">
        <x:v>GSK India</x:v>
      </x:c>
      <x:c r="B12" s="22" t="str">
        <x:v>Dermatology / anti-infective</x:v>
      </x:c>
      <x:c r="C12" s="39" t="n">
        <x:f>COUNTIFS('Brand Portfolio'!$D$6:$D$36,A12,'Brand Portfolio'!$F$6:$F$36,B12,'Brand Portfolio'!$E$6:$E$36,"Yes")</x:f>
        <x:v>2</x:v>
      </x:c>
      <x:c r="D12" s="37" t="n">
        <x:f>SUMIFS('Brand Portfolio'!$H$6:$H$36,'Brand Portfolio'!$D$6:$D$36,A12,'Brand Portfolio'!$F$6:$F$36,B12,'Brand Portfolio'!$E$6:$E$36,"Yes")</x:f>
        <x:v>66.92</x:v>
      </x:c>
      <x:c r="E12" s="37" t="n">
        <x:f>SUMIFS('Brand Portfolio'!$J$6:$J$36,'Brand Portfolio'!$D$6:$D$36,A12,'Brand Portfolio'!$F$6:$F$36,B12,'Brand Portfolio'!$E$6:$E$36,"Yes")</x:f>
        <x:v>485.35</x:v>
      </x:c>
      <x:c r="F12" s="37" t="n">
        <x:f>SUMIFS('Brand Portfolio'!$L$6:$L$36,'Brand Portfolio'!$D$6:$D$36,A12,'Brand Portfolio'!$F$6:$F$36,B12,'Brand Portfolio'!$E$6:$E$36,"Yes")</x:f>
        <x:v>715.05</x:v>
      </x:c>
      <x:c r="G12" s="37" t="n">
        <x:f>SUMIFS('Brand Portfolio'!$N$6:$N$36,'Brand Portfolio'!$D$6:$D$36,A12,'Brand Portfolio'!$F$6:$F$36,B12,'Brand Portfolio'!$E$6:$E$36,"Yes")</x:f>
        <x:v>622.8545785600307</x:v>
      </x:c>
      <x:c r="H12" s="37" t="n">
        <x:f>F12-G12</x:f>
        <x:v>92.19542143996921</x:v>
      </x:c>
      <x:c r="I12" s="26" t="n">
        <x:f>IF(G12=0,"",F12/G12-1)</x:f>
        <x:v>0.14802078143683972</x:v>
      </x:c>
      <x:c r="J12" s="26" t="n">
        <x:f>F12/SUMIFS($F$6:$F$19,$A$6:$A$19,A12)</x:f>
        <x:v>0.18724713584288052</x:v>
      </x:c>
    </x:row>
    <x:row r="13">
      <x:c r="A13" s="22" t="str">
        <x:v>GSK India</x:v>
      </x:c>
      <x:c r="B13" s="22" t="str">
        <x:v>Pain / fever</x:v>
      </x:c>
      <x:c r="C13" s="39" t="n">
        <x:f>COUNTIFS('Brand Portfolio'!$D$6:$D$36,A13,'Brand Portfolio'!$F$6:$F$36,B13,'Brand Portfolio'!$E$6:$E$36,"Yes")</x:f>
        <x:v>1</x:v>
      </x:c>
      <x:c r="D13" s="37" t="n">
        <x:f>SUMIFS('Brand Portfolio'!$H$6:$H$36,'Brand Portfolio'!$D$6:$D$36,A13,'Brand Portfolio'!$F$6:$F$36,B13,'Brand Portfolio'!$E$6:$E$36,"Yes")</x:f>
        <x:v>50.09</x:v>
      </x:c>
      <x:c r="E13" s="37" t="n">
        <x:f>SUMIFS('Brand Portfolio'!$J$6:$J$36,'Brand Portfolio'!$D$6:$D$36,A13,'Brand Portfolio'!$F$6:$F$36,B13,'Brand Portfolio'!$E$6:$E$36,"Yes")</x:f>
        <x:v>311.48</x:v>
      </x:c>
      <x:c r="F13" s="37" t="n">
        <x:f>SUMIFS('Brand Portfolio'!$L$6:$L$36,'Brand Portfolio'!$D$6:$D$36,A13,'Brand Portfolio'!$F$6:$F$36,B13,'Brand Portfolio'!$E$6:$E$36,"Yes")</x:f>
        <x:v>465.74</x:v>
      </x:c>
      <x:c r="G13" s="37" t="n">
        <x:f>SUMIFS('Brand Portfolio'!$N$6:$N$36,'Brand Portfolio'!$D$6:$D$36,A13,'Brand Portfolio'!$F$6:$F$36,B13,'Brand Portfolio'!$E$6:$E$36,"Yes")</x:f>
        <x:v>426.1506084728704</x:v>
      </x:c>
      <x:c r="H13" s="37" t="n">
        <x:f>F13-G13</x:f>
        <x:v>39.589391527129635</x:v>
      </x:c>
      <x:c r="I13" s="26" t="n">
        <x:f>IF(G13=0,"",F13/G13-1)</x:f>
        <x:v>0.09289999999999998</x:v>
      </x:c>
      <x:c r="J13" s="26" t="n">
        <x:f>F13/SUMIFS($F$6:$F$19,$A$6:$A$19,A13)</x:f>
        <x:v>0.12196137479541737</x:v>
      </x:c>
    </x:row>
    <x:row r="14">
      <x:c r="A14" s="22" t="str">
        <x:v>GSK India</x:v>
      </x:c>
      <x:c r="B14" s="22" t="str">
        <x:v>Thyroid</x:v>
      </x:c>
      <x:c r="C14" s="39" t="n">
        <x:f>COUNTIFS('Brand Portfolio'!$D$6:$D$36,A14,'Brand Portfolio'!$F$6:$F$36,B14,'Brand Portfolio'!$E$6:$E$36,"Yes")</x:f>
        <x:v>1</x:v>
      </x:c>
      <x:c r="D14" s="37" t="n">
        <x:f>SUMIFS('Brand Portfolio'!$H$6:$H$36,'Brand Portfolio'!$D$6:$D$36,A14,'Brand Portfolio'!$F$6:$F$36,B14,'Brand Portfolio'!$E$6:$E$36,"Yes")</x:f>
        <x:v>21.75</x:v>
      </x:c>
      <x:c r="E14" s="37" t="n">
        <x:f>SUMIFS('Brand Portfolio'!$J$6:$J$36,'Brand Portfolio'!$D$6:$D$36,A14,'Brand Portfolio'!$F$6:$F$36,B14,'Brand Portfolio'!$E$6:$E$36,"Yes")</x:f>
        <x:v>180.92</x:v>
      </x:c>
      <x:c r="F14" s="37" t="n">
        <x:f>SUMIFS('Brand Portfolio'!$L$6:$L$36,'Brand Portfolio'!$D$6:$D$36,A14,'Brand Portfolio'!$F$6:$F$36,B14,'Brand Portfolio'!$E$6:$E$36,"Yes")</x:f>
        <x:v>271.53</x:v>
      </x:c>
      <x:c r="G14" s="37" t="n">
        <x:f>SUMIFS('Brand Portfolio'!$N$6:$N$36,'Brand Portfolio'!$D$6:$D$36,A14,'Brand Portfolio'!$F$6:$F$36,B14,'Brand Portfolio'!$E$6:$E$36,"Yes")</x:f>
        <x:v>260.1609657947686</x:v>
      </x:c>
      <x:c r="H14" s="37" t="n">
        <x:f>F14-G14</x:f>
        <x:v>11.3690342052314</x:v>
      </x:c>
      <x:c r="I14" s="26" t="n">
        <x:f>IF(G14=0,"",F14/G14-1)</x:f>
        <x:v>0.04370000000000007</x:v>
      </x:c>
      <x:c r="J14" s="26" t="n">
        <x:f>F14/SUMIFS($F$6:$F$19,$A$6:$A$19,A14)</x:f>
        <x:v>0.07110441898527005</x:v>
      </x:c>
    </x:row>
    <x:row r="15">
      <x:c r="A15" s="22" t="str">
        <x:v>GSK India</x:v>
      </x:c>
      <x:c r="B15" s="22" t="str">
        <x:v>Vaccines</x:v>
      </x:c>
      <x:c r="C15" s="39" t="n">
        <x:f>COUNTIFS('Brand Portfolio'!$D$6:$D$36,A15,'Brand Portfolio'!$F$6:$F$36,B15,'Brand Portfolio'!$E$6:$E$36,"Yes")</x:f>
        <x:v>1</x:v>
      </x:c>
      <x:c r="D15" s="37" t="n">
        <x:f>SUMIFS('Brand Portfolio'!$H$6:$H$36,'Brand Portfolio'!$D$6:$D$36,A15,'Brand Portfolio'!$F$6:$F$36,B15,'Brand Portfolio'!$E$6:$E$36,"Yes")</x:f>
        <x:v>15.07</x:v>
      </x:c>
      <x:c r="E15" s="37" t="n">
        <x:f>SUMIFS('Brand Portfolio'!$J$6:$J$36,'Brand Portfolio'!$D$6:$D$36,A15,'Brand Portfolio'!$F$6:$F$36,B15,'Brand Portfolio'!$E$6:$E$36,"Yes")</x:f>
        <x:v>147.88</x:v>
      </x:c>
      <x:c r="F15" s="37" t="n">
        <x:f>SUMIFS('Brand Portfolio'!$L$6:$L$36,'Brand Portfolio'!$D$6:$D$36,A15,'Brand Portfolio'!$F$6:$F$36,B15,'Brand Portfolio'!$E$6:$E$36,"Yes")</x:f>
        <x:v>213.43</x:v>
      </x:c>
      <x:c r="G15" s="37" t="n">
        <x:f>SUMIFS('Brand Portfolio'!$N$6:$N$36,'Brand Portfolio'!$D$6:$D$36,A15,'Brand Portfolio'!$F$6:$F$36,B15,'Brand Portfolio'!$E$6:$E$36,"Yes")</x:f>
        <x:v>181.78179030746958</x:v>
      </x:c>
      <x:c r="H15" s="37" t="n">
        <x:f>F15-G15</x:f>
        <x:v>31.64820969253043</x:v>
      </x:c>
      <x:c r="I15" s="26" t="n">
        <x:f>IF(G15=0,"",F15/G15-1)</x:f>
        <x:v>0.17409999999999992</x:v>
      </x:c>
      <x:c r="J15" s="26" t="n">
        <x:f>F15/SUMIFS($F$6:$F$19,$A$6:$A$19,A15)</x:f>
        <x:v>0.055890016366612116</x:v>
      </x:c>
    </x:row>
    <x:row r="16">
      <x:c r="A16" s="22" t="str">
        <x:v>Pfizer Limited</x:v>
      </x:c>
      <x:c r="B16" s="22" t="str">
        <x:v>Cardiovascular</x:v>
      </x:c>
      <x:c r="C16" s="39" t="n">
        <x:f>COUNTIFS('Brand Portfolio'!$D$6:$D$36,A16,'Brand Portfolio'!$F$6:$F$36,B16,'Brand Portfolio'!$E$6:$E$36,"Yes")</x:f>
        <x:v>2</x:v>
      </x:c>
      <x:c r="D16" s="37" t="n">
        <x:f>SUMIFS('Brand Portfolio'!$H$6:$H$36,'Brand Portfolio'!$D$6:$D$36,A16,'Brand Portfolio'!$F$6:$F$36,B16,'Brand Portfolio'!$E$6:$E$36,"Yes")</x:f>
        <x:v>45.49</x:v>
      </x:c>
      <x:c r="E16" s="37" t="n">
        <x:f>SUMIFS('Brand Portfolio'!$J$6:$J$36,'Brand Portfolio'!$D$6:$D$36,A16,'Brand Portfolio'!$F$6:$F$36,B16,'Brand Portfolio'!$E$6:$E$36,"Yes")</x:f>
        <x:v>360.32</x:v>
      </x:c>
      <x:c r="F16" s="37" t="n">
        <x:f>SUMIFS('Brand Portfolio'!$L$6:$L$36,'Brand Portfolio'!$D$6:$D$36,A16,'Brand Portfolio'!$F$6:$F$36,B16,'Brand Portfolio'!$E$6:$E$36,"Yes")</x:f>
        <x:v>548.85</x:v>
      </x:c>
      <x:c r="G16" s="37" t="n">
        <x:f>SUMIFS('Brand Portfolio'!$N$6:$N$36,'Brand Portfolio'!$D$6:$D$36,A16,'Brand Portfolio'!$F$6:$F$36,B16,'Brand Portfolio'!$E$6:$E$36,"Yes")</x:f>
        <x:v>492.78669710295355</x:v>
      </x:c>
      <x:c r="H16" s="37" t="n">
        <x:f>F16-G16</x:f>
        <x:v>56.06330289704647</x:v>
      </x:c>
      <x:c r="I16" s="26" t="n">
        <x:f>IF(G16=0,"",F16/G16-1)</x:f>
        <x:v>0.11376789029946899</x:v>
      </x:c>
      <x:c r="J16" s="26" t="n">
        <x:f>F16/SUMIFS($F$6:$F$19,$A$6:$A$19,A16)</x:f>
        <x:v>0.3623059252217998</x:v>
      </x:c>
    </x:row>
    <x:row r="17">
      <x:c r="A17" s="22" t="str">
        <x:v>Pfizer Limited</x:v>
      </x:c>
      <x:c r="B17" s="22" t="str">
        <x:v>Gastrointestinal</x:v>
      </x:c>
      <x:c r="C17" s="39" t="n">
        <x:f>COUNTIFS('Brand Portfolio'!$D$6:$D$36,A17,'Brand Portfolio'!$F$6:$F$36,B17,'Brand Portfolio'!$E$6:$E$36,"Yes")</x:f>
        <x:v>2</x:v>
      </x:c>
      <x:c r="D17" s="37" t="n">
        <x:f>SUMIFS('Brand Portfolio'!$H$6:$H$36,'Brand Portfolio'!$D$6:$D$36,A17,'Brand Portfolio'!$F$6:$F$36,B17,'Brand Portfolio'!$E$6:$E$36,"Yes")</x:f>
        <x:v>36.28</x:v>
      </x:c>
      <x:c r="E17" s="37" t="n">
        <x:f>SUMIFS('Brand Portfolio'!$J$6:$J$36,'Brand Portfolio'!$D$6:$D$36,A17,'Brand Portfolio'!$F$6:$F$36,B17,'Brand Portfolio'!$E$6:$E$36,"Yes")</x:f>
        <x:v>233.7</x:v>
      </x:c>
      <x:c r="F17" s="37" t="n">
        <x:f>SUMIFS('Brand Portfolio'!$L$6:$L$36,'Brand Portfolio'!$D$6:$D$36,A17,'Brand Portfolio'!$F$6:$F$36,B17,'Brand Portfolio'!$E$6:$E$36,"Yes")</x:f>
        <x:v>344.9</x:v>
      </x:c>
      <x:c r="G17" s="37" t="n">
        <x:f>SUMIFS('Brand Portfolio'!$N$6:$N$36,'Brand Portfolio'!$D$6:$D$36,A17,'Brand Portfolio'!$F$6:$F$36,B17,'Brand Portfolio'!$E$6:$E$36,"Yes")</x:f>
        <x:v>305.5942508506681</x:v>
      </x:c>
      <x:c r="H17" s="37" t="n">
        <x:f>F17-G17</x:f>
        <x:v>39.30574914933186</x:v>
      </x:c>
      <x:c r="I17" s="26" t="n">
        <x:f>IF(G17=0,"",F17/G17-1)</x:f>
        <x:v>0.12862070879906384</x:v>
      </x:c>
      <x:c r="J17" s="26" t="n">
        <x:f>F17/SUMIFS($F$6:$F$19,$A$6:$A$19,A17)</x:f>
        <x:v>0.22767479932403886</x:v>
      </x:c>
    </x:row>
    <x:row r="18">
      <x:c r="A18" s="22" t="str">
        <x:v>Pfizer Limited</x:v>
      </x:c>
      <x:c r="B18" s="22" t="str">
        <x:v>Vaccines</x:v>
      </x:c>
      <x:c r="C18" s="39" t="n">
        <x:f>COUNTIFS('Brand Portfolio'!$D$6:$D$36,A18,'Brand Portfolio'!$F$6:$F$36,B18,'Brand Portfolio'!$E$6:$E$36,"Yes")</x:f>
        <x:v>1</x:v>
      </x:c>
      <x:c r="D18" s="37" t="n">
        <x:f>SUMIFS('Brand Portfolio'!$H$6:$H$36,'Brand Portfolio'!$D$6:$D$36,A18,'Brand Portfolio'!$F$6:$F$36,B18,'Brand Portfolio'!$E$6:$E$36,"Yes")</x:f>
        <x:v>30.33</x:v>
      </x:c>
      <x:c r="E18" s="37" t="n">
        <x:f>SUMIFS('Brand Portfolio'!$J$6:$J$36,'Brand Portfolio'!$D$6:$D$36,A18,'Brand Portfolio'!$F$6:$F$36,B18,'Brand Portfolio'!$E$6:$E$36,"Yes")</x:f>
        <x:v>226.84</x:v>
      </x:c>
      <x:c r="F18" s="37" t="n">
        <x:f>SUMIFS('Brand Portfolio'!$L$6:$L$36,'Brand Portfolio'!$D$6:$D$36,A18,'Brand Portfolio'!$F$6:$F$36,B18,'Brand Portfolio'!$E$6:$E$36,"Yes")</x:f>
        <x:v>341.31</x:v>
      </x:c>
      <x:c r="G18" s="37" t="n">
        <x:f>SUMIFS('Brand Portfolio'!$N$6:$N$36,'Brand Portfolio'!$D$6:$D$36,A18,'Brand Portfolio'!$F$6:$F$36,B18,'Brand Portfolio'!$E$6:$E$36,"Yes")</x:f>
        <x:v>353.0671356160132</x:v>
      </x:c>
      <x:c r="H18" s="37" t="n">
        <x:f>F18-G18</x:f>
        <x:v>-11.757135616013215</x:v>
      </x:c>
      <x:c r="I18" s="26" t="n">
        <x:f>IF(G18=0,"",F18/G18-1)</x:f>
        <x:v>-0.033299999999999885</x:v>
      </x:c>
      <x:c r="J18" s="26" t="n">
        <x:f>F18/SUMIFS($F$6:$F$19,$A$6:$A$19,A18)</x:f>
        <x:v>0.22530497465145757</x:v>
      </x:c>
    </x:row>
    <x:row r="19">
      <x:c r="A19" s="22" t="str">
        <x:v>Pfizer Limited</x:v>
      </x:c>
      <x:c r="B19" s="22" t="str">
        <x:v>Vitamins / supplements</x:v>
      </x:c>
      <x:c r="C19" s="39" t="n">
        <x:f>COUNTIFS('Brand Portfolio'!$D$6:$D$36,A19,'Brand Portfolio'!$F$6:$F$36,B19,'Brand Portfolio'!$E$6:$E$36,"Yes")</x:f>
        <x:v>1</x:v>
      </x:c>
      <x:c r="D19" s="37" t="n">
        <x:f>SUMIFS('Brand Portfolio'!$H$6:$H$36,'Brand Portfolio'!$D$6:$D$36,A19,'Brand Portfolio'!$F$6:$F$36,B19,'Brand Portfolio'!$E$6:$E$36,"Yes")</x:f>
        <x:v>23.11</x:v>
      </x:c>
      <x:c r="E19" s="37" t="n">
        <x:f>SUMIFS('Brand Portfolio'!$J$6:$J$36,'Brand Portfolio'!$D$6:$D$36,A19,'Brand Portfolio'!$F$6:$F$36,B19,'Brand Portfolio'!$E$6:$E$36,"Yes")</x:f>
        <x:v>188.59</x:v>
      </x:c>
      <x:c r="F19" s="37" t="n">
        <x:f>SUMIFS('Brand Portfolio'!$L$6:$L$36,'Brand Portfolio'!$D$6:$D$36,A19,'Brand Portfolio'!$F$6:$F$36,B19,'Brand Portfolio'!$E$6:$E$36,"Yes")</x:f>
        <x:v>279.82</x:v>
      </x:c>
      <x:c r="G19" s="37" t="n">
        <x:f>SUMIFS('Brand Portfolio'!$N$6:$N$36,'Brand Portfolio'!$D$6:$D$36,A19,'Brand Portfolio'!$F$6:$F$36,B19,'Brand Portfolio'!$E$6:$E$36,"Yes")</x:f>
        <x:v>277.8748758689176</x:v>
      </x:c>
      <x:c r="H19" s="37" t="n">
        <x:f>F19-G19</x:f>
        <x:v>1.9451241310823661</x:v>
      </x:c>
      <x:c r="I19" s="26" t="n">
        <x:f>IF(G19=0,"",F19/G19-1)</x:f>
        <x:v>0.006999999999999895</x:v>
      </x:c>
      <x:c r="J19" s="26" t="n">
        <x:f>F19/SUMIFS($F$6:$F$19,$A$6:$A$19,A19)</x:f>
        <x:v>0.18471430080270385</x:v>
      </x:c>
    </x:row>
  </x:sheetData>
  <x:conditionalFormatting sqref="H6:I19">
    <x:cfRule type="colorScale" priority="1">
      <x:colorScale>
        <x:cfvo type="min"/>
        <x:cfvo type="num" val="0"/>
        <x:cfvo type="max"/>
        <x:color rgb="FFB33A3A"/>
        <x:color rgb="FFF3F4F6"/>
        <x:color rgb="FF1B7F5C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8A8A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2">
      <x:c r="A2" s="55" t="str">
        <x:v>Portfolio concentration and breadth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</x:row>
    <x:row r="3">
      <x:c r="A3" s="57" t="str">
        <x:v>Counts and shares refer only to the disclosed top-product subset; ≥ ₹100 crore counts are lower bounds.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</x:row>
    <x:row r="4">
      <x:c r="A4" s="58"/>
      <x:c r="B4" s="58"/>
      <x:c r="C4" s="58"/>
      <x:c r="D4" s="58"/>
      <x:c r="E4" s="58"/>
      <x:c r="F4" s="58"/>
      <x:c r="G4" s="58"/>
      <x:c r="H4" s="58"/>
      <x:c r="I4" s="58"/>
      <x:c r="J4" s="58"/>
      <x:c r="K4" s="58"/>
      <x:c r="L4" s="58"/>
    </x:row>
    <x:row r="5">
      <x:c r="A5" s="18" t="str">
        <x:v>Company</x:v>
      </x:c>
      <x:c r="B5" s="19" t="str">
        <x:v>Disclosed brands</x:v>
      </x:c>
      <x:c r="C5" s="19" t="str">
        <x:v>Brands ≥ ₹100cr</x:v>
      </x:c>
      <x:c r="D5" s="19" t="str">
        <x:v>Positive TTM growers</x:v>
      </x:c>
      <x:c r="E5" s="19" t="str">
        <x:v>Declining TTM brands</x:v>
      </x:c>
      <x:c r="F5" s="19" t="str">
        <x:v>TTM sales</x:v>
      </x:c>
      <x:c r="G5" s="19" t="str">
        <x:v>Prior TTM sales</x:v>
      </x:c>
      <x:c r="H5" s="19" t="str">
        <x:v>Weighted TTM growth</x:v>
      </x:c>
      <x:c r="I5" s="19" t="str">
        <x:v>Growth contribution</x:v>
      </x:c>
      <x:c r="J5" s="19" t="str">
        <x:v>Top brand share</x:v>
      </x:c>
      <x:c r="K5" s="20" t="str">
        <x:v>Top 3 share</x:v>
      </x:c>
      <x:c r="L5" s="58"/>
    </x:row>
    <x:row r="6">
      <x:c r="A6" s="22" t="str">
        <x:v>Abbott India</x:v>
      </x:c>
      <x:c r="B6" s="39" t="n">
        <x:f>COUNTIFS('Brand Portfolio'!$D$6:$D$36,A6,'Brand Portfolio'!$E$6:$E$36,"Yes")</x:f>
        <x:v>4</x:v>
      </x:c>
      <x:c r="C6" s="39" t="n">
        <x:f>COUNTIFS('Brand Portfolio'!$D$6:$D$36,A6,'Brand Portfolio'!$E$6:$E$36,"Yes",'Brand Portfolio'!$L$6:$L$36,"&gt;=100")</x:f>
        <x:v>4</x:v>
      </x:c>
      <x:c r="D6" s="39" t="n">
        <x:f>COUNTIFS('Brand Portfolio'!$D$6:$D$36,A6,'Brand Portfolio'!$E$6:$E$36,"Yes",'Brand Portfolio'!$M$6:$M$36,"&gt;=0")</x:f>
        <x:v>4</x:v>
      </x:c>
      <x:c r="E6" s="39" t="n">
        <x:f>COUNTIFS('Brand Portfolio'!$D$6:$D$36,A6,'Brand Portfolio'!$E$6:$E$36,"Yes",'Brand Portfolio'!$M$6:$M$36,"&lt;0")</x:f>
        <x:v>0</x:v>
      </x:c>
      <x:c r="F6" s="37" t="n">
        <x:f>SUMIFS('Brand Portfolio'!$L$6:$L$36,'Brand Portfolio'!$D$6:$D$36,A6,'Brand Portfolio'!$E$6:$E$36,"Yes")</x:f>
        <x:v>1693.19</x:v>
      </x:c>
      <x:c r="G6" s="37" t="n">
        <x:f>SUMIFS('Brand Portfolio'!$N$6:$N$36,'Brand Portfolio'!$D$6:$D$36,A6,'Brand Portfolio'!$E$6:$E$36,"Yes")</x:f>
        <x:v>1476.588398606809</x:v>
      </x:c>
      <x:c r="H6" s="26" t="n">
        <x:f>F6/G6-1</x:f>
        <x:v>0.14669057511054473</x:v>
      </x:c>
      <x:c r="I6" s="37" t="n">
        <x:f>F6-G6</x:f>
        <x:v>216.601601393191</x:v>
      </x:c>
      <x:c r="J6" s="26" t="n">
        <x:v>0.4696933008108954</x:v>
      </x:c>
      <x:c r="K6" s="26" t="n">
        <x:v>0.8878979913654109</x:v>
      </x:c>
      <x:c r="L6" s="58"/>
    </x:row>
    <x:row r="7">
      <x:c r="A7" s="22" t="str">
        <x:v>GSK India</x:v>
      </x:c>
      <x:c r="B7" s="39" t="n">
        <x:f>COUNTIFS('Brand Portfolio'!$D$6:$D$36,A7,'Brand Portfolio'!$E$6:$E$36,"Yes")</x:f>
        <x:v>11</x:v>
      </x:c>
      <x:c r="C7" s="39" t="n">
        <x:f>COUNTIFS('Brand Portfolio'!$D$6:$D$36,A7,'Brand Portfolio'!$E$6:$E$36,"Yes",'Brand Portfolio'!$L$6:$L$36,"&gt;=100")</x:f>
        <x:v>11</x:v>
      </x:c>
      <x:c r="D7" s="39" t="n">
        <x:f>COUNTIFS('Brand Portfolio'!$D$6:$D$36,A7,'Brand Portfolio'!$E$6:$E$36,"Yes",'Brand Portfolio'!$M$6:$M$36,"&gt;=0")</x:f>
        <x:v>11</x:v>
      </x:c>
      <x:c r="E7" s="39" t="n">
        <x:f>COUNTIFS('Brand Portfolio'!$D$6:$D$36,A7,'Brand Portfolio'!$E$6:$E$36,"Yes",'Brand Portfolio'!$M$6:$M$36,"&lt;0")</x:f>
        <x:v>0</x:v>
      </x:c>
      <x:c r="F7" s="37" t="n">
        <x:f>SUMIFS('Brand Portfolio'!$L$6:$L$36,'Brand Portfolio'!$D$6:$D$36,A7,'Brand Portfolio'!$E$6:$E$36,"Yes")</x:f>
        <x:v>3818.75</x:v>
      </x:c>
      <x:c r="G7" s="37" t="n">
        <x:f>SUMIFS('Brand Portfolio'!$N$6:$N$36,'Brand Portfolio'!$D$6:$D$36,A7,'Brand Portfolio'!$E$6:$E$36,"Yes")</x:f>
        <x:v>3448.540393395313</x:v>
      </x:c>
      <x:c r="H7" s="26" t="n">
        <x:f>F7/G7-1</x:f>
        <x:v>0.10735255046271663</x:v>
      </x:c>
      <x:c r="I7" s="37" t="n">
        <x:f>F7-G7</x:f>
        <x:v>370.209606604687</x:v>
      </x:c>
      <x:c r="J7" s="26" t="n">
        <x:v>0.2575973813420622</x:v>
      </x:c>
      <x:c r="K7" s="26" t="n">
        <x:v>0.49989918166939445</x:v>
      </x:c>
      <x:c r="L7" s="58"/>
    </x:row>
    <x:row r="8">
      <x:c r="A8" s="22" t="str">
        <x:v>Pfizer Limited</x:v>
      </x:c>
      <x:c r="B8" s="39" t="n">
        <x:f>COUNTIFS('Brand Portfolio'!$D$6:$D$36,A8,'Brand Portfolio'!$E$6:$E$36,"Yes")</x:f>
        <x:v>6</x:v>
      </x:c>
      <x:c r="C8" s="39" t="n">
        <x:f>COUNTIFS('Brand Portfolio'!$D$6:$D$36,A8,'Brand Portfolio'!$E$6:$E$36,"Yes",'Brand Portfolio'!$L$6:$L$36,"&gt;=100")</x:f>
        <x:v>6</x:v>
      </x:c>
      <x:c r="D8" s="39" t="n">
        <x:f>COUNTIFS('Brand Portfolio'!$D$6:$D$36,A8,'Brand Portfolio'!$E$6:$E$36,"Yes",'Brand Portfolio'!$M$6:$M$36,"&gt;=0")</x:f>
        <x:v>4</x:v>
      </x:c>
      <x:c r="E8" s="39" t="n">
        <x:f>COUNTIFS('Brand Portfolio'!$D$6:$D$36,A8,'Brand Portfolio'!$E$6:$E$36,"Yes",'Brand Portfolio'!$M$6:$M$36,"&lt;0")</x:f>
        <x:v>2</x:v>
      </x:c>
      <x:c r="F8" s="37" t="n">
        <x:f>SUMIFS('Brand Portfolio'!$L$6:$L$36,'Brand Portfolio'!$D$6:$D$36,A8,'Brand Portfolio'!$E$6:$E$36,"Yes")</x:f>
        <x:v>1514.88</x:v>
      </x:c>
      <x:c r="G8" s="37" t="n">
        <x:f>SUMIFS('Brand Portfolio'!$N$6:$N$36,'Brand Portfolio'!$D$6:$D$36,A8,'Brand Portfolio'!$E$6:$E$36,"Yes")</x:f>
        <x:v>1429.3229594385523</x:v>
      </x:c>
      <x:c r="H8" s="26" t="n">
        <x:f>F8/G8-1</x:f>
        <x:v>0.05985843856804429</x:v>
      </x:c>
      <x:c r="I8" s="37" t="n">
        <x:f>F8-G8</x:f>
        <x:v>85.55704056144782</x:v>
      </x:c>
      <x:c r="J8" s="26" t="n">
        <x:v>0.22530497465145752</x:v>
      </x:c>
      <x:c r="K8" s="26" t="n">
        <x:v>0.6068071398394592</x:v>
      </x:c>
      <x:c r="L8" s="58"/>
    </x:row>
    <x:row r="9">
      <x:c r="A9" s="58"/>
      <x:c r="B9" s="58"/>
      <x:c r="C9" s="58"/>
      <x:c r="D9" s="58"/>
      <x:c r="E9" s="58"/>
      <x:c r="F9" s="58"/>
      <x:c r="G9" s="58"/>
      <x:c r="H9" s="58"/>
      <x:c r="I9" s="58"/>
      <x:c r="J9" s="58"/>
      <x:c r="K9" s="58"/>
      <x:c r="L9" s="58"/>
    </x:row>
    <x:row r="10">
      <x:c r="A10" s="58"/>
      <x:c r="B10" s="58"/>
      <x:c r="C10" s="58"/>
      <x:c r="D10" s="58"/>
      <x:c r="E10" s="58"/>
      <x:c r="F10" s="58"/>
      <x:c r="G10" s="58"/>
      <x:c r="H10" s="58"/>
      <x:c r="I10" s="58"/>
      <x:c r="J10" s="58"/>
      <x:c r="K10" s="58"/>
      <x:c r="L10" s="58"/>
    </x:row>
    <x:row r="11">
      <x:c r="A11" s="45" t="str">
        <x:v>Ranked disclosed brands by company</x:v>
      </x:c>
      <x:c r="B11" s="46" t="str">
        <x:v>Ranked disclosed brands by company</x:v>
      </x:c>
      <x:c r="C11" s="46" t="str">
        <x:v>Ranked disclosed brands by company</x:v>
      </x:c>
      <x:c r="D11" s="46" t="str">
        <x:v>Ranked disclosed brands by company</x:v>
      </x:c>
      <x:c r="E11" s="46" t="str">
        <x:v>Ranked disclosed brands by company</x:v>
      </x:c>
      <x:c r="F11" s="46" t="str">
        <x:v>Ranked disclosed brands by company</x:v>
      </x:c>
      <x:c r="G11" s="46" t="str">
        <x:v>Ranked disclosed brands by company</x:v>
      </x:c>
      <x:c r="H11" s="47" t="str">
        <x:v>Ranked disclosed brands by company</x:v>
      </x:c>
      <x:c r="I11" s="58"/>
      <x:c r="J11" s="58"/>
      <x:c r="K11" s="58"/>
      <x:c r="L11" s="58"/>
    </x:row>
    <x:row r="12">
      <x:c r="A12" s="18" t="str">
        <x:v>Company</x:v>
      </x:c>
      <x:c r="B12" s="19" t="str">
        <x:v>Rank</x:v>
      </x:c>
      <x:c r="C12" s="19" t="str">
        <x:v>Brand</x:v>
      </x:c>
      <x:c r="D12" s="19" t="str">
        <x:v>Therapy</x:v>
      </x:c>
      <x:c r="E12" s="19" t="str">
        <x:v>TTM sales</x:v>
      </x:c>
      <x:c r="F12" s="19" t="str">
        <x:v>TTM growth</x:v>
      </x:c>
      <x:c r="G12" s="19" t="str">
        <x:v>Growth contribution</x:v>
      </x:c>
      <x:c r="H12" s="20" t="str">
        <x:v>Portfolio share</x:v>
      </x:c>
      <x:c r="I12" s="58"/>
      <x:c r="J12" s="58"/>
      <x:c r="K12" s="58"/>
      <x:c r="L12" s="58"/>
    </x:row>
    <x:row r="13">
      <x:c r="A13" s="22" t="str">
        <x:v>Abbott India</x:v>
      </x:c>
      <x:c r="B13" s="39" t="n">
        <x:v>1</x:v>
      </x:c>
      <x:c r="C13" s="22" t="str">
        <x:v>Thyronorm</x:v>
      </x:c>
      <x:c r="D13" s="22" t="str">
        <x:v>Thyroid</x:v>
      </x:c>
      <x:c r="E13" s="37" t="n">
        <x:f>'Brand Portfolio'!L7</x:f>
        <x:v>795.28</x:v>
      </x:c>
      <x:c r="F13" s="26" t="n">
        <x:f>'Brand Portfolio'!M7</x:f>
        <x:v>0.128</x:v>
      </x:c>
      <x:c r="G13" s="37" t="n">
        <x:f>'Brand Portfolio'!O7</x:f>
        <x:v>90.24453900709227</x:v>
      </x:c>
      <x:c r="H13" s="26" t="n">
        <x:f>E13/1693.19</x:f>
        <x:v>0.4696933008108954</x:v>
      </x:c>
      <x:c r="I13" s="58"/>
      <x:c r="J13" s="58"/>
      <x:c r="K13" s="58"/>
      <x:c r="L13" s="58"/>
    </x:row>
    <x:row r="14">
      <x:c r="A14" s="22" t="str">
        <x:v>Abbott India</x:v>
      </x:c>
      <x:c r="B14" s="39" t="n">
        <x:v>2</x:v>
      </x:c>
      <x:c r="C14" s="22" t="str">
        <x:v>Cremaffin Plus</x:v>
      </x:c>
      <x:c r="D14" s="22" t="str">
        <x:v>Gastrointestinal</x:v>
      </x:c>
      <x:c r="E14" s="37" t="n">
        <x:f>'Brand Portfolio'!L12</x:f>
        <x:v>437.49</x:v>
      </x:c>
      <x:c r="F14" s="26" t="n">
        <x:f>'Brand Portfolio'!M12</x:f>
        <x:v>0.2165</x:v>
      </x:c>
      <x:c r="G14" s="37" t="n">
        <x:f>'Brand Portfolio'!O12</x:f>
        <x:v>77.85991368680641</x:v>
      </x:c>
      <x:c r="H14" s="26" t="n">
        <x:f>E14/1693.19</x:f>
        <x:v>0.25838210714686477</x:v>
      </x:c>
      <x:c r="I14" s="58"/>
      <x:c r="J14" s="58"/>
      <x:c r="K14" s="58"/>
      <x:c r="L14" s="58"/>
    </x:row>
    <x:row r="15">
      <x:c r="A15" s="22" t="str">
        <x:v>Abbott India</x:v>
      </x:c>
      <x:c r="B15" s="39" t="n">
        <x:v>3</x:v>
      </x:c>
      <x:c r="C15" s="22" t="str">
        <x:v>Digene</x:v>
      </x:c>
      <x:c r="D15" s="22" t="str">
        <x:v>Gastrointestinal</x:v>
      </x:c>
      <x:c r="E15" s="37" t="n">
        <x:f>'Brand Portfolio'!L22</x:f>
        <x:v>270.61</x:v>
      </x:c>
      <x:c r="F15" s="26" t="n">
        <x:f>'Brand Portfolio'!M22</x:f>
        <x:v>0.1101</x:v>
      </x:c>
      <x:c r="G15" s="37" t="n">
        <x:f>'Brand Portfolio'!O22</x:f>
        <x:v>26.839168543374484</x:v>
      </x:c>
      <x:c r="H15" s="26" t="n">
        <x:f>E15/1693.19</x:f>
        <x:v>0.15982258340765065</x:v>
      </x:c>
      <x:c r="I15" s="58"/>
      <x:c r="J15" s="58"/>
      <x:c r="K15" s="58"/>
      <x:c r="L15" s="58"/>
    </x:row>
    <x:row r="16">
      <x:c r="A16" s="22" t="str">
        <x:v>Abbott India</x:v>
      </x:c>
      <x:c r="B16" s="39" t="n">
        <x:v>4</x:v>
      </x:c>
      <x:c r="C16" s="22" t="str">
        <x:v>Cremaffin</x:v>
      </x:c>
      <x:c r="D16" s="22" t="str">
        <x:v>Gastrointestinal</x:v>
      </x:c>
      <x:c r="E16" s="37" t="n">
        <x:f>'Brand Portfolio'!L29</x:f>
        <x:v>189.81</x:v>
      </x:c>
      <x:c r="F16" s="26" t="n">
        <x:f>'Brand Portfolio'!M29</x:f>
        <x:v>0.1288</x:v>
      </x:c>
      <x:c r="G16" s="37" t="n">
        <x:f>'Brand Portfolio'!O29</x:f>
        <x:v>21.657980155917784</x:v>
      </x:c>
      <x:c r="H16" s="26" t="n">
        <x:f>E16/1693.19</x:f>
        <x:v>0.11210200863458915</x:v>
      </x:c>
      <x:c r="I16" s="58"/>
      <x:c r="J16" s="58"/>
      <x:c r="K16" s="58"/>
      <x:c r="L16" s="58"/>
    </x:row>
    <x:row r="17">
      <x:c r="A17" s="22" t="str">
        <x:v>GSK India</x:v>
      </x:c>
      <x:c r="B17" s="39" t="n">
        <x:v>1</x:v>
      </x:c>
      <x:c r="C17" s="22" t="str">
        <x:v>Augmentin</x:v>
      </x:c>
      <x:c r="D17" s="22" t="str">
        <x:v>Anti-infectives</x:v>
      </x:c>
      <x:c r="E17" s="37" t="n">
        <x:f>'Brand Portfolio'!L6</x:f>
        <x:v>983.7</x:v>
      </x:c>
      <x:c r="F17" s="26" t="n">
        <x:f>'Brand Portfolio'!M6</x:f>
        <x:v>0.1209</x:v>
      </x:c>
      <x:c r="G17" s="37" t="n">
        <x:f>'Brand Portfolio'!O6</x:f>
        <x:v>106.10164153804976</x:v>
      </x:c>
      <x:c r="H17" s="26" t="n">
        <x:f>E17/3818.75</x:f>
        <x:v>0.2575973813420622</x:v>
      </x:c>
      <x:c r="I17" s="58"/>
      <x:c r="J17" s="58"/>
      <x:c r="K17" s="58"/>
      <x:c r="L17" s="58"/>
    </x:row>
    <x:row r="18">
      <x:c r="A18" s="22" t="str">
        <x:v>GSK India</x:v>
      </x:c>
      <x:c r="B18" s="39" t="n">
        <x:v>2</x:v>
      </x:c>
      <x:c r="C18" s="22" t="str">
        <x:v>Calpol</x:v>
      </x:c>
      <x:c r="D18" s="22" t="str">
        <x:v>Pain / fever</x:v>
      </x:c>
      <x:c r="E18" s="37" t="n">
        <x:f>'Brand Portfolio'!L10</x:f>
        <x:v>465.74</x:v>
      </x:c>
      <x:c r="F18" s="26" t="n">
        <x:f>'Brand Portfolio'!M10</x:f>
        <x:v>0.0929</x:v>
      </x:c>
      <x:c r="G18" s="37" t="n">
        <x:f>'Brand Portfolio'!O10</x:f>
        <x:v>39.589391527129635</x:v>
      </x:c>
      <x:c r="H18" s="26" t="n">
        <x:f>E18/3818.75</x:f>
        <x:v>0.12196137479541735</x:v>
      </x:c>
      <x:c r="I18" s="58"/>
      <x:c r="J18" s="58"/>
      <x:c r="K18" s="58"/>
      <x:c r="L18" s="58"/>
    </x:row>
    <x:row r="19">
      <x:c r="A19" s="22" t="str">
        <x:v>GSK India</x:v>
      </x:c>
      <x:c r="B19" s="39" t="n">
        <x:v>3</x:v>
      </x:c>
      <x:c r="C19" s="22" t="str">
        <x:v>T-Bact</x:v>
      </x:c>
      <x:c r="D19" s="22" t="str">
        <x:v>Dermatology / anti-infective</x:v>
      </x:c>
      <x:c r="E19" s="37" t="n">
        <x:f>'Brand Portfolio'!L11</x:f>
        <x:v>459.55</x:v>
      </x:c>
      <x:c r="F19" s="26" t="n">
        <x:f>'Brand Portfolio'!M11</x:f>
        <x:v>0.1349</x:v>
      </x:c>
      <x:c r="G19" s="37" t="n">
        <x:f>'Brand Portfolio'!O11</x:f>
        <x:v>54.62445589919815</x:v>
      </x:c>
      <x:c r="H19" s="26" t="n">
        <x:f>E19/3818.75</x:f>
        <x:v>0.1203404255319149</x:v>
      </x:c>
      <x:c r="I19" s="58"/>
      <x:c r="J19" s="58"/>
      <x:c r="K19" s="58"/>
      <x:c r="L19" s="58"/>
    </x:row>
    <x:row r="20">
      <x:c r="A20" s="22" t="str">
        <x:v>GSK India</x:v>
      </x:c>
      <x:c r="B20" s="39" t="n">
        <x:v>4</x:v>
      </x:c>
      <x:c r="C20" s="22" t="str">
        <x:v>Ceftum</x:v>
      </x:c>
      <x:c r="D20" s="22" t="str">
        <x:v>Anti-infectives</x:v>
      </x:c>
      <x:c r="E20" s="37" t="n">
        <x:f>'Brand Portfolio'!L16</x:f>
        <x:v>302.88</x:v>
      </x:c>
      <x:c r="F20" s="26" t="n">
        <x:f>'Brand Portfolio'!M16</x:f>
        <x:v>0.0909</x:v>
      </x:c>
      <x:c r="G20" s="37" t="n">
        <x:f>'Brand Portfolio'!O16</x:f>
        <x:v>25.23768631405261</x:v>
      </x:c>
      <x:c r="H20" s="26" t="n">
        <x:f>E20/3818.75</x:f>
        <x:v>0.0793139116202946</x:v>
      </x:c>
      <x:c r="I20" s="58"/>
      <x:c r="J20" s="58"/>
      <x:c r="K20" s="58"/>
      <x:c r="L20" s="58"/>
    </x:row>
    <x:row r="21">
      <x:c r="A21" s="22" t="str">
        <x:v>GSK India</x:v>
      </x:c>
      <x:c r="B21" s="39" t="n">
        <x:v>5</x:v>
      </x:c>
      <x:c r="C21" s="22" t="str">
        <x:v>Betnovate-N</x:v>
      </x:c>
      <x:c r="D21" s="22" t="str">
        <x:v>Dermatology</x:v>
      </x:c>
      <x:c r="E21" s="37" t="n">
        <x:f>'Brand Portfolio'!L18</x:f>
        <x:v>280.68</x:v>
      </x:c>
      <x:c r="F21" s="26" t="n">
        <x:f>'Brand Portfolio'!M18</x:f>
        <x:v>0.1116</x:v>
      </x:c>
      <x:c r="G21" s="37" t="n">
        <x:f>'Brand Portfolio'!O18</x:f>
        <x:v>28.179100395825827</x:v>
      </x:c>
      <x:c r="H21" s="26" t="n">
        <x:f>E21/3818.75</x:f>
        <x:v>0.07350049099836334</x:v>
      </x:c>
      <x:c r="I21" s="58"/>
      <x:c r="J21" s="58"/>
      <x:c r="K21" s="58"/>
      <x:c r="L21" s="58"/>
    </x:row>
    <x:row r="22">
      <x:c r="A22" s="22" t="str">
        <x:v>GSK India</x:v>
      </x:c>
      <x:c r="B22" s="39" t="n">
        <x:v>6</x:v>
      </x:c>
      <x:c r="C22" s="22" t="str">
        <x:v>Eltroxin</x:v>
      </x:c>
      <x:c r="D22" s="22" t="str">
        <x:v>Thyroid</x:v>
      </x:c>
      <x:c r="E22" s="37" t="n">
        <x:f>'Brand Portfolio'!L21</x:f>
        <x:v>271.53</x:v>
      </x:c>
      <x:c r="F22" s="26" t="n">
        <x:f>'Brand Portfolio'!M21</x:f>
        <x:v>0.0437</x:v>
      </x:c>
      <x:c r="G22" s="37" t="n">
        <x:f>'Brand Portfolio'!O21</x:f>
        <x:v>11.3690342052314</x:v>
      </x:c>
      <x:c r="H22" s="26" t="n">
        <x:f>E22/3818.75</x:f>
        <x:v>0.07110441898527005</x:v>
      </x:c>
      <x:c r="I22" s="58"/>
      <x:c r="J22" s="58"/>
      <x:c r="K22" s="58"/>
      <x:c r="L22" s="58"/>
    </x:row>
    <x:row r="23">
      <x:c r="A23" s="22" t="str">
        <x:v>GSK India</x:v>
      </x:c>
      <x:c r="B23" s="39" t="n">
        <x:v>7</x:v>
      </x:c>
      <x:c r="C23" s="22" t="str">
        <x:v>Betnovate-C</x:v>
      </x:c>
      <x:c r="D23" s="22" t="str">
        <x:v>Dermatology</x:v>
      </x:c>
      <x:c r="E23" s="37" t="n">
        <x:f>'Brand Portfolio'!L23</x:f>
        <x:v>269.65</x:v>
      </x:c>
      <x:c r="F23" s="26" t="n">
        <x:f>'Brand Portfolio'!M23</x:f>
        <x:v>0.0415</x:v>
      </x:c>
      <x:c r="G23" s="37" t="n">
        <x:f>'Brand Portfolio'!O23</x:f>
        <x:v>10.744575132021168</x:v>
      </x:c>
      <x:c r="H23" s="26" t="n">
        <x:f>E23/3818.75</x:f>
        <x:v>0.07061211129296235</x:v>
      </x:c>
      <x:c r="I23" s="58"/>
      <x:c r="J23" s="58"/>
      <x:c r="K23" s="58"/>
      <x:c r="L23" s="58"/>
    </x:row>
    <x:row r="24">
      <x:c r="A24" s="22" t="str">
        <x:v>GSK India</x:v>
      </x:c>
      <x:c r="B24" s="39" t="n">
        <x:v>8</x:v>
      </x:c>
      <x:c r="C24" s="22" t="str">
        <x:v>Neosporin</x:v>
      </x:c>
      <x:c r="D24" s="22" t="str">
        <x:v>Dermatology / anti-infective</x:v>
      </x:c>
      <x:c r="E24" s="37" t="n">
        <x:f>'Brand Portfolio'!L24</x:f>
        <x:v>255.5</x:v>
      </x:c>
      <x:c r="F24" s="26" t="n">
        <x:f>'Brand Portfolio'!M24</x:f>
        <x:v>0.1724</x:v>
      </x:c>
      <x:c r="G24" s="37" t="n">
        <x:f>'Brand Portfolio'!O24</x:f>
        <x:v>37.570965540771084</x:v>
      </x:c>
      <x:c r="H24" s="26" t="n">
        <x:f>E24/3818.75</x:f>
        <x:v>0.06690671031096564</x:v>
      </x:c>
      <x:c r="I24" s="58"/>
      <x:c r="J24" s="58"/>
      <x:c r="K24" s="58"/>
      <x:c r="L24" s="58"/>
    </x:row>
    <x:row r="25">
      <x:c r="A25" s="22" t="str">
        <x:v>GSK India</x:v>
      </x:c>
      <x:c r="B25" s="39" t="n">
        <x:v>9</x:v>
      </x:c>
      <x:c r="C25" s="22" t="str">
        <x:v>Infanrix Hexa</x:v>
      </x:c>
      <x:c r="D25" s="22" t="str">
        <x:v>Vaccines</x:v>
      </x:c>
      <x:c r="E25" s="37" t="n">
        <x:f>'Brand Portfolio'!L27</x:f>
        <x:v>213.43</x:v>
      </x:c>
      <x:c r="F25" s="26" t="n">
        <x:f>'Brand Portfolio'!M27</x:f>
        <x:v>0.1741</x:v>
      </x:c>
      <x:c r="G25" s="37" t="n">
        <x:f>'Brand Portfolio'!O27</x:f>
        <x:v>31.64820969253043</x:v>
      </x:c>
      <x:c r="H25" s="26" t="n">
        <x:f>E25/3818.75</x:f>
        <x:v>0.055890016366612116</x:v>
      </x:c>
      <x:c r="I25" s="58"/>
      <x:c r="J25" s="58"/>
      <x:c r="K25" s="58"/>
      <x:c r="L25" s="58"/>
    </x:row>
    <x:row r="26">
      <x:c r="A26" s="22" t="str">
        <x:v>GSK India</x:v>
      </x:c>
      <x:c r="B26" s="39" t="n">
        <x:v>10</x:v>
      </x:c>
      <x:c r="C26" s="22" t="str">
        <x:v>CCM</x:v>
      </x:c>
      <x:c r="D26" s="22" t="str">
        <x:v>Bone health / supplements</x:v>
      </x:c>
      <x:c r="E26" s="37" t="n">
        <x:f>'Brand Portfolio'!L31</x:f>
        <x:v>178.09</x:v>
      </x:c>
      <x:c r="F26" s="26" t="n">
        <x:f>'Brand Portfolio'!M31</x:f>
        <x:v>0.0859</x:v>
      </x:c>
      <x:c r="G26" s="37" t="n">
        <x:f>'Brand Portfolio'!O31</x:f>
        <x:v>14.087789851735891</x:v>
      </x:c>
      <x:c r="H26" s="26" t="n">
        <x:f>E26/3818.75</x:f>
        <x:v>0.04663567921440262</x:v>
      </x:c>
      <x:c r="I26" s="58"/>
      <x:c r="J26" s="58"/>
      <x:c r="K26" s="58"/>
      <x:c r="L26" s="58"/>
    </x:row>
    <x:row r="27">
      <x:c r="A27" s="22" t="str">
        <x:v>GSK India</x:v>
      </x:c>
      <x:c r="B27" s="39" t="n">
        <x:v>11</x:v>
      </x:c>
      <x:c r="C27" s="22" t="str">
        <x:v>Betnesol</x:v>
      </x:c>
      <x:c r="D27" s="22" t="str">
        <x:v>Corticosteroids / anti-inflammatory</x:v>
      </x:c>
      <x:c r="E27" s="37" t="n">
        <x:f>'Brand Portfolio'!L35</x:f>
        <x:v>138</x:v>
      </x:c>
      <x:c r="F27" s="26" t="n">
        <x:f>'Brand Portfolio'!M35</x:f>
        <x:v>0.0871</x:v>
      </x:c>
      <x:c r="G27" s="37" t="n">
        <x:f>'Brand Portfolio'!O35</x:f>
        <x:v>11.056756508140921</x:v>
      </x:c>
      <x:c r="H27" s="26" t="n">
        <x:f>E27/3818.75</x:f>
        <x:v>0.03613747954173486</x:v>
      </x:c>
      <x:c r="I27" s="58"/>
      <x:c r="J27" s="58"/>
      <x:c r="K27" s="58"/>
      <x:c r="L27" s="58"/>
    </x:row>
    <x:row r="28">
      <x:c r="A28" s="22" t="str">
        <x:v>Pfizer Limited</x:v>
      </x:c>
      <x:c r="B28" s="39" t="n">
        <x:v>1</x:v>
      </x:c>
      <x:c r="C28" s="22" t="str">
        <x:v>Prevenar-13</x:v>
      </x:c>
      <x:c r="D28" s="22" t="str">
        <x:v>Vaccines</x:v>
      </x:c>
      <x:c r="E28" s="37" t="n">
        <x:f>'Brand Portfolio'!L15</x:f>
        <x:v>341.31</x:v>
      </x:c>
      <x:c r="F28" s="26" t="n">
        <x:f>'Brand Portfolio'!M15</x:f>
        <x:v>-0.0333</x:v>
      </x:c>
      <x:c r="G28" s="37" t="n">
        <x:f>'Brand Portfolio'!O15</x:f>
        <x:v>-11.757135616013215</x:v>
      </x:c>
      <x:c r="H28" s="26" t="n">
        <x:f>E28/1514.88</x:f>
        <x:v>0.22530497465145752</x:v>
      </x:c>
      <x:c r="I28" s="58"/>
      <x:c r="J28" s="58"/>
      <x:c r="K28" s="58"/>
      <x:c r="L28" s="58"/>
    </x:row>
    <x:row r="29">
      <x:c r="A29" s="22" t="str">
        <x:v>Pfizer Limited</x:v>
      </x:c>
      <x:c r="B29" s="39" t="n">
        <x:v>2</x:v>
      </x:c>
      <x:c r="C29" s="22" t="str">
        <x:v>Eliquis</x:v>
      </x:c>
      <x:c r="D29" s="22" t="str">
        <x:v>Cardiovascular</x:v>
      </x:c>
      <x:c r="E29" s="37" t="n">
        <x:f>'Brand Portfolio'!L17</x:f>
        <x:v>298.11</x:v>
      </x:c>
      <x:c r="F29" s="26" t="n">
        <x:f>'Brand Portfolio'!M17</x:f>
        <x:v>0.289</x:v>
      </x:c>
      <x:c r="G29" s="37" t="n">
        <x:f>'Brand Portfolio'!O17</x:f>
        <x:v>66.83769588828548</x:v>
      </x:c>
      <x:c r="H29" s="26" t="n">
        <x:f>E29/1514.88</x:f>
        <x:v>0.19678786438529783</x:v>
      </x:c>
      <x:c r="I29" s="58"/>
      <x:c r="J29" s="58"/>
      <x:c r="K29" s="58"/>
      <x:c r="L29" s="58"/>
    </x:row>
    <x:row r="30">
      <x:c r="A30" s="22" t="str">
        <x:v>Pfizer Limited</x:v>
      </x:c>
      <x:c r="B30" s="39" t="n">
        <x:v>3</x:v>
      </x:c>
      <x:c r="C30" s="22" t="str">
        <x:v>Becosules</x:v>
      </x:c>
      <x:c r="D30" s="22" t="str">
        <x:v>Vitamins / supplements</x:v>
      </x:c>
      <x:c r="E30" s="37" t="n">
        <x:f>'Brand Portfolio'!L19</x:f>
        <x:v>279.82</x:v>
      </x:c>
      <x:c r="F30" s="26" t="n">
        <x:f>'Brand Portfolio'!M19</x:f>
        <x:v>0.007</x:v>
      </x:c>
      <x:c r="G30" s="37" t="n">
        <x:f>'Brand Portfolio'!O19</x:f>
        <x:v>1.9451241310823661</x:v>
      </x:c>
      <x:c r="H30" s="26" t="n">
        <x:f>E30/1514.88</x:f>
        <x:v>0.18471430080270382</x:v>
      </x:c>
      <x:c r="I30" s="58"/>
      <x:c r="J30" s="58"/>
      <x:c r="K30" s="58"/>
      <x:c r="L30" s="58"/>
    </x:row>
    <x:row r="31">
      <x:c r="A31" s="22" t="str">
        <x:v>Pfizer Limited</x:v>
      </x:c>
      <x:c r="B31" s="39" t="n">
        <x:v>4</x:v>
      </x:c>
      <x:c r="C31" s="22" t="str">
        <x:v>Minipress-XL</x:v>
      </x:c>
      <x:c r="D31" s="22" t="str">
        <x:v>Cardiovascular</x:v>
      </x:c>
      <x:c r="E31" s="37" t="n">
        <x:f>'Brand Portfolio'!L25</x:f>
        <x:v>250.74</x:v>
      </x:c>
      <x:c r="F31" s="26" t="n">
        <x:f>'Brand Portfolio'!M25</x:f>
        <x:v>-0.0412</x:v>
      </x:c>
      <x:c r="G31" s="37" t="n">
        <x:f>'Brand Portfolio'!O25</x:f>
        <x:v>-10.77439299123904</x:v>
      </x:c>
      <x:c r="H31" s="26" t="n">
        <x:f>E31/1514.88</x:f>
        <x:v>0.1655180608365019</x:v>
      </x:c>
      <x:c r="I31" s="58"/>
      <x:c r="J31" s="58"/>
      <x:c r="K31" s="58"/>
      <x:c r="L31" s="58"/>
    </x:row>
    <x:row r="32">
      <x:c r="A32" s="22" t="str">
        <x:v>Pfizer Limited</x:v>
      </x:c>
      <x:c r="B32" s="39" t="n">
        <x:v>5</x:v>
      </x:c>
      <x:c r="C32" s="22" t="str">
        <x:v>Mucaine</x:v>
      </x:c>
      <x:c r="D32" s="22" t="str">
        <x:v>Gastrointestinal</x:v>
      </x:c>
      <x:c r="E32" s="37" t="n">
        <x:f>'Brand Portfolio'!L28</x:f>
        <x:v>211.9</x:v>
      </x:c>
      <x:c r="F32" s="26" t="n">
        <x:f>'Brand Portfolio'!M28</x:f>
        <x:v>0.1637</x:v>
      </x:c>
      <x:c r="G32" s="37" t="n">
        <x:f>'Brand Portfolio'!O28</x:f>
        <x:v>29.80839563461373</x:v>
      </x:c>
      <x:c r="H32" s="26" t="n">
        <x:f>E32/1514.88</x:f>
        <x:v>0.1398790663286861</x:v>
      </x:c>
      <x:c r="I32" s="58"/>
      <x:c r="J32" s="58"/>
      <x:c r="K32" s="58"/>
      <x:c r="L32" s="58"/>
    </x:row>
    <x:row r="33">
      <x:c r="A33" s="22" t="str">
        <x:v>Pfizer Limited</x:v>
      </x:c>
      <x:c r="B33" s="39" t="n">
        <x:v>6</x:v>
      </x:c>
      <x:c r="C33" s="22" t="str">
        <x:v>Gelusil-MPS</x:v>
      </x:c>
      <x:c r="D33" s="22" t="str">
        <x:v>Gastrointestinal</x:v>
      </x:c>
      <x:c r="E33" s="37" t="n">
        <x:f>'Brand Portfolio'!L36</x:f>
        <x:v>133</x:v>
      </x:c>
      <x:c r="F33" s="26" t="n">
        <x:f>'Brand Portfolio'!M36</x:f>
        <x:v>0.0769</x:v>
      </x:c>
      <x:c r="G33" s="37" t="n">
        <x:f>'Brand Portfolio'!O36</x:f>
        <x:v>9.49735351471817</x:v>
      </x:c>
      <x:c r="H33" s="26" t="n">
        <x:f>E33/1514.88</x:f>
        <x:v>0.08779573299535276</x:v>
      </x:c>
      <x:c r="I33" s="58"/>
      <x:c r="J33" s="58"/>
      <x:c r="K33" s="58"/>
      <x:c r="L33" s="58"/>
    </x:row>
  </x:sheetData>
  <x:conditionalFormatting sqref="H6:I8">
    <x:cfRule type="colorScale" priority="1">
      <x:colorScale>
        <x:cfvo type="min"/>
        <x:cfvo type="num" val="0"/>
        <x:cfvo type="max"/>
        <x:color rgb="FFB33A3A"/>
        <x:color rgb="FFF3F4F6"/>
        <x:color rgb="FF1B7F5C"/>
      </x:colorScale>
    </x:cfRule>
  </x:conditionalFormatting>
  <x:conditionalFormatting sqref="F13:G33">
    <x:cfRule type="colorScale" priority="2">
      <x:colorScale>
        <x:cfvo type="min"/>
        <x:cfvo type="num" val="0"/>
        <x:cfvo type="max"/>
        <x:color rgb="FFB33A3A"/>
        <x:color rgb="FFF3F4F6"/>
        <x:color rgb="FF1B7F5C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C9B27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1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2">
      <x:c r="A2" s="55" t="str">
        <x:v>Raw company monthly data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  <x:c r="Y2" s="56"/>
      <x:c r="Z2" s="56"/>
    </x:row>
    <x:row r="3">
      <x:c r="A3" s="57" t="str">
        <x:v>Source: 20 supplied corporate IPM screenshots, Jan 2025 to Aug 2026. Blue cells are extracted inputs; black cells are formulas.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8"/>
      <x:c r="B4" s="58"/>
      <x:c r="C4" s="58"/>
      <x:c r="D4" s="58"/>
      <x:c r="E4" s="58"/>
      <x:c r="F4" s="58"/>
      <x:c r="G4" s="58"/>
      <x:c r="H4" s="58"/>
      <x:c r="I4" s="58"/>
      <x:c r="J4" s="58"/>
      <x:c r="K4" s="58"/>
      <x:c r="L4" s="58"/>
      <x:c r="M4" s="58"/>
      <x:c r="N4" s="58"/>
      <x:c r="O4" s="58"/>
      <x:c r="P4" s="58"/>
      <x:c r="Q4" s="58"/>
      <x:c r="R4" s="58"/>
      <x:c r="S4" s="58"/>
      <x:c r="T4" s="58"/>
      <x:c r="U4" s="58"/>
      <x:c r="V4" s="58"/>
      <x:c r="W4" s="58"/>
      <x:c r="X4" s="58"/>
      <x:c r="Y4" s="58"/>
      <x:c r="Z4" s="58"/>
    </x:row>
    <x:row r="5">
      <x:c r="A5" s="18" t="str">
        <x:v>Date</x:v>
      </x:c>
      <x:c r="B5" s="19" t="str">
        <x:v>Month</x:v>
      </x:c>
      <x:c r="C5" s="19" t="str">
        <x:v>IPM growth</x:v>
      </x:c>
      <x:c r="D5" s="19" t="str">
        <x:v>Abbott group sales</x:v>
      </x:c>
      <x:c r="E5" s="19" t="str">
        <x:v>Abbott group share</x:v>
      </x:c>
      <x:c r="F5" s="19" t="str">
        <x:v>Abbott group growth</x:v>
      </x:c>
      <x:c r="G5" s="19" t="str">
        <x:v>Abbott India sales</x:v>
      </x:c>
      <x:c r="H5" s="19" t="str">
        <x:v>Within Abbott group</x:v>
      </x:c>
      <x:c r="I5" s="19" t="str">
        <x:v>Abbott source growth</x:v>
      </x:c>
      <x:c r="J5" s="19" t="str">
        <x:v>Abbott implied IPM share</x:v>
      </x:c>
      <x:c r="K5" s="19" t="str">
        <x:v>GSK group sales</x:v>
      </x:c>
      <x:c r="L5" s="19" t="str">
        <x:v>GSK group share</x:v>
      </x:c>
      <x:c r="M5" s="19" t="str">
        <x:v>GSK group growth</x:v>
      </x:c>
      <x:c r="N5" s="19" t="str">
        <x:v>GSK India sales</x:v>
      </x:c>
      <x:c r="O5" s="19" t="str">
        <x:v>Within GSK group</x:v>
      </x:c>
      <x:c r="P5" s="19" t="str">
        <x:v>GSK source growth</x:v>
      </x:c>
      <x:c r="Q5" s="19" t="str">
        <x:v>GSK implied IPM share</x:v>
      </x:c>
      <x:c r="R5" s="19" t="str">
        <x:v>Pfizer sales</x:v>
      </x:c>
      <x:c r="S5" s="19" t="str">
        <x:v>Pfizer IPM share</x:v>
      </x:c>
      <x:c r="T5" s="19" t="str">
        <x:v>Pfizer growth</x:v>
      </x:c>
      <x:c r="U5" s="19" t="str">
        <x:v>Abbott delta vs IPM</x:v>
      </x:c>
      <x:c r="V5" s="19" t="str">
        <x:v>GSK delta vs IPM</x:v>
      </x:c>
      <x:c r="W5" s="19" t="str">
        <x:v>Pfizer delta vs IPM</x:v>
      </x:c>
      <x:c r="X5" s="19" t="str">
        <x:v>Abbott sales index</x:v>
      </x:c>
      <x:c r="Y5" s="19" t="str">
        <x:v>GSK sales index</x:v>
      </x:c>
      <x:c r="Z5" s="19" t="str">
        <x:v>Pfizer sales index</x:v>
      </x:c>
    </x:row>
    <x:row r="6">
      <x:c r="A6" s="24" t="n">
        <x:v>45658</x:v>
      </x:c>
      <x:c r="B6" s="23" t="str">
        <x:v>Jan-25</x:v>
      </x:c>
      <x:c r="C6" s="25" t="n">
        <x:v>0.0841</x:v>
      </x:c>
      <x:c r="D6" s="27" t="n">
        <x:v>1226.85</x:v>
      </x:c>
      <x:c r="E6" s="25" t="n">
        <x:v>0.0631</x:v>
      </x:c>
      <x:c r="F6" s="25" t="n">
        <x:v>0.1111</x:v>
      </x:c>
      <x:c r="G6" s="27" t="n">
        <x:v>455.25</x:v>
      </x:c>
      <x:c r="H6" s="25" t="n">
        <x:v>0.3711</x:v>
      </x:c>
      <x:c r="I6" s="25" t="n">
        <x:v>0.1215</x:v>
      </x:c>
      <x:c r="J6" s="26" t="n">
        <x:f>G6*E6/D6</x:f>
        <x:v>0.023414659493825655</x:v>
      </x:c>
      <x:c r="K6" s="27" t="n">
        <x:v>418.38</x:v>
      </x:c>
      <x:c r="L6" s="25" t="n">
        <x:v>0.0215</x:v>
      </x:c>
      <x:c r="M6" s="25" t="n">
        <x:v>0.0135</x:v>
      </x:c>
      <x:c r="N6" s="27" t="n">
        <x:v>396.97</x:v>
      </x:c>
      <x:c r="O6" s="25" t="n">
        <x:v>0.9488</x:v>
      </x:c>
      <x:c r="P6" s="25" t="n">
        <x:v>0.0187</x:v>
      </x:c>
      <x:c r="Q6" s="26" t="n">
        <x:f>N6*L6/K6</x:f>
        <x:v>0.020399768153353412</x:v>
      </x:c>
      <x:c r="R6" s="27" t="n">
        <x:v>287.91</x:v>
      </x:c>
      <x:c r="S6" s="25" t="n">
        <x:v>0.0148</x:v>
      </x:c>
      <x:c r="T6" s="25" t="n">
        <x:v>0.1177</x:v>
      </x:c>
      <x:c r="U6" s="26" t="n">
        <x:f>I6-C6</x:f>
        <x:v>0.0374</x:v>
      </x:c>
      <x:c r="V6" s="26" t="n">
        <x:f>P6-C6</x:f>
        <x:v>-0.06539999999999999</x:v>
      </x:c>
      <x:c r="W6" s="26" t="n">
        <x:f>T6-C6</x:f>
        <x:v>0.033600000000000005</x:v>
      </x:c>
      <x:c r="X6" s="28" t="n">
        <x:f>G6/$G$6</x:f>
        <x:v>1</x:v>
      </x:c>
      <x:c r="Y6" s="28" t="n">
        <x:f>N6/$N$6</x:f>
        <x:v>1</x:v>
      </x:c>
      <x:c r="Z6" s="29" t="n">
        <x:f>R6/$R$6</x:f>
        <x:v>1</x:v>
      </x:c>
    </x:row>
    <x:row r="7">
      <x:c r="A7" s="24" t="n">
        <x:v>45689</x:v>
      </x:c>
      <x:c r="B7" s="23" t="str">
        <x:v>Feb-25</x:v>
      </x:c>
      <x:c r="C7" s="25" t="n">
        <x:v>0.0414</x:v>
      </x:c>
      <x:c r="D7" s="27" t="n">
        <x:v>1166.75</x:v>
      </x:c>
      <x:c r="E7" s="25" t="n">
        <x:v>0.0623</x:v>
      </x:c>
      <x:c r="F7" s="25" t="n">
        <x:v>0.0557</x:v>
      </x:c>
      <x:c r="G7" s="27" t="n">
        <x:v>438.95</x:v>
      </x:c>
      <x:c r="H7" s="25" t="n">
        <x:v>0.3762</x:v>
      </x:c>
      <x:c r="I7" s="25" t="n">
        <x:v>0.0606</x:v>
      </x:c>
      <x:c r="J7" s="26" t="n">
        <x:f>G7*E7/D7</x:f>
        <x:v>0.023438255838868653</x:v>
      </x:c>
      <x:c r="K7" s="27" t="n">
        <x:v>422.42</x:v>
      </x:c>
      <x:c r="L7" s="25" t="n">
        <x:v>0.0226</x:v>
      </x:c>
      <x:c r="M7" s="25" t="n">
        <x:v>-0.0509</x:v>
      </x:c>
      <x:c r="N7" s="27" t="n">
        <x:v>403.82</x:v>
      </x:c>
      <x:c r="O7" s="25" t="n">
        <x:v>0.956</x:v>
      </x:c>
      <x:c r="P7" s="25" t="n">
        <x:v>-0.0483</x:v>
      </x:c>
      <x:c r="Q7" s="26" t="n">
        <x:f>N7*L7/K7</x:f>
        <x:v>0.021604876663036787</x:v>
      </x:c>
      <x:c r="R7" s="27" t="n">
        <x:v>274</x:v>
      </x:c>
      <x:c r="S7" s="25" t="n">
        <x:v>0.0146</x:v>
      </x:c>
      <x:c r="T7" s="25" t="n">
        <x:v>0.0771</x:v>
      </x:c>
      <x:c r="U7" s="26" t="n">
        <x:f>I7-C7</x:f>
        <x:v>0.019200000000000002</x:v>
      </x:c>
      <x:c r="V7" s="26" t="n">
        <x:f>P7-C7</x:f>
        <x:v>-0.0897</x:v>
      </x:c>
      <x:c r="W7" s="26" t="n">
        <x:f>T7-C7</x:f>
        <x:v>0.0357</x:v>
      </x:c>
      <x:c r="X7" s="28" t="n">
        <x:f>G7/$G$6</x:f>
        <x:v>0.9641954969796814</x:v>
      </x:c>
      <x:c r="Y7" s="28" t="n">
        <x:f>N7/$N$6</x:f>
        <x:v>1.0172557120185404</x:v>
      </x:c>
      <x:c r="Z7" s="29" t="n">
        <x:f>R7/$R$6</x:f>
        <x:v>0.951686290854781</x:v>
      </x:c>
    </x:row>
    <x:row r="8">
      <x:c r="A8" s="24" t="n">
        <x:v>45717</x:v>
      </x:c>
      <x:c r="B8" s="23" t="str">
        <x:v>Mar-25</x:v>
      </x:c>
      <x:c r="C8" s="25" t="n">
        <x:v>0.0927</x:v>
      </x:c>
      <x:c r="D8" s="27" t="n">
        <x:v>1210.77</x:v>
      </x:c>
      <x:c r="E8" s="25" t="n">
        <x:v>0.0637</x:v>
      </x:c>
      <x:c r="F8" s="25" t="n">
        <x:v>0.1103</x:v>
      </x:c>
      <x:c r="G8" s="27" t="n">
        <x:v>444.99</x:v>
      </x:c>
      <x:c r="H8" s="25" t="n">
        <x:v>0.3675</x:v>
      </x:c>
      <x:c r="I8" s="25" t="n">
        <x:v>0.0841</x:v>
      </x:c>
      <x:c r="J8" s="26" t="n">
        <x:f>G8*E8/D8</x:f>
        <x:v>0.023411434872023594</x:v>
      </x:c>
      <x:c r="K8" s="27" t="n">
        <x:v>445.92</x:v>
      </x:c>
      <x:c r="L8" s="25" t="n">
        <x:v>0.0235</x:v>
      </x:c>
      <x:c r="M8" s="25" t="n">
        <x:v>0.0441</x:v>
      </x:c>
      <x:c r="N8" s="27" t="n">
        <x:v>428.02</x:v>
      </x:c>
      <x:c r="O8" s="25" t="n">
        <x:v>0.9599</x:v>
      </x:c>
      <x:c r="P8" s="25" t="n">
        <x:v>0.0478</x:v>
      </x:c>
      <x:c r="Q8" s="26" t="n">
        <x:f>N8*L8/K8</x:f>
        <x:v>0.022556669357732328</x:v>
      </x:c>
      <x:c r="R8" s="27" t="n">
        <x:v>272.59</x:v>
      </x:c>
      <x:c r="S8" s="25" t="n">
        <x:v>0.0143</x:v>
      </x:c>
      <x:c r="T8" s="25" t="n">
        <x:v>0.1348</x:v>
      </x:c>
      <x:c r="U8" s="26" t="n">
        <x:f>I8-C8</x:f>
        <x:v>-0.00860000000000001</x:v>
      </x:c>
      <x:c r="V8" s="26" t="n">
        <x:f>P8-C8</x:f>
        <x:v>-0.0449</x:v>
      </x:c>
      <x:c r="W8" s="26" t="n">
        <x:f>T8-C8</x:f>
        <x:v>0.0421</x:v>
      </x:c>
      <x:c r="X8" s="28" t="n">
        <x:f>G8/$G$6</x:f>
        <x:v>0.9774629324546953</x:v>
      </x:c>
      <x:c r="Y8" s="28" t="n">
        <x:f>N8/$N$6</x:f>
        <x:v>1.078217497543895</x:v>
      </x:c>
      <x:c r="Z8" s="29" t="n">
        <x:f>R8/$R$6</x:f>
        <x:v>0.9467889270952726</x:v>
      </x:c>
    </x:row>
    <x:row r="9">
      <x:c r="A9" s="24" t="n">
        <x:v>45748</x:v>
      </x:c>
      <x:c r="B9" s="23" t="str">
        <x:v>Apr-25</x:v>
      </x:c>
      <x:c r="C9" s="25" t="n">
        <x:v>0.0741</x:v>
      </x:c>
      <x:c r="D9" s="27" t="n">
        <x:v>1349.77</x:v>
      </x:c>
      <x:c r="E9" s="25" t="n">
        <x:v>0.0639</x:v>
      </x:c>
      <x:c r="F9" s="25" t="n">
        <x:v>0.0941</x:v>
      </x:c>
      <x:c r="G9" s="27" t="n">
        <x:v>509.81</x:v>
      </x:c>
      <x:c r="H9" s="25" t="n">
        <x:v>0.3777</x:v>
      </x:c>
      <x:c r="I9" s="25" t="n">
        <x:v>0.0936</x:v>
      </x:c>
      <x:c r="J9" s="26" t="n">
        <x:f>G9*E9/D9</x:f>
        <x:v>0.024135118575757352</x:v>
      </x:c>
      <x:c r="K9" s="27" t="n">
        <x:v>459.87</x:v>
      </x:c>
      <x:c r="L9" s="25" t="n">
        <x:v>0.0218</x:v>
      </x:c>
      <x:c r="M9" s="25" t="n">
        <x:v>0.0236</x:v>
      </x:c>
      <x:c r="N9" s="27" t="n">
        <x:v>442.36</x:v>
      </x:c>
      <x:c r="O9" s="25" t="n">
        <x:v>0.9619</x:v>
      </x:c>
      <x:c r="P9" s="25" t="n">
        <x:v>0.024</x:v>
      </x:c>
      <x:c r="Q9" s="26" t="n">
        <x:f>N9*L9/K9</x:f>
        <x:v>0.020969943679735578</x:v>
      </x:c>
      <x:c r="R9" s="27" t="n">
        <x:v>310.56</x:v>
      </x:c>
      <x:c r="S9" s="25" t="n">
        <x:v>0.0147</x:v>
      </x:c>
      <x:c r="T9" s="25" t="n">
        <x:v>-0.0388</x:v>
      </x:c>
      <x:c r="U9" s="26" t="n">
        <x:f>I9-C9</x:f>
        <x:v>0.019500000000000003</x:v>
      </x:c>
      <x:c r="V9" s="26" t="n">
        <x:f>P9-C9</x:f>
        <x:v>-0.0501</x:v>
      </x:c>
      <x:c r="W9" s="26" t="n">
        <x:f>T9-C9</x:f>
        <x:v>-0.1129</x:v>
      </x:c>
      <x:c r="X9" s="28" t="n">
        <x:f>G9/$G$6</x:f>
        <x:v>1.1198462383305876</x:v>
      </x:c>
      <x:c r="Y9" s="28" t="n">
        <x:f>N9/$N$6</x:f>
        <x:v>1.1143411340907372</x:v>
      </x:c>
      <x:c r="Z9" s="29" t="n">
        <x:f>R9/$R$6</x:f>
        <x:v>1.078670417838908</x:v>
      </x:c>
    </x:row>
    <x:row r="10">
      <x:c r="A10" s="24" t="n">
        <x:v>45778</x:v>
      </x:c>
      <x:c r="B10" s="23" t="str">
        <x:v>May-25</x:v>
      </x:c>
      <x:c r="C10" s="25" t="n">
        <x:v>0.0686</x:v>
      </x:c>
      <x:c r="D10" s="27" t="n">
        <x:v>1284.39</x:v>
      </x:c>
      <x:c r="E10" s="25" t="n">
        <x:v>0.0633</x:v>
      </x:c>
      <x:c r="F10" s="25" t="n">
        <x:v>0.0826</x:v>
      </x:c>
      <x:c r="G10" s="27" t="n">
        <x:v>476.49</x:v>
      </x:c>
      <x:c r="H10" s="25" t="n">
        <x:v>0.371</x:v>
      </x:c>
      <x:c r="I10" s="25" t="n">
        <x:v>0.0889</x:v>
      </x:c>
      <x:c r="J10" s="26" t="n">
        <x:f>G10*E10/D10</x:f>
        <x:v>0.023483378880246653</x:v>
      </x:c>
      <x:c r="K10" s="27" t="n">
        <x:v>419.46</x:v>
      </x:c>
      <x:c r="L10" s="25" t="n">
        <x:v>0.0207</x:v>
      </x:c>
      <x:c r="M10" s="25" t="n">
        <x:v>0.0142</x:v>
      </x:c>
      <x:c r="N10" s="27" t="n">
        <x:v>402.47</x:v>
      </x:c>
      <x:c r="O10" s="25" t="n">
        <x:v>0.9595</x:v>
      </x:c>
      <x:c r="P10" s="25" t="n">
        <x:v>0.0109</x:v>
      </x:c>
      <x:c r="Q10" s="26" t="n">
        <x:f>N10*L10/K10</x:f>
        <x:v>0.019861557717064802</x:v>
      </x:c>
      <x:c r="R10" s="27" t="n">
        <x:v>292.66</x:v>
      </x:c>
      <x:c r="S10" s="25" t="n">
        <x:v>0.0144</x:v>
      </x:c>
      <x:c r="T10" s="25" t="n">
        <x:v>-0.017</x:v>
      </x:c>
      <x:c r="U10" s="26" t="n">
        <x:f>I10-C10</x:f>
        <x:v>0.020300000000000012</x:v>
      </x:c>
      <x:c r="V10" s="26" t="n">
        <x:f>P10-C10</x:f>
        <x:v>-0.057699999999999994</x:v>
      </x:c>
      <x:c r="W10" s="26" t="n">
        <x:f>T10-C10</x:f>
        <x:v>-0.0856</x:v>
      </x:c>
      <x:c r="X10" s="28" t="n">
        <x:f>G10/$G$6</x:f>
        <x:v>1.04665568369028</x:v>
      </x:c>
      <x:c r="Y10" s="28" t="n">
        <x:f>N10/$N$6</x:f>
        <x:v>1.0138549512557624</x:v>
      </x:c>
      <x:c r="Z10" s="29" t="n">
        <x:f>R10/$R$6</x:f>
        <x:v>1.0164982112465701</x:v>
      </x:c>
    </x:row>
    <x:row r="11">
      <x:c r="A11" s="24" t="n">
        <x:v>45809</x:v>
      </x:c>
      <x:c r="B11" s="23" t="str">
        <x:v>Jun-25</x:v>
      </x:c>
      <x:c r="C11" s="25" t="n">
        <x:v>0.1155</x:v>
      </x:c>
      <x:c r="D11" s="27" t="n">
        <x:v>1255.86</x:v>
      </x:c>
      <x:c r="E11" s="25" t="n">
        <x:v>0.0633</x:v>
      </x:c>
      <x:c r="F11" s="25" t="n">
        <x:v>0.0888</x:v>
      </x:c>
      <x:c r="G11" s="27" t="n">
        <x:v>489.83</x:v>
      </x:c>
      <x:c r="H11" s="25" t="n">
        <x:v>0.39</x:v>
      </x:c>
      <x:c r="I11" s="25" t="n">
        <x:v>0.0964</x:v>
      </x:c>
      <x:c r="J11" s="26" t="n">
        <x:f>G11*E11/D11</x:f>
        <x:v>0.024689248005350915</x:v>
      </x:c>
      <x:c r="K11" s="27" t="n">
        <x:v>414.28</x:v>
      </x:c>
      <x:c r="L11" s="25" t="n">
        <x:v>0.0209</x:v>
      </x:c>
      <x:c r="M11" s="25" t="n">
        <x:v>0.0796</x:v>
      </x:c>
      <x:c r="N11" s="27" t="n">
        <x:v>397.51</x:v>
      </x:c>
      <x:c r="O11" s="25" t="n">
        <x:v>0.9595</x:v>
      </x:c>
      <x:c r="P11" s="25" t="n">
        <x:v>0.0768</x:v>
      </x:c>
      <x:c r="Q11" s="26" t="n">
        <x:f>N11*L11/K11</x:f>
        <x:v>0.020053970744424058</x:v>
      </x:c>
      <x:c r="R11" s="27" t="n">
        <x:v>284.24</x:v>
      </x:c>
      <x:c r="S11" s="25" t="n">
        <x:v>0.0143</x:v>
      </x:c>
      <x:c r="T11" s="25" t="n">
        <x:v>0.0316</x:v>
      </x:c>
      <x:c r="U11" s="26" t="n">
        <x:f>I11-C11</x:f>
        <x:v>-0.019100000000000006</x:v>
      </x:c>
      <x:c r="V11" s="26" t="n">
        <x:f>P11-C11</x:f>
        <x:v>-0.03870000000000001</x:v>
      </x:c>
      <x:c r="W11" s="26" t="n">
        <x:f>T11-C11</x:f>
        <x:v>-0.0839</x:v>
      </x:c>
      <x:c r="X11" s="28" t="n">
        <x:f>G11/$G$6</x:f>
        <x:v>1.075958264689731</x:v>
      </x:c>
      <x:c r="Y11" s="28" t="n">
        <x:f>N11/$N$6</x:f>
        <x:v>1.0013603043051111</x:v>
      </x:c>
      <x:c r="Z11" s="29" t="n">
        <x:f>R11/$R$6</x:f>
        <x:v>0.9872529609947552</x:v>
      </x:c>
    </x:row>
    <x:row r="12">
      <x:c r="A12" s="24" t="n">
        <x:v>45839</x:v>
      </x:c>
      <x:c r="B12" s="23" t="str">
        <x:v>Jul-25</x:v>
      </x:c>
      <x:c r="C12" s="25" t="n">
        <x:v>0.0713</x:v>
      </x:c>
      <x:c r="D12" s="27" t="n">
        <x:v>1366.09</x:v>
      </x:c>
      <x:c r="E12" s="25" t="n">
        <x:v>0.064</x:v>
      </x:c>
      <x:c r="F12" s="25" t="n">
        <x:v>0.0714</x:v>
      </x:c>
      <x:c r="G12" s="27" t="n">
        <x:v>548.58</x:v>
      </x:c>
      <x:c r="H12" s="25" t="n">
        <x:v>0.4016</x:v>
      </x:c>
      <x:c r="I12" s="25" t="n">
        <x:v>0.0944</x:v>
      </x:c>
      <x:c r="J12" s="26" t="n">
        <x:f>G12*E12/D12</x:f>
        <x:v>0.02570044433382867</x:v>
      </x:c>
      <x:c r="K12" s="27" t="n">
        <x:v>462.6</x:v>
      </x:c>
      <x:c r="L12" s="25" t="n">
        <x:v>0.0217</x:v>
      </x:c>
      <x:c r="M12" s="25" t="n">
        <x:v>0.0237</x:v>
      </x:c>
      <x:c r="N12" s="27" t="n">
        <x:v>443.73</x:v>
      </x:c>
      <x:c r="O12" s="25" t="n">
        <x:v>0.9592</x:v>
      </x:c>
      <x:c r="P12" s="25" t="n">
        <x:v>0.0207</x:v>
      </x:c>
      <x:c r="Q12" s="26" t="n">
        <x:f>N12*L12/K12</x:f>
        <x:v>0.02081483138780804</x:v>
      </x:c>
      <x:c r="R12" s="27" t="n">
        <x:v>293.47</x:v>
      </x:c>
      <x:c r="S12" s="25" t="n">
        <x:v>0.0137</x:v>
      </x:c>
      <x:c r="T12" s="25" t="n">
        <x:v>0.0955</x:v>
      </x:c>
      <x:c r="U12" s="26" t="n">
        <x:f>I12-C12</x:f>
        <x:v>0.023099999999999996</x:v>
      </x:c>
      <x:c r="V12" s="26" t="n">
        <x:f>P12-C12</x:f>
        <x:v>-0.050600000000000006</x:v>
      </x:c>
      <x:c r="W12" s="26" t="n">
        <x:f>T12-C12</x:f>
        <x:v>0.0242</x:v>
      </x:c>
      <x:c r="X12" s="28" t="n">
        <x:f>G12/$G$6</x:f>
        <x:v>1.2050082372322901</x:v>
      </x:c>
      <x:c r="Y12" s="28" t="n">
        <x:f>N12/$N$6</x:f>
        <x:v>1.1177922764944455</x:v>
      </x:c>
      <x:c r="Z12" s="29" t="n">
        <x:f>R12/$R$6</x:f>
        <x:v>1.0193115904275643</x:v>
      </x:c>
    </x:row>
    <x:row r="13">
      <x:c r="A13" s="24" t="n">
        <x:v>45870</x:v>
      </x:c>
      <x:c r="B13" s="23" t="str">
        <x:v>Aug-25</x:v>
      </x:c>
      <x:c r="C13" s="25" t="n">
        <x:v>0.0814</x:v>
      </x:c>
      <x:c r="D13" s="27" t="n">
        <x:v>1369.04</x:v>
      </x:c>
      <x:c r="E13" s="25" t="n">
        <x:v>0.0627</x:v>
      </x:c>
      <x:c r="F13" s="25" t="n">
        <x:v>0.0579</x:v>
      </x:c>
      <x:c r="G13" s="27" t="n">
        <x:v>564.67</x:v>
      </x:c>
      <x:c r="H13" s="25" t="n">
        <x:v>0.4125</x:v>
      </x:c>
      <x:c r="I13" s="25" t="n">
        <x:v>0.069</x:v>
      </x:c>
      <x:c r="J13" s="26" t="n">
        <x:f>G13*E13/D13</x:f>
        <x:v>0.025861047887570852</x:v>
      </x:c>
      <x:c r="K13" s="27" t="n">
        <x:v>476.56</x:v>
      </x:c>
      <x:c r="L13" s="25" t="n">
        <x:v>0.0218</x:v>
      </x:c>
      <x:c r="M13" s="25" t="n">
        <x:v>0.042</x:v>
      </x:c>
      <x:c r="N13" s="27" t="n">
        <x:v>455.87</x:v>
      </x:c>
      <x:c r="O13" s="25" t="n">
        <x:v>0.9566</x:v>
      </x:c>
      <x:c r="P13" s="25" t="n">
        <x:v>0.0375</x:v>
      </x:c>
      <x:c r="Q13" s="26" t="n">
        <x:f>N13*L13/K13</x:f>
        <x:v>0.020853546248111463</x:v>
      </x:c>
      <x:c r="R13" s="27" t="n">
        <x:v>310.67</x:v>
      </x:c>
      <x:c r="S13" s="25" t="n">
        <x:v>0.0142</x:v>
      </x:c>
      <x:c r="T13" s="25" t="n">
        <x:v>0.0554</x:v>
      </x:c>
      <x:c r="U13" s="26" t="n">
        <x:f>I13-C13</x:f>
        <x:v>-0.012399999999999994</x:v>
      </x:c>
      <x:c r="V13" s="26" t="n">
        <x:f>P13-C13</x:f>
        <x:v>-0.0439</x:v>
      </x:c>
      <x:c r="W13" s="26" t="n">
        <x:f>T13-C13</x:f>
        <x:v>-0.026000000000000002</x:v>
      </x:c>
      <x:c r="X13" s="28" t="n">
        <x:f>G13/$G$6</x:f>
        <x:v>1.240351455244371</x:v>
      </x:c>
      <x:c r="Y13" s="28" t="n">
        <x:f>N13/$N$6</x:f>
        <x:v>1.1483739325389828</x:v>
      </x:c>
      <x:c r="Z13" s="29" t="n">
        <x:f>R13/$R$6</x:f>
        <x:v>1.0790524816783023</x:v>
      </x:c>
    </x:row>
    <x:row r="14">
      <x:c r="A14" s="24" t="n">
        <x:v>45901</x:v>
      </x:c>
      <x:c r="B14" s="23" t="str">
        <x:v>Sep-25</x:v>
      </x:c>
      <x:c r="C14" s="25" t="n">
        <x:v>0.061</x:v>
      </x:c>
      <x:c r="D14" s="27" t="n">
        <x:v>1377.83</x:v>
      </x:c>
      <x:c r="E14" s="25" t="n">
        <x:v>0.0642</x:v>
      </x:c>
      <x:c r="F14" s="25" t="n">
        <x:v>0.0682</x:v>
      </x:c>
      <x:c r="G14" s="27" t="n">
        <x:v>552.71</x:v>
      </x:c>
      <x:c r="H14" s="25" t="n">
        <x:v>0.4011</x:v>
      </x:c>
      <x:c r="I14" s="25" t="n">
        <x:v>0.0801</x:v>
      </x:c>
      <x:c r="J14" s="26" t="n">
        <x:f>G14*E14/D14</x:f>
        <x:v>0.025753526922769863</x:v>
      </x:c>
      <x:c r="K14" s="27" t="n">
        <x:v>464.04</x:v>
      </x:c>
      <x:c r="L14" s="25" t="n">
        <x:v>0.0216</x:v>
      </x:c>
      <x:c r="M14" s="25" t="n">
        <x:v>0.0237</x:v>
      </x:c>
      <x:c r="N14" s="27" t="n">
        <x:v>442.78</x:v>
      </x:c>
      <x:c r="O14" s="25" t="n">
        <x:v>0.9542</x:v>
      </x:c>
      <x:c r="P14" s="25" t="n">
        <x:v>0.0216</x:v>
      </x:c>
      <x:c r="Q14" s="26" t="n">
        <x:f>N14*L14/K14</x:f>
        <x:v>0.020610395655546933</x:v>
      </x:c>
      <x:c r="R14" s="27" t="n">
        <x:v>315.16</x:v>
      </x:c>
      <x:c r="S14" s="25" t="n">
        <x:v>0.0147</x:v>
      </x:c>
      <x:c r="T14" s="25" t="n">
        <x:v>0.0664</x:v>
      </x:c>
      <x:c r="U14" s="26" t="n">
        <x:f>I14-C14</x:f>
        <x:v>0.019100000000000006</x:v>
      </x:c>
      <x:c r="V14" s="26" t="n">
        <x:f>P14-C14</x:f>
        <x:v>-0.0394</x:v>
      </x:c>
      <x:c r="W14" s="26" t="n">
        <x:f>T14-C14</x:f>
        <x:v>0.005400000000000002</x:v>
      </x:c>
      <x:c r="X14" s="28" t="n">
        <x:f>G14/$G$6</x:f>
        <x:v>1.2140801757276223</x:v>
      </x:c>
      <x:c r="Y14" s="28" t="n">
        <x:f>N14/$N$6</x:f>
        <x:v>1.1153991485502681</x:v>
      </x:c>
      <x:c r="Z14" s="29" t="n">
        <x:f>R14/$R$6</x:f>
        <x:v>1.0946476329408497</x:v>
      </x:c>
    </x:row>
    <x:row r="15">
      <x:c r="A15" s="24" t="n">
        <x:v>45931</x:v>
      </x:c>
      <x:c r="B15" s="23" t="str">
        <x:v>Oct-25</x:v>
      </x:c>
      <x:c r="C15" s="25" t="n">
        <x:v>0.1169</x:v>
      </x:c>
      <x:c r="D15" s="27" t="n">
        <x:v>1373.03</x:v>
      </x:c>
      <x:c r="E15" s="25" t="n">
        <x:v>0.0615</x:v>
      </x:c>
      <x:c r="F15" s="25" t="n">
        <x:v>0.0615</x:v>
      </x:c>
      <x:c r="G15" s="27" t="n">
        <x:v>546.68</x:v>
      </x:c>
      <x:c r="H15" s="25" t="n">
        <x:v>0.3982</x:v>
      </x:c>
      <x:c r="I15" s="25" t="n">
        <x:v>0.0902</x:v>
      </x:c>
      <x:c r="J15" s="26" t="n">
        <x:f>G15*E15/D15</x:f>
        <x:v>0.024486588057070855</x:v>
      </x:c>
      <x:c r="K15" s="27" t="n">
        <x:v>495.58</x:v>
      </x:c>
      <x:c r="L15" s="25" t="n">
        <x:v>0.0222</x:v>
      </x:c>
      <x:c r="M15" s="25" t="n">
        <x:v>0.0901</x:v>
      </x:c>
      <x:c r="N15" s="27" t="n">
        <x:v>470.95</x:v>
      </x:c>
      <x:c r="O15" s="25" t="n">
        <x:v>0.9503</x:v>
      </x:c>
      <x:c r="P15" s="25" t="n">
        <x:v>0.0839</x:v>
      </x:c>
      <x:c r="Q15" s="26" t="n">
        <x:f>N15*L15/K15</x:f>
        <x:v>0.021096674603494896</x:v>
      </x:c>
      <x:c r="R15" s="27" t="n">
        <x:v>331.01</x:v>
      </x:c>
      <x:c r="S15" s="25" t="n">
        <x:v>0.0148</x:v>
      </x:c>
      <x:c r="T15" s="25" t="n">
        <x:v>0.1148</x:v>
      </x:c>
      <x:c r="U15" s="26" t="n">
        <x:f>I15-C15</x:f>
        <x:v>-0.0267</x:v>
      </x:c>
      <x:c r="V15" s="26" t="n">
        <x:f>P15-C15</x:f>
        <x:v>-0.033</x:v>
      </x:c>
      <x:c r="W15" s="26" t="n">
        <x:f>T15-C15</x:f>
        <x:v>-0.0021000000000000046</x:v>
      </x:c>
      <x:c r="X15" s="28" t="n">
        <x:f>G15/$G$6</x:f>
        <x:v>1.2008347062053815</x:v>
      </x:c>
      <x:c r="Y15" s="28" t="n">
        <x:f>N15/$N$6</x:f>
        <x:v>1.1863616898002367</x:v>
      </x:c>
      <x:c r="Z15" s="29" t="n">
        <x:f>R15/$R$6</x:f>
        <x:v>1.1496995588899308</x:v>
      </x:c>
    </x:row>
    <x:row r="16">
      <x:c r="A16" s="24" t="n">
        <x:v>45962</x:v>
      </x:c>
      <x:c r="B16" s="23" t="str">
        <x:v>Nov-25</x:v>
      </x:c>
      <x:c r="C16" s="25" t="n">
        <x:v>0.0856</x:v>
      </x:c>
      <x:c r="D16" s="27" t="n">
        <x:v>1338.12</x:v>
      </x:c>
      <x:c r="E16" s="25" t="n">
        <x:v>0.0617</x:v>
      </x:c>
      <x:c r="F16" s="25" t="n">
        <x:v>0.0539</x:v>
      </x:c>
      <x:c r="G16" s="27" t="n">
        <x:v>547.06</x:v>
      </x:c>
      <x:c r="H16" s="25" t="n">
        <x:v>0.4088</x:v>
      </x:c>
      <x:c r="I16" s="25" t="n">
        <x:v>0.0705</x:v>
      </x:c>
      <x:c r="J16" s="26" t="n">
        <x:f>G16*E16/D16</x:f>
        <x:v>0.025224645024362537</x:v>
      </x:c>
      <x:c r="K16" s="27" t="n">
        <x:v>500.4</x:v>
      </x:c>
      <x:c r="L16" s="25" t="n">
        <x:v>0.0231</x:v>
      </x:c>
      <x:c r="M16" s="25" t="n">
        <x:v>0.1139</x:v>
      </x:c>
      <x:c r="N16" s="27" t="n">
        <x:v>474.83</x:v>
      </x:c>
      <x:c r="O16" s="25" t="n">
        <x:v>0.9489</x:v>
      </x:c>
      <x:c r="P16" s="25" t="n">
        <x:v>0.1139</x:v>
      </x:c>
      <x:c r="Q16" s="26" t="n">
        <x:f>N16*L16/K16</x:f>
        <x:v>0.0219196103117506</x:v>
      </x:c>
      <x:c r="R16" s="27" t="n">
        <x:v>333.21</x:v>
      </x:c>
      <x:c r="S16" s="25" t="n">
        <x:v>0.0154</x:v>
      </x:c>
      <x:c r="T16" s="25" t="n">
        <x:v>0.0985</x:v>
      </x:c>
      <x:c r="U16" s="26" t="n">
        <x:f>I16-C16</x:f>
        <x:v>-0.015100000000000002</x:v>
      </x:c>
      <x:c r="V16" s="26" t="n">
        <x:f>P16-C16</x:f>
        <x:v>0.028300000000000006</x:v>
      </x:c>
      <x:c r="W16" s="26" t="n">
        <x:f>T16-C16</x:f>
        <x:v>0.012900000000000009</x:v>
      </x:c>
      <x:c r="X16" s="28" t="n">
        <x:f>G16/$G$6</x:f>
        <x:v>1.2016694124107632</x:v>
      </x:c>
      <x:c r="Y16" s="28" t="n">
        <x:f>N16/$N$6</x:f>
        <x:v>1.1961357281406655</x:v>
      </x:c>
      <x:c r="Z16" s="29" t="n">
        <x:f>R16/$R$6</x:f>
        <x:v>1.1573408356778159</x:v>
      </x:c>
    </x:row>
    <x:row r="17">
      <x:c r="A17" s="24" t="n">
        <x:v>45992</x:v>
      </x:c>
      <x:c r="B17" s="23" t="str">
        <x:v>Dec-25</x:v>
      </x:c>
      <x:c r="C17" s="25" t="n">
        <x:v>0.1499</x:v>
      </x:c>
      <x:c r="D17" s="27" t="n">
        <x:v>1360.1</x:v>
      </x:c>
      <x:c r="E17" s="25" t="n">
        <x:v>0.0613</x:v>
      </x:c>
      <x:c r="F17" s="25" t="n">
        <x:v>0.0887</x:v>
      </x:c>
      <x:c r="G17" s="27" t="n">
        <x:v>553.16</x:v>
      </x:c>
      <x:c r="H17" s="25" t="n">
        <x:v>0.4067</x:v>
      </x:c>
      <x:c r="I17" s="25" t="n">
        <x:v>0.12</x:v>
      </x:c>
      <x:c r="J17" s="26" t="n">
        <x:f>G17*E17/D17</x:f>
        <x:v>0.024931040364679066</x:v>
      </x:c>
      <x:c r="K17" s="27" t="n">
        <x:v>488.31</x:v>
      </x:c>
      <x:c r="L17" s="25" t="n">
        <x:v>0.022</x:v>
      </x:c>
      <x:c r="M17" s="25" t="n">
        <x:v>0.1265</x:v>
      </x:c>
      <x:c r="N17" s="27" t="n">
        <x:v>461.27</x:v>
      </x:c>
      <x:c r="O17" s="25" t="n">
        <x:v>0.9446</x:v>
      </x:c>
      <x:c r="P17" s="25" t="n">
        <x:v>0.1195</x:v>
      </x:c>
      <x:c r="Q17" s="26" t="n">
        <x:f>N17*L17/K17</x:f>
        <x:v>0.020781757490118978</x:v>
      </x:c>
      <x:c r="R17" s="27" t="n">
        <x:v>345.54</x:v>
      </x:c>
      <x:c r="S17" s="25" t="n">
        <x:v>0.0156</x:v>
      </x:c>
      <x:c r="T17" s="25" t="n">
        <x:v>0.1974</x:v>
      </x:c>
      <x:c r="U17" s="26" t="n">
        <x:f>I17-C17</x:f>
        <x:v>-0.02990000000000001</x:v>
      </x:c>
      <x:c r="V17" s="26" t="n">
        <x:f>P17-C17</x:f>
        <x:v>-0.03040000000000001</x:v>
      </x:c>
      <x:c r="W17" s="26" t="n">
        <x:f>T17-C17</x:f>
        <x:v>0.04749999999999999</x:v>
      </x:c>
      <x:c r="X17" s="28" t="n">
        <x:f>G17/$G$6</x:f>
        <x:v>1.2150686436024163</x:v>
      </x:c>
      <x:c r="Y17" s="28" t="n">
        <x:f>N17/$N$6</x:f>
        <x:v>1.1619769755900948</x:v>
      </x:c>
      <x:c r="Z17" s="29" t="n">
        <x:f>R17/$R$6</x:f>
        <x:v>1.200166718766281</x:v>
      </x:c>
    </x:row>
    <x:row r="18">
      <x:c r="A18" s="24" t="n">
        <x:v>46023</x:v>
      </x:c>
      <x:c r="B18" s="23" t="str">
        <x:v>Jan-26</x:v>
      </x:c>
      <x:c r="C18" s="25" t="n">
        <x:v>0.1147</x:v>
      </x:c>
      <x:c r="D18" s="27" t="n">
        <x:v>1323.76</x:v>
      </x:c>
      <x:c r="E18" s="25" t="n">
        <x:v>0.0609</x:v>
      </x:c>
      <x:c r="F18" s="25" t="n">
        <x:v>0.0504</x:v>
      </x:c>
      <x:c r="G18" s="27" t="n">
        <x:v>529.1</x:v>
      </x:c>
      <x:c r="H18" s="25" t="n">
        <x:v>0.3997</x:v>
      </x:c>
      <x:c r="I18" s="25" t="n">
        <x:v>0.0827</x:v>
      </x:c>
      <x:c r="J18" s="26" t="n">
        <x:f>G18*E18/D18</x:f>
        <x:v>0.024341413851453438</x:v>
      </x:c>
      <x:c r="K18" s="27" t="n">
        <x:v>470.57</x:v>
      </x:c>
      <x:c r="L18" s="25" t="n">
        <x:v>0.0216</x:v>
      </x:c>
      <x:c r="M18" s="25" t="n">
        <x:v>0.1246</x:v>
      </x:c>
      <x:c r="N18" s="27" t="n">
        <x:v>445.56</x:v>
      </x:c>
      <x:c r="O18" s="25" t="n">
        <x:v>0.9469</x:v>
      </x:c>
      <x:c r="P18" s="25" t="n">
        <x:v>0.1224</x:v>
      </x:c>
      <x:c r="Q18" s="26" t="n">
        <x:f>N18*L18/K18</x:f>
        <x:v>0.02045199651486495</x:v>
      </x:c>
      <x:c r="R18" s="27" t="n">
        <x:v>277.62</x:v>
      </x:c>
      <x:c r="S18" s="25" t="n">
        <x:v>0.0128</x:v>
      </x:c>
      <x:c r="T18" s="25" t="n">
        <x:v>0.149</x:v>
      </x:c>
      <x:c r="U18" s="26" t="n">
        <x:f>I18-C18</x:f>
        <x:v>-0.032</x:v>
      </x:c>
      <x:c r="V18" s="26" t="n">
        <x:f>P18-C18</x:f>
        <x:v>0.0076999999999999985</x:v>
      </x:c>
      <x:c r="W18" s="26" t="n">
        <x:f>T18-C18</x:f>
        <x:v>0.0343</x:v>
      </x:c>
      <x:c r="X18" s="28" t="n">
        <x:f>G18/$G$6</x:f>
        <x:v>1.1622185612300935</x:v>
      </x:c>
      <x:c r="Y18" s="28" t="n">
        <x:f>N18/$N$6</x:f>
        <x:v>1.1224021966395445</x:v>
      </x:c>
      <x:c r="Z18" s="29" t="n">
        <x:f>R18/$R$6</x:f>
        <x:v>0.9642596644784828</x:v>
      </x:c>
    </x:row>
    <x:row r="19">
      <x:c r="A19" s="24" t="n">
        <x:v>46054</x:v>
      </x:c>
      <x:c r="B19" s="23" t="str">
        <x:v>Feb-26</x:v>
      </x:c>
      <x:c r="C19" s="25" t="n">
        <x:v>0.1242</x:v>
      </x:c>
      <x:c r="D19" s="27" t="n">
        <x:v>1335.39</x:v>
      </x:c>
      <x:c r="E19" s="25" t="n">
        <x:v>0.0633</x:v>
      </x:c>
      <x:c r="F19" s="25" t="n">
        <x:v>0.1159</x:v>
      </x:c>
      <x:c r="G19" s="27" t="n">
        <x:v>547.45</x:v>
      </x:c>
      <x:c r="H19" s="25" t="n">
        <x:v>0.41</x:v>
      </x:c>
      <x:c r="I19" s="25" t="n">
        <x:v>0.1676</x:v>
      </x:c>
      <x:c r="J19" s="26" t="n">
        <x:f>G19*E19/D19</x:f>
        <x:v>0.02595016062723249</x:v>
      </x:c>
      <x:c r="K19" s="27" t="n">
        <x:v>459.38</x:v>
      </x:c>
      <x:c r="L19" s="25" t="n">
        <x:v>0.0218</x:v>
      </x:c>
      <x:c r="M19" s="25" t="n">
        <x:v>0.087</x:v>
      </x:c>
      <x:c r="N19" s="27" t="n">
        <x:v>436.9</x:v>
      </x:c>
      <x:c r="O19" s="25" t="n">
        <x:v>0.9511</x:v>
      </x:c>
      <x:c r="P19" s="25" t="n">
        <x:v>0.0817</x:v>
      </x:c>
      <x:c r="Q19" s="26" t="n">
        <x:f>N19*L19/K19</x:f>
        <x:v>0.020733205624972786</x:v>
      </x:c>
      <x:c r="R19" s="27" t="n">
        <x:v>259.59</x:v>
      </x:c>
      <x:c r="S19" s="25" t="n">
        <x:v>0.0123</x:v>
      </x:c>
      <x:c r="T19" s="25" t="n">
        <x:v>0.1294</x:v>
      </x:c>
      <x:c r="U19" s="26" t="n">
        <x:f>I19-C19</x:f>
        <x:v>0.043399999999999994</x:v>
      </x:c>
      <x:c r="V19" s="26" t="n">
        <x:f>P19-C19</x:f>
        <x:v>-0.04250000000000001</x:v>
      </x:c>
      <x:c r="W19" s="26" t="n">
        <x:f>T19-C19</x:f>
        <x:v>0.005199999999999982</x:v>
      </x:c>
      <x:c r="X19" s="28" t="n">
        <x:f>G19/$G$6</x:f>
        <x:v>1.2025260845689183</x:v>
      </x:c>
      <x:c r="Y19" s="28" t="n">
        <x:f>N19/$N$6</x:f>
        <x:v>1.100586946116835</x:v>
      </x:c>
      <x:c r="Z19" s="29" t="n">
        <x:f>R19/$R$6</x:f>
        <x:v>0.9016359278941334</x:v>
      </x:c>
    </x:row>
    <x:row r="20">
      <x:c r="A20" s="24" t="n">
        <x:v>46082</x:v>
      </x:c>
      <x:c r="B20" s="23" t="str">
        <x:v>Mar-26</x:v>
      </x:c>
      <x:c r="C20" s="25" t="n">
        <x:v>0.1069</x:v>
      </x:c>
      <x:c r="D20" s="27" t="n">
        <x:v>1382.65</x:v>
      </x:c>
      <x:c r="E20" s="25" t="n">
        <x:v>0.0656</x:v>
      </x:c>
      <x:c r="F20" s="25" t="n">
        <x:v>0.1134</x:v>
      </x:c>
      <x:c r="G20" s="27" t="n">
        <x:v>554.04</x:v>
      </x:c>
      <x:c r="H20" s="25" t="n">
        <x:v>0.4007</x:v>
      </x:c>
      <x:c r="I20" s="25" t="n">
        <x:v>0.164</x:v>
      </x:c>
      <x:c r="J20" s="26" t="n">
        <x:f>G20*E20/D20</x:f>
        <x:v>0.026286496221024844</x:v>
      </x:c>
      <x:c r="K20" s="27" t="n">
        <x:v>480.86</x:v>
      </x:c>
      <x:c r="L20" s="25" t="n">
        <x:v>0.0228</x:v>
      </x:c>
      <x:c r="M20" s="25" t="n">
        <x:v>0.0778</x:v>
      </x:c>
      <x:c r="N20" s="27" t="n">
        <x:v>459.28</x:v>
      </x:c>
      <x:c r="O20" s="25" t="n">
        <x:v>0.9551</x:v>
      </x:c>
      <x:c r="P20" s="25" t="n">
        <x:v>0.0727</x:v>
      </x:c>
      <x:c r="Q20" s="26" t="n">
        <x:f>N20*L20/K20</x:f>
        <x:v>0.021776783263319884</x:v>
      </x:c>
      <x:c r="R20" s="27" t="n">
        <x:v>256.24</x:v>
      </x:c>
      <x:c r="S20" s="25" t="n">
        <x:v>0.0121</x:v>
      </x:c>
      <x:c r="T20" s="25" t="n">
        <x:v>0.0986</x:v>
      </x:c>
      <x:c r="U20" s="26" t="n">
        <x:f>I20-C20</x:f>
        <x:v>0.05710000000000001</x:v>
      </x:c>
      <x:c r="V20" s="26" t="n">
        <x:f>P20-C20</x:f>
        <x:v>-0.034199999999999994</x:v>
      </x:c>
      <x:c r="W20" s="26" t="n">
        <x:f>T20-C20</x:f>
        <x:v>-0.008300000000000002</x:v>
      </x:c>
      <x:c r="X20" s="28" t="n">
        <x:f>G20/$G$6</x:f>
        <x:v>1.217001647446458</x:v>
      </x:c>
      <x:c r="Y20" s="28" t="n">
        <x:f>N20/$N$6</x:f>
        <x:v>1.1569640023175554</x:v>
      </x:c>
      <x:c r="Z20" s="29" t="n">
        <x:f>R20/$R$6</x:f>
        <x:v>0.890000347330763</x:v>
      </x:c>
    </x:row>
    <x:row r="21">
      <x:c r="A21" s="24" t="n">
        <x:v>46113</x:v>
      </x:c>
      <x:c r="B21" s="23" t="str">
        <x:v>Apr-26</x:v>
      </x:c>
      <x:c r="C21" s="25" t="n">
        <x:v>0.1247</x:v>
      </x:c>
      <x:c r="D21" s="27" t="n">
        <x:v>1525.63</x:v>
      </x:c>
      <x:c r="E21" s="25" t="n">
        <x:v>0.0641</x:v>
      </x:c>
      <x:c r="F21" s="25" t="n">
        <x:v>0.104</x:v>
      </x:c>
      <x:c r="G21" s="27" t="n">
        <x:v>627.86</x:v>
      </x:c>
      <x:c r="H21" s="25" t="n">
        <x:v>0.4115</x:v>
      </x:c>
      <x:c r="I21" s="25" t="n">
        <x:v>0.1586</x:v>
      </x:c>
      <x:c r="J21" s="26" t="n">
        <x:f>G21*E21/D21</x:f>
        <x:v>0.026379807686005126</x:v>
      </x:c>
      <x:c r="K21" s="27" t="n">
        <x:v>502.2</x:v>
      </x:c>
      <x:c r="L21" s="25" t="n">
        <x:v>0.0211</x:v>
      </x:c>
      <x:c r="M21" s="25" t="n">
        <x:v>0.0915</x:v>
      </x:c>
      <x:c r="N21" s="27" t="n">
        <x:v>481.99</x:v>
      </x:c>
      <x:c r="O21" s="25" t="n">
        <x:v>0.9598</x:v>
      </x:c>
      <x:c r="P21" s="25" t="n">
        <x:v>0.0893</x:v>
      </x:c>
      <x:c r="Q21" s="26" t="n">
        <x:f>N21*L21/K21</x:f>
        <x:v>0.02025087415372362</x:v>
      </x:c>
      <x:c r="R21" s="27" t="n">
        <x:v>288.01</x:v>
      </x:c>
      <x:c r="S21" s="25" t="n">
        <x:v>0.0121</x:v>
      </x:c>
      <x:c r="T21" s="25" t="n">
        <x:v>0.0758</x:v>
      </x:c>
      <x:c r="U21" s="26" t="n">
        <x:f>I21-C21</x:f>
        <x:v>0.033899999999999986</x:v>
      </x:c>
      <x:c r="V21" s="26" t="n">
        <x:f>P21-C21</x:f>
        <x:v>-0.0354</x:v>
      </x:c>
      <x:c r="W21" s="26" t="n">
        <x:f>T21-C21</x:f>
        <x:v>-0.0489</x:v>
      </x:c>
      <x:c r="X21" s="28" t="n">
        <x:f>G21/$G$6</x:f>
        <x:v>1.3791543108182318</x:v>
      </x:c>
      <x:c r="Y21" s="28" t="n">
        <x:f>N21/$N$6</x:f>
        <x:v>1.2141723555936217</x:v>
      </x:c>
      <x:c r="Z21" s="29" t="n">
        <x:f>R21/$R$6</x:f>
        <x:v>1.0003473307630855</x:v>
      </x:c>
    </x:row>
    <x:row r="22">
      <x:c r="A22" s="24" t="n">
        <x:v>46143</x:v>
      </x:c>
      <x:c r="B22" s="23" t="str">
        <x:v>May-26</x:v>
      </x:c>
      <x:c r="C22" s="25" t="n">
        <x:v>0.1213</x:v>
      </x:c>
      <x:c r="D22" s="27" t="n">
        <x:v>1456.59</x:v>
      </x:c>
      <x:c r="E22" s="25" t="n">
        <x:v>0.0638</x:v>
      </x:c>
      <x:c r="F22" s="25" t="n">
        <x:v>0.1068</x:v>
      </x:c>
      <x:c r="G22" s="27" t="n">
        <x:v>592.64</x:v>
      </x:c>
      <x:c r="H22" s="25" t="n">
        <x:v>0.4069</x:v>
      </x:c>
      <x:c r="I22" s="25" t="n">
        <x:v>0.1662</x:v>
      </x:c>
      <x:c r="J22" s="26" t="n">
        <x:f>G22*E22/D22</x:f>
        <x:v>0.025958184526874414</x:v>
      </x:c>
      <x:c r="K22" s="27" t="n">
        <x:v>456.86</x:v>
      </x:c>
      <x:c r="L22" s="25" t="n">
        <x:v>0.02</x:v>
      </x:c>
      <x:c r="M22" s="25" t="n">
        <x:v>0.0889</x:v>
      </x:c>
      <x:c r="N22" s="27" t="n">
        <x:v>438.6</x:v>
      </x:c>
      <x:c r="O22" s="25" t="n">
        <x:v>0.96</x:v>
      </x:c>
      <x:c r="P22" s="25" t="n">
        <x:v>0.0896</x:v>
      </x:c>
      <x:c r="Q22" s="26" t="n">
        <x:f>N22*L22/K22</x:f>
        <x:v>0.019200630390053847</x:v>
      </x:c>
      <x:c r="R22" s="27" t="n">
        <x:v>287.18</x:v>
      </x:c>
      <x:c r="S22" s="25" t="n">
        <x:v>0.0126</x:v>
      </x:c>
      <x:c r="T22" s="25" t="n">
        <x:v>0.1312</x:v>
      </x:c>
      <x:c r="U22" s="26" t="n">
        <x:f>I22-C22</x:f>
        <x:v>0.04489999999999998</x:v>
      </x:c>
      <x:c r="V22" s="26" t="n">
        <x:f>P22-C22</x:f>
        <x:v>-0.031700000000000006</x:v>
      </x:c>
      <x:c r="W22" s="26" t="n">
        <x:f>T22-C22</x:f>
        <x:v>0.009900000000000006</x:v>
      </x:c>
      <x:c r="X22" s="28" t="n">
        <x:f>G22/$G$6</x:f>
        <x:v>1.3017902251510158</x:v>
      </x:c>
      <x:c r="Y22" s="28" t="n">
        <x:f>N22/$N$6</x:f>
        <x:v>1.1048693855958889</x:v>
      </x:c>
      <x:c r="Z22" s="29" t="n">
        <x:f>R22/$R$6</x:f>
        <x:v>0.9974644854294744</x:v>
      </x:c>
    </x:row>
    <x:row r="23">
      <x:c r="A23" s="24" t="n">
        <x:v>46174</x:v>
      </x:c>
      <x:c r="B23" s="23" t="str">
        <x:v>Jun-26</x:v>
      </x:c>
      <x:c r="C23" s="25" t="n">
        <x:v>0.1598</x:v>
      </x:c>
      <x:c r="D23" s="27" t="n">
        <x:v>1460.3</x:v>
      </x:c>
      <x:c r="E23" s="25" t="n">
        <x:v>0.0633</x:v>
      </x:c>
      <x:c r="F23" s="25" t="n">
        <x:v>0.1641</x:v>
      </x:c>
      <x:c r="G23" s="27" t="n">
        <x:v>587.31</x:v>
      </x:c>
      <x:c r="H23" s="25" t="n">
        <x:v>0.4022</x:v>
      </x:c>
      <x:c r="I23" s="25" t="n">
        <x:v>0.2028</x:v>
      </x:c>
      <x:c r="J23" s="26" t="n">
        <x:f>G23*E23/D23</x:f>
        <x:v>0.02545827775114702</x:v>
      </x:c>
      <x:c r="K23" s="27" t="n">
        <x:v>473.28</x:v>
      </x:c>
      <x:c r="L23" s="25" t="n">
        <x:v>0.0205</x:v>
      </x:c>
      <x:c r="M23" s="25" t="n">
        <x:v>0.1419</x:v>
      </x:c>
      <x:c r="N23" s="27" t="n">
        <x:v>454.11</x:v>
      </x:c>
      <x:c r="O23" s="25" t="n">
        <x:v>0.9595</x:v>
      </x:c>
      <x:c r="P23" s="25" t="n">
        <x:v>0.142</x:v>
      </x:c>
      <x:c r="Q23" s="26" t="n">
        <x:f>N23*L23/K23</x:f>
        <x:v>0.019669656440162272</x:v>
      </x:c>
      <x:c r="R23" s="27" t="n">
        <x:v>286.62</x:v>
      </x:c>
      <x:c r="S23" s="25" t="n">
        <x:v>0.0124</x:v>
      </x:c>
      <x:c r="T23" s="25" t="n">
        <x:v>0.1506</x:v>
      </x:c>
      <x:c r="U23" s="26" t="n">
        <x:f>I23-C23</x:f>
        <x:v>0.04300000000000001</x:v>
      </x:c>
      <x:c r="V23" s="26" t="n">
        <x:f>P23-C23</x:f>
        <x:v>-0.01780000000000001</x:v>
      </x:c>
      <x:c r="W23" s="26" t="n">
        <x:f>T23-C23</x:f>
        <x:v>-0.009199999999999986</x:v>
      </x:c>
      <x:c r="X23" s="28" t="n">
        <x:f>G23/$G$6</x:f>
        <x:v>1.2900823723228994</x:v>
      </x:c>
      <x:c r="Y23" s="28" t="n">
        <x:f>N23/$N$6</x:f>
        <x:v>1.1439403481371389</x:v>
      </x:c>
      <x:c r="Z23" s="29" t="n">
        <x:f>R23/$R$6</x:f>
        <x:v>0.9955194331561946</x:v>
      </x:c>
    </x:row>
    <x:row r="24">
      <x:c r="A24" s="24" t="n">
        <x:v>46204</x:v>
      </x:c>
      <x:c r="B24" s="23" t="str">
        <x:v>Jul-26</x:v>
      </x:c>
      <x:c r="C24" s="25" t="n">
        <x:v>0.1358</x:v>
      </x:c>
      <x:c r="D24" s="27" t="n">
        <x:v>1516.55</x:v>
      </x:c>
      <x:c r="E24" s="25" t="n">
        <x:v>0.0624</x:v>
      </x:c>
      <x:c r="F24" s="25" t="n">
        <x:v>0.111</x:v>
      </x:c>
      <x:c r="G24" s="27" t="n">
        <x:v>624.81</x:v>
      </x:c>
      <x:c r="H24" s="25" t="n">
        <x:v>0.412</x:v>
      </x:c>
      <x:c r="I24" s="25" t="n">
        <x:v>0.1412</x:v>
      </x:c>
      <x:c r="J24" s="26" t="n">
        <x:f>G24*E24/D24</x:f>
        <x:v>0.025708446144208894</x:v>
      </x:c>
      <x:c r="K24" s="27" t="n">
        <x:v>515.35</x:v>
      </x:c>
      <x:c r="L24" s="25" t="n">
        <x:v>0.0212</x:v>
      </x:c>
      <x:c r="M24" s="25" t="n">
        <x:v>0.1134</x:v>
      </x:c>
      <x:c r="N24" s="27" t="n">
        <x:v>494.4</x:v>
      </x:c>
      <x:c r="O24" s="25" t="n">
        <x:v>0.9594</x:v>
      </x:c>
      <x:c r="P24" s="25" t="n">
        <x:v>0.1136</x:v>
      </x:c>
      <x:c r="Q24" s="26" t="n">
        <x:f>N24*L24/K24</x:f>
        <x:v>0.020338177937324148</x:v>
      </x:c>
      <x:c r="R24" s="27" t="n">
        <x:v>300.82</x:v>
      </x:c>
      <x:c r="S24" s="25" t="n">
        <x:v>0.0124</x:v>
      </x:c>
      <x:c r="T24" s="25" t="n">
        <x:v>0.1644</x:v>
      </x:c>
      <x:c r="U24" s="26" t="n">
        <x:f>I24-C24</x:f>
        <x:v>0.005399999999999988</x:v>
      </x:c>
      <x:c r="V24" s="26" t="n">
        <x:f>P24-C24</x:f>
        <x:v>-0.022199999999999998</x:v>
      </x:c>
      <x:c r="W24" s="26" t="n">
        <x:f>T24-C24</x:f>
        <x:v>0.028599999999999987</x:v>
      </x:c>
      <x:c r="X24" s="28" t="n">
        <x:f>G24/$G$6</x:f>
        <x:v>1.372454695222405</x:v>
      </x:c>
      <x:c r="Y24" s="28" t="n">
        <x:f>N24/$N$6</x:f>
        <x:v>1.2454341637907145</x:v>
      </x:c>
      <x:c r="Z24" s="29" t="n">
        <x:f>R24/$R$6</x:f>
        <x:v>1.044840401514362</x:v>
      </x:c>
    </x:row>
    <x:row r="25">
      <x:c r="A25" s="30" t="n">
        <x:v>46235</x:v>
      </x:c>
      <x:c r="B25" s="31" t="str">
        <x:v>Aug-26</x:v>
      </x:c>
      <x:c r="C25" s="32" t="n">
        <x:v>0.1296</x:v>
      </x:c>
      <x:c r="D25" s="33" t="n">
        <x:v>1521.27</x:v>
      </x:c>
      <x:c r="E25" s="32" t="n">
        <x:v>0.0613</x:v>
      </x:c>
      <x:c r="F25" s="32" t="n">
        <x:v>0.1117</x:v>
      </x:c>
      <x:c r="G25" s="33" t="n">
        <x:v>624.85</x:v>
      </x:c>
      <x:c r="H25" s="32" t="n">
        <x:v>0.4107</x:v>
      </x:c>
      <x:c r="I25" s="32" t="n">
        <x:v>0.108</x:v>
      </x:c>
      <x:c r="J25" s="34" t="n">
        <x:f>G25*E25/D25</x:f>
        <x:v>0.02517850545925444</x:v>
      </x:c>
      <x:c r="K25" s="33" t="n">
        <x:v>528.25</x:v>
      </x:c>
      <x:c r="L25" s="32" t="n">
        <x:v>0.0213</x:v>
      </x:c>
      <x:c r="M25" s="32" t="n">
        <x:v>0.1084</x:v>
      </x:c>
      <x:c r="N25" s="33" t="n">
        <x:v>506.18</x:v>
      </x:c>
      <x:c r="O25" s="32" t="n">
        <x:v>0.9582</x:v>
      </x:c>
      <x:c r="P25" s="32" t="n">
        <x:v>0.1103</x:v>
      </x:c>
      <x:c r="Q25" s="34" t="n">
        <x:f>N25*L25/K25</x:f>
        <x:v>0.020410097491717936</x:v>
      </x:c>
      <x:c r="R25" s="33" t="n">
        <x:v>307.57</x:v>
      </x:c>
      <x:c r="S25" s="32" t="n">
        <x:v>0.0124</x:v>
      </x:c>
      <x:c r="T25" s="32" t="n">
        <x:v>0.0859</x:v>
      </x:c>
      <x:c r="U25" s="34" t="n">
        <x:f>I25-C25</x:f>
        <x:v>-0.021599999999999994</x:v>
      </x:c>
      <x:c r="V25" s="34" t="n">
        <x:f>P25-C25</x:f>
        <x:v>-0.019299999999999998</x:v>
      </x:c>
      <x:c r="W25" s="34" t="n">
        <x:f>T25-C25</x:f>
        <x:v>-0.04369999999999999</x:v>
      </x:c>
      <x:c r="X25" s="35" t="n">
        <x:f>G25/$G$6</x:f>
        <x:v>1.372542559033498</x:v>
      </x:c>
      <x:c r="Y25" s="35" t="n">
        <x:f>N25/$N$6</x:f>
        <x:v>1.2751089502985111</x:v>
      </x:c>
      <x:c r="Z25" s="36" t="n">
        <x:f>R25/$R$6</x:f>
        <x:v>1.0682852280226458</x:v>
      </x:c>
    </x:row>
  </x:sheetData>
  <x:pageMargins left="0.7" right="0.7" top="0.75" bottom="0.75" header="0.3" footer="0.3"/>
  <x:tableParts count="1">
    <x:tablePart xmlns:r="http://schemas.openxmlformats.org/officeDocument/2006/relationships" r:id="R6e102b5e702e411d"/>
  </x:tableParts>
</x:worksheet>
</file>

<file path=xl/worksheets/sheet8.xml><?xml version="1.0" encoding="utf-8"?>
<x:worksheet xmlns:x="http://schemas.openxmlformats.org/spreadsheetml/2006/main">
  <x:sheetPr>
    <x:tabColor rgb="FF6B7280"/>
  </x:sheetPr>
  <x:sheetViews>
    <x:sheetView showGridLines="0" workbookViewId="0"/>
  </x:sheetViews>
  <x:sheetFormatPr defaultRowHeight="15"/>
  <x:cols>
    <x:col min="2" max="2" width="85" hidden="0" customWidth="1"/>
    <x:col min="3" max="3" width="34" hidden="0" customWidth="1"/>
    <x:col min="1" max="1" width="24" hidden="0" customWidth="1"/>
  </x:cols>
  <x:sheetData>
    <x:row r="2">
      <x:c r="A2" s="55" t="str">
        <x:v>Audit trail, reconciliation and source notes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</x:row>
    <x:row r="3">
      <x:c r="A3" s="57" t="str">
        <x:v>This sheet is terminal: no output formula depends on it.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</x:row>
    <x:row r="4">
      <x:c r="A4" s="58"/>
      <x:c r="B4" s="58"/>
      <x:c r="C4" s="58"/>
      <x:c r="D4" s="58"/>
      <x:c r="E4" s="58"/>
      <x:c r="F4" s="58"/>
      <x:c r="G4" s="58"/>
      <x:c r="H4" s="58"/>
      <x:c r="I4" s="58"/>
      <x:c r="J4" s="58"/>
      <x:c r="K4" s="58"/>
      <x:c r="L4" s="58"/>
    </x:row>
    <x:row r="5">
      <x:c r="A5" s="45" t="str">
        <x:v>Reported growth versus recomputed Jan-Aug sales growth</x:v>
      </x:c>
      <x:c r="B5" s="46" t="str">
        <x:v>Reported growth versus recomputed Jan-Aug sales growth</x:v>
      </x:c>
      <x:c r="C5" s="46" t="str">
        <x:v>Reported growth versus recomputed Jan-Aug sales growth</x:v>
      </x:c>
      <x:c r="D5" s="46" t="str">
        <x:v>Reported growth versus recomputed Jan-Aug sales growth</x:v>
      </x:c>
      <x:c r="E5" s="46" t="str">
        <x:v>Reported growth versus recomputed Jan-Aug sales growth</x:v>
      </x:c>
      <x:c r="F5" s="47" t="str">
        <x:v>Reported growth versus recomputed Jan-Aug sales growth</x:v>
      </x:c>
      <x:c r="G5" s="58"/>
      <x:c r="H5" s="58"/>
      <x:c r="I5" s="58"/>
      <x:c r="J5" s="58"/>
      <x:c r="K5" s="58"/>
      <x:c r="L5" s="58"/>
    </x:row>
    <x:row r="6">
      <x:c r="A6" s="18" t="str">
        <x:v>Company</x:v>
      </x:c>
      <x:c r="B6" s="19" t="str">
        <x:v>Source YTD growth</x:v>
      </x:c>
      <x:c r="C6" s="19" t="str">
        <x:v>Recomputed Jan-Aug growth</x:v>
      </x:c>
      <x:c r="D6" s="19" t="str">
        <x:v>Gap</x:v>
      </x:c>
      <x:c r="E6" s="19" t="str">
        <x:v>Tolerance</x:v>
      </x:c>
      <x:c r="F6" s="20" t="str">
        <x:v>Status</x:v>
      </x:c>
      <x:c r="G6" s="58"/>
      <x:c r="H6" s="58"/>
      <x:c r="I6" s="58"/>
      <x:c r="J6" s="58"/>
      <x:c r="K6" s="58"/>
      <x:c r="L6" s="58"/>
    </x:row>
    <x:row r="7">
      <x:c r="A7" s="22" t="str">
        <x:v>Abbott India</x:v>
      </x:c>
      <x:c r="B7" s="26" t="n">
        <x:v>0.1498</x:v>
      </x:c>
      <x:c r="C7" s="26" t="n">
        <x:f>SUM('Raw Company'!G18:G25)/SUM('Raw Company'!G6:G13)-1</x:f>
        <x:v>0.19332479757265375</x:v>
      </x:c>
      <x:c r="D7" s="26" t="n">
        <x:f>C7-B7</x:f>
        <x:v>0.04352479757265376</x:v>
      </x:c>
      <x:c r="E7" s="26" t="n">
        <x:v>0.01</x:v>
      </x:c>
      <x:c r="F7" s="22" t="str">
        <x:f>IF(ABS(D7)&lt;=E7,"OK","REVIEW")</x:f>
        <x:v>REVIEW</x:v>
      </x:c>
      <x:c r="G7" s="58"/>
      <x:c r="H7" s="58"/>
      <x:c r="I7" s="58"/>
      <x:c r="J7" s="58"/>
      <x:c r="K7" s="58"/>
      <x:c r="L7" s="58"/>
    </x:row>
    <x:row r="8">
      <x:c r="A8" s="22" t="str">
        <x:v>GSK India</x:v>
      </x:c>
      <x:c r="B8" s="26" t="n">
        <x:v>0.1029</x:v>
      </x:c>
      <x:c r="C8" s="26" t="n">
        <x:f>SUM('Raw Company'!N18:N25)/SUM('Raw Company'!N6:N13)-1</x:f>
        <x:v>0.10272787955202833</x:v>
      </x:c>
      <x:c r="D8" s="26" t="n">
        <x:f>C8-B8</x:f>
        <x:v>-0.00017212044797167148</x:v>
      </x:c>
      <x:c r="E8" s="26" t="n">
        <x:v>0.01</x:v>
      </x:c>
      <x:c r="F8" s="22" t="str">
        <x:f>IF(ABS(D8)&lt;=E8,"OK","REVIEW")</x:f>
        <x:v>OK</x:v>
      </x:c>
      <x:c r="G8" s="58"/>
      <x:c r="H8" s="58"/>
      <x:c r="I8" s="58"/>
      <x:c r="J8" s="58"/>
      <x:c r="K8" s="58"/>
      <x:c r="L8" s="58"/>
    </x:row>
    <x:row r="9">
      <x:c r="A9" s="22" t="str">
        <x:v>Pfizer Limited</x:v>
      </x:c>
      <x:c r="B9" s="26" t="n">
        <x:v>0.0969</x:v>
      </x:c>
      <x:c r="C9" s="26" t="n">
        <x:f>SUM('Raw Company'!R18:R25)/SUM('Raw Company'!R6:R13)-1</x:f>
        <x:v>-0.026847513004599866</x:v>
      </x:c>
      <x:c r="D9" s="26" t="n">
        <x:f>C9-B9</x:f>
        <x:v>-0.12374751300459987</x:v>
      </x:c>
      <x:c r="E9" s="26" t="n">
        <x:v>0.01</x:v>
      </x:c>
      <x:c r="F9" s="22" t="str">
        <x:f>IF(ABS(D9)&lt;=E9,"OK","REVIEW")</x:f>
        <x:v>REVIEW</x:v>
      </x:c>
      <x:c r="G9" s="58"/>
      <x:c r="H9" s="58"/>
      <x:c r="I9" s="58"/>
      <x:c r="J9" s="58"/>
      <x:c r="K9" s="58"/>
      <x:c r="L9" s="58"/>
    </x:row>
    <x:row r="10">
      <x:c r="A10" s="58"/>
      <x:c r="B10" s="58"/>
      <x:c r="C10" s="58"/>
      <x:c r="D10" s="58"/>
      <x:c r="E10" s="58"/>
      <x:c r="F10" s="58"/>
      <x:c r="G10" s="58"/>
      <x:c r="H10" s="58"/>
      <x:c r="I10" s="58"/>
      <x:c r="J10" s="58"/>
      <x:c r="K10" s="58"/>
      <x:c r="L10" s="58"/>
    </x:row>
    <x:row r="11">
      <x:c r="A11" s="58"/>
      <x:c r="B11" s="58"/>
      <x:c r="C11" s="58"/>
      <x:c r="D11" s="58"/>
      <x:c r="E11" s="58"/>
      <x:c r="F11" s="58"/>
      <x:c r="G11" s="58"/>
      <x:c r="H11" s="58"/>
      <x:c r="I11" s="58"/>
      <x:c r="J11" s="58"/>
      <x:c r="K11" s="58"/>
      <x:c r="L11" s="58"/>
    </x:row>
    <x:row r="12">
      <x:c r="A12" s="45" t="str">
        <x:v>Method and limitations</x:v>
      </x:c>
      <x:c r="B12" s="46" t="str">
        <x:v>Method and limitations</x:v>
      </x:c>
      <x:c r="C12" s="46" t="str">
        <x:v>Method and limitations</x:v>
      </x:c>
      <x:c r="D12" s="46" t="str">
        <x:v>Method and limitations</x:v>
      </x:c>
      <x:c r="E12" s="46" t="str">
        <x:v>Method and limitations</x:v>
      </x:c>
      <x:c r="F12" s="46" t="str">
        <x:v>Method and limitations</x:v>
      </x:c>
      <x:c r="G12" s="46" t="str">
        <x:v>Method and limitations</x:v>
      </x:c>
      <x:c r="H12" s="47" t="str">
        <x:v>Method and limitations</x:v>
      </x:c>
      <x:c r="I12" s="58"/>
      <x:c r="J12" s="58"/>
      <x:c r="K12" s="58"/>
      <x:c r="L12" s="58"/>
    </x:row>
    <x:row r="13" ht="42" customHeight="1">
      <x:c r="A13" s="51" t="str">
        <x:v>Corporate hierarchy</x:v>
      </x:c>
      <x:c r="B13" s="50" t="str">
        <x:v>Abbott and GSK screenshots contain aggregate and subentity rows. The analysis uses the identified listed-company proxy subrow and retains the aggregate source data in Raw Company.</x:v>
      </x:c>
      <x:c r="C13" s="58"/>
      <x:c r="D13" s="58"/>
      <x:c r="E13" s="58"/>
      <x:c r="F13" s="58"/>
      <x:c r="G13" s="58"/>
      <x:c r="H13" s="58"/>
      <x:c r="I13" s="58"/>
      <x:c r="J13" s="58"/>
      <x:c r="K13" s="58"/>
      <x:c r="L13" s="58"/>
    </x:row>
    <x:row r="14" ht="42" customHeight="1">
      <x:c r="A14" s="51" t="str">
        <x:v>ABT product mapping</x:v>
      </x:c>
      <x:c r="B14" s="50" t="str">
        <x:v>The vendor product bucket includes Novo Nordisk brands. Those brands are retained for source fidelity but excluded from Abbott India's clean target view.</x:v>
      </x:c>
      <x:c r="C14" s="58"/>
      <x:c r="D14" s="58"/>
      <x:c r="E14" s="58"/>
      <x:c r="F14" s="58"/>
      <x:c r="G14" s="58"/>
      <x:c r="H14" s="58"/>
      <x:c r="I14" s="58"/>
      <x:c r="J14" s="58"/>
      <x:c r="K14" s="58"/>
      <x:c r="L14" s="58"/>
    </x:row>
    <x:row r="15" ht="42" customHeight="1">
      <x:c r="A15" s="51" t="str">
        <x:v>Brand coverage</x:v>
      </x:c>
      <x:c r="B15" s="50" t="str">
        <x:v>The product snapshot is a top-product extract ending around ₹133 crore TTM. Counts of brands ≥ ₹100 crore are therefore lower bounds because the ₹100-133 crore tail is not fully shown.</x:v>
      </x:c>
      <x:c r="C15" s="58"/>
      <x:c r="D15" s="58"/>
      <x:c r="E15" s="58"/>
      <x:c r="F15" s="58"/>
      <x:c r="G15" s="58"/>
      <x:c r="H15" s="58"/>
      <x:c r="I15" s="58"/>
      <x:c r="J15" s="58"/>
      <x:c r="K15" s="58"/>
      <x:c r="L15" s="58"/>
    </x:row>
    <x:row r="16" ht="42" customHeight="1">
      <x:c r="A16" s="51" t="str">
        <x:v>No. products</x:v>
      </x:c>
      <x:c r="B16" s="50" t="str">
        <x:v>The corporate source field may include packs or SKUs, not unique brands. It is labelled Source no. products and is not used as a brand count.</x:v>
      </x:c>
      <x:c r="C16" s="58"/>
      <x:c r="D16" s="58"/>
      <x:c r="E16" s="58"/>
      <x:c r="F16" s="58"/>
      <x:c r="G16" s="58"/>
      <x:c r="H16" s="58"/>
      <x:c r="I16" s="58"/>
      <x:c r="J16" s="58"/>
      <x:c r="K16" s="58"/>
      <x:c r="L16" s="58"/>
    </x:row>
    <x:row r="17" ht="42" customHeight="1">
      <x:c r="A17" s="51" t="str">
        <x:v>Growth priority</x:v>
      </x:c>
      <x:c r="B17" s="50" t="str">
        <x:v>Where reported growth does not reconcile to the cross-snapshot sales series, source-reported growth is used for headline benchmarking. Recomputed growth is shown only as an audit diagnostic.</x:v>
      </x:c>
      <x:c r="C17" s="58"/>
      <x:c r="D17" s="58"/>
      <x:c r="E17" s="58"/>
      <x:c r="F17" s="58"/>
      <x:c r="G17" s="58"/>
      <x:c r="H17" s="58"/>
      <x:c r="I17" s="58"/>
      <x:c r="J17" s="58"/>
      <x:c r="K17" s="58"/>
      <x:c r="L17" s="58"/>
    </x:row>
    <x:row r="18" ht="42" customHeight="1">
      <x:c r="A18" s="51" t="str">
        <x:v>Therapy tags</x:v>
      </x:c>
      <x:c r="B18" s="50" t="str">
        <x:v>Therapy classifications are analyst-assigned based on brand indication and are used for portfolio grouping, not clinical guidance.</x:v>
      </x:c>
      <x:c r="C18" s="58"/>
      <x:c r="D18" s="58"/>
      <x:c r="E18" s="58"/>
      <x:c r="F18" s="58"/>
      <x:c r="G18" s="58"/>
      <x:c r="H18" s="58"/>
      <x:c r="I18" s="58"/>
      <x:c r="J18" s="58"/>
      <x:c r="K18" s="58"/>
      <x:c r="L18" s="58"/>
    </x:row>
    <x:row r="19" ht="42" customHeight="1">
      <x:c r="A19" s="51" t="str">
        <x:v>Currency and scale</x:v>
      </x:c>
      <x:c r="B19" s="50" t="str">
        <x:v>All sales are ₹ crore. Percentages are stored as decimals. Monthly dates are calendar months shown in the supplied source.</x:v>
      </x:c>
      <x:c r="C19" s="58"/>
      <x:c r="D19" s="58"/>
      <x:c r="E19" s="58"/>
      <x:c r="F19" s="58"/>
      <x:c r="G19" s="58"/>
      <x:c r="H19" s="58"/>
      <x:c r="I19" s="58"/>
      <x:c r="J19" s="58"/>
      <x:c r="K19" s="58"/>
      <x:c r="L19" s="58"/>
    </x:row>
    <x:row r="20" ht="42" customHeight="1">
      <x:c r="A20" s="51" t="str">
        <x:v>Scope</x:v>
      </x:c>
      <x:c r="B20" s="50" t="str">
        <x:v>This workbook analyzes market and product trends. It does not include valuation, financial forecasts, pipeline probability or earnings estimates.</x:v>
      </x:c>
      <x:c r="C20" s="58"/>
      <x:c r="D20" s="58"/>
      <x:c r="E20" s="58"/>
      <x:c r="F20" s="58"/>
      <x:c r="G20" s="58"/>
      <x:c r="H20" s="58"/>
      <x:c r="I20" s="58"/>
      <x:c r="J20" s="58"/>
      <x:c r="K20" s="58"/>
      <x:c r="L20" s="58"/>
    </x:row>
    <x:row r="21">
      <x:c r="A21" s="58"/>
      <x:c r="B21" s="58"/>
      <x:c r="C21" s="58"/>
      <x:c r="D21" s="58"/>
      <x:c r="E21" s="58"/>
      <x:c r="F21" s="58"/>
      <x:c r="G21" s="58"/>
      <x:c r="H21" s="58"/>
      <x:c r="I21" s="58"/>
      <x:c r="J21" s="58"/>
      <x:c r="K21" s="58"/>
      <x:c r="L21" s="58"/>
    </x:row>
    <x:row r="22">
      <x:c r="A22" s="58"/>
      <x:c r="B22" s="58"/>
      <x:c r="C22" s="58"/>
      <x:c r="D22" s="58"/>
      <x:c r="E22" s="58"/>
      <x:c r="F22" s="58"/>
      <x:c r="G22" s="58"/>
      <x:c r="H22" s="58"/>
      <x:c r="I22" s="58"/>
      <x:c r="J22" s="58"/>
      <x:c r="K22" s="58"/>
      <x:c r="L22" s="58"/>
    </x:row>
    <x:row r="23">
      <x:c r="A23" s="52" t="str">
        <x:v>Sources</x:v>
      </x:c>
      <x:c r="B23" s="53" t="str">
        <x:v>Sources</x:v>
      </x:c>
      <x:c r="C23" s="54" t="str">
        <x:v>Sources</x:v>
      </x:c>
      <x:c r="D23" s="58"/>
      <x:c r="E23" s="58"/>
      <x:c r="F23" s="58"/>
      <x:c r="G23" s="58"/>
      <x:c r="H23" s="58"/>
      <x:c r="I23" s="58"/>
      <x:c r="J23" s="58"/>
      <x:c r="K23" s="58"/>
      <x:c r="L23" s="58"/>
    </x:row>
    <x:row r="24">
      <x:c r="A24" s="51" t="str">
        <x:v>Primary data</x:v>
      </x:c>
      <x:c r="B24" s="22" t="str">
        <x:v>40 supplied IPM screenshots</x:v>
      </x:c>
      <x:c r="C24" s="22" t="str">
        <x:v>Jan 2025 to Aug 2026</x:v>
      </x:c>
      <x:c r="D24" s="58"/>
      <x:c r="E24" s="58"/>
      <x:c r="F24" s="58"/>
      <x:c r="G24" s="58"/>
      <x:c r="H24" s="58"/>
      <x:c r="I24" s="58"/>
      <x:c r="J24" s="58"/>
      <x:c r="K24" s="58"/>
      <x:c r="L24" s="58"/>
    </x:row>
    <x:row r="25">
      <x:c r="A25" s="51" t="str">
        <x:v>Abbott India annual reports</x:v>
      </x:c>
      <x:c r="B25" s="22" t="str">
        <x:v>https://www.abbott.co.in/investor-relations/financials/annual-reports.html</x:v>
      </x:c>
      <x:c r="C25" s="22" t="str">
        <x:v>Used for listed-brand mapping</x:v>
      </x:c>
      <x:c r="D25" s="58"/>
      <x:c r="E25" s="58"/>
      <x:c r="F25" s="58"/>
      <x:c r="G25" s="58"/>
      <x:c r="H25" s="58"/>
      <x:c r="I25" s="58"/>
      <x:c r="J25" s="58"/>
      <x:c r="K25" s="58"/>
      <x:c r="L25" s="58"/>
    </x:row>
    <x:row r="26">
      <x:c r="A26" s="51" t="str">
        <x:v>Abbott India FY25 annual report</x:v>
      </x:c>
      <x:c r="B26" s="22" t="str">
        <x:v>https://www.abbott.co.in/content/dam/corp/abbott/en-ind/pdf/financials/2024-25-Annual-Report.pdf</x:v>
      </x:c>
      <x:c r="C26" s="22" t="str">
        <x:v>Used for listed-brand mapping</x:v>
      </x:c>
      <x:c r="D26" s="58"/>
      <x:c r="E26" s="58"/>
      <x:c r="F26" s="58"/>
      <x:c r="G26" s="58"/>
      <x:c r="H26" s="58"/>
      <x:c r="I26" s="58"/>
      <x:c r="J26" s="58"/>
      <x:c r="K26" s="58"/>
      <x:c r="L26" s="58"/>
    </x:row>
    <x:row r="27">
      <x:c r="A27" s="51" t="str">
        <x:v>Novo Nordisk annual report</x:v>
      </x:c>
      <x:c r="B27" s="22" t="str">
        <x:v>https://www.novonordisk.com/content/dam/nncorp/global/en/investors/irmaterial/annual_report/2026/novo-nordisk-annual-report-2025.pdf.html</x:v>
      </x:c>
      <x:c r="C27" s="22" t="str">
        <x:v>Used to identify Novo products in ABT bucket</x:v>
      </x:c>
      <x:c r="D27" s="58"/>
      <x:c r="E27" s="58"/>
      <x:c r="F27" s="58"/>
      <x:c r="G27" s="58"/>
      <x:c r="H27" s="58"/>
      <x:c r="I27" s="58"/>
      <x:c r="J27" s="58"/>
      <x:c r="K27" s="58"/>
      <x:c r="L27" s="58"/>
    </x:row>
    <x:row r="28">
      <x:c r="A28" s="51" t="str">
        <x:v>Pfizer Limited company page</x:v>
      </x:c>
      <x:c r="B28" s="22" t="str">
        <x:v>https://www.pfizerltd.co.in/about-pfizer/about-pfizer-ltd</x:v>
      </x:c>
      <x:c r="C28" s="22" t="str">
        <x:v>Used for entity context</x:v>
      </x:c>
      <x:c r="D28" s="58"/>
      <x:c r="E28" s="58"/>
      <x:c r="F28" s="58"/>
      <x:c r="G28" s="58"/>
      <x:c r="H28" s="58"/>
      <x:c r="I28" s="58"/>
      <x:c r="J28" s="58"/>
      <x:c r="K28" s="58"/>
      <x:c r="L28" s="58"/>
    </x:row>
    <x:row r="29">
      <x:c r="A29" s="51" t="str">
        <x:v>Prepared</x:v>
      </x:c>
      <x:c r="B29" s="22" t="str">
        <x:v>23 Sep 2026</x:v>
      </x:c>
      <x:c r="C29" s="22" t="str">
        <x:v>For initiation research workflow</x:v>
      </x:c>
      <x:c r="D29" s="58"/>
      <x:c r="E29" s="58"/>
      <x:c r="F29" s="58"/>
      <x:c r="G29" s="58"/>
      <x:c r="H29" s="58"/>
      <x:c r="I29" s="58"/>
      <x:c r="J29" s="58"/>
      <x:c r="K29" s="58"/>
      <x:c r="L29" s="58"/>
    </x:row>
  </x:sheetData>
  <x:conditionalFormatting sqref="F7:F9">
    <x:cfRule type="containsText" dxfId="9" priority="1" operator="containsText" text="REVIEW"/>
  </x:conditionalFormatting>
  <x:pageMargins left="0.7" right="0.7" top="0.75" bottom="0.75" header="0.3" footer="0.3"/>
</x:worksheet>
</file>