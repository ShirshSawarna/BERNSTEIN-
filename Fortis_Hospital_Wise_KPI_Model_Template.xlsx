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shirshsawarna/Downloads/"/>
    </mc:Choice>
  </mc:AlternateContent>
  <xr:revisionPtr revIDLastSave="0" documentId="13_ncr:1_{670EC151-55E2-E446-9396-8A1433B9C124}" xr6:coauthVersionLast="47" xr6:coauthVersionMax="47" xr10:uidLastSave="{00000000-0000-0000-0000-000000000000}"/>
  <bookViews>
    <workbookView xWindow="0" yWindow="600" windowWidth="28800" windowHeight="15720" activeTab="5" xr2:uid="{00000000-000D-0000-FFFF-FFFF00000000}"/>
  </bookViews>
  <sheets>
    <sheet name="README" sheetId="1" r:id="rId1"/>
    <sheet name="Facility_KPI" sheetId="2" r:id="rId2"/>
    <sheet name="Top10_KPIs" sheetId="3" r:id="rId3"/>
    <sheet name="Margin_Cohorts" sheetId="4" r:id="rId4"/>
    <sheet name="Sources" sheetId="5" r:id="rId5"/>
    <sheet name="Sheet1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4" l="1"/>
  <c r="M6" i="4" s="1"/>
  <c r="C6" i="4"/>
  <c r="G6" i="4" s="1"/>
  <c r="M5" i="4"/>
  <c r="G5" i="4"/>
  <c r="M4" i="4"/>
  <c r="G4" i="4"/>
  <c r="M3" i="4"/>
  <c r="G3" i="4"/>
  <c r="M2" i="4"/>
  <c r="G2" i="4"/>
  <c r="L13" i="3"/>
  <c r="M13" i="3" s="1"/>
  <c r="K13" i="3"/>
  <c r="I13" i="3"/>
  <c r="J13" i="3" s="1"/>
  <c r="H13" i="3"/>
  <c r="F13" i="3"/>
  <c r="G13" i="3" s="1"/>
  <c r="E13" i="3"/>
  <c r="D13" i="3"/>
  <c r="C13" i="3"/>
  <c r="B13" i="3"/>
  <c r="M11" i="3"/>
  <c r="J11" i="3"/>
  <c r="G11" i="3"/>
  <c r="D11" i="3"/>
  <c r="M10" i="3"/>
  <c r="J10" i="3"/>
  <c r="G10" i="3"/>
  <c r="D10" i="3"/>
  <c r="M9" i="3"/>
  <c r="J9" i="3"/>
  <c r="G9" i="3"/>
  <c r="D9" i="3"/>
  <c r="M8" i="3"/>
  <c r="J8" i="3"/>
  <c r="G8" i="3"/>
  <c r="D8" i="3"/>
  <c r="M7" i="3"/>
  <c r="J7" i="3"/>
  <c r="G7" i="3"/>
  <c r="D7" i="3"/>
  <c r="M6" i="3"/>
  <c r="J6" i="3"/>
  <c r="G6" i="3"/>
  <c r="D6" i="3"/>
  <c r="M5" i="3"/>
  <c r="J5" i="3"/>
  <c r="G5" i="3"/>
  <c r="D5" i="3"/>
  <c r="M4" i="3"/>
  <c r="J4" i="3"/>
  <c r="G4" i="3"/>
  <c r="D4" i="3"/>
  <c r="M3" i="3"/>
  <c r="J3" i="3"/>
  <c r="G3" i="3"/>
  <c r="D3" i="3"/>
  <c r="M2" i="3"/>
  <c r="J2" i="3"/>
  <c r="G2" i="3"/>
  <c r="D2" i="3"/>
  <c r="R37" i="2"/>
  <c r="Q37" i="2"/>
  <c r="P37" i="2"/>
  <c r="O37" i="2"/>
  <c r="R36" i="2"/>
  <c r="Q36" i="2"/>
  <c r="P36" i="2"/>
  <c r="O36" i="2"/>
  <c r="R35" i="2"/>
  <c r="Q35" i="2"/>
  <c r="P35" i="2"/>
  <c r="O35" i="2"/>
  <c r="R34" i="2"/>
  <c r="Q34" i="2"/>
  <c r="P34" i="2"/>
  <c r="O34" i="2"/>
  <c r="R33" i="2"/>
  <c r="Q33" i="2"/>
  <c r="P33" i="2"/>
  <c r="O33" i="2"/>
  <c r="R32" i="2"/>
  <c r="Q32" i="2"/>
  <c r="P32" i="2"/>
  <c r="O32" i="2"/>
  <c r="R31" i="2"/>
  <c r="Q31" i="2"/>
  <c r="P31" i="2"/>
  <c r="O31" i="2"/>
  <c r="R30" i="2"/>
  <c r="Q30" i="2"/>
  <c r="P30" i="2"/>
  <c r="O30" i="2"/>
  <c r="R29" i="2"/>
  <c r="Q29" i="2"/>
  <c r="P29" i="2"/>
  <c r="O29" i="2"/>
  <c r="R28" i="2"/>
  <c r="Q28" i="2"/>
  <c r="P28" i="2"/>
  <c r="O28" i="2"/>
  <c r="R27" i="2"/>
  <c r="Q27" i="2"/>
  <c r="P27" i="2"/>
  <c r="O27" i="2"/>
  <c r="R26" i="2"/>
  <c r="Q26" i="2"/>
  <c r="P26" i="2"/>
  <c r="O26" i="2"/>
  <c r="R25" i="2"/>
  <c r="Q25" i="2"/>
  <c r="P25" i="2"/>
  <c r="O25" i="2"/>
  <c r="R24" i="2"/>
  <c r="Q24" i="2"/>
  <c r="P24" i="2"/>
  <c r="O24" i="2"/>
  <c r="R23" i="2"/>
  <c r="Q23" i="2"/>
  <c r="P23" i="2"/>
  <c r="O23" i="2"/>
  <c r="R22" i="2"/>
  <c r="Q22" i="2"/>
  <c r="P22" i="2"/>
  <c r="O22" i="2"/>
  <c r="R21" i="2"/>
  <c r="Q21" i="2"/>
  <c r="P21" i="2"/>
  <c r="O21" i="2"/>
  <c r="R20" i="2"/>
  <c r="Q20" i="2"/>
  <c r="P20" i="2"/>
  <c r="O20" i="2"/>
  <c r="R19" i="2"/>
  <c r="Q19" i="2"/>
  <c r="P19" i="2"/>
  <c r="O19" i="2"/>
  <c r="R18" i="2"/>
  <c r="Q18" i="2"/>
  <c r="P18" i="2"/>
  <c r="O18" i="2"/>
  <c r="R17" i="2"/>
  <c r="Q17" i="2"/>
  <c r="P17" i="2"/>
  <c r="O17" i="2"/>
  <c r="R16" i="2"/>
  <c r="Q16" i="2"/>
  <c r="P16" i="2"/>
  <c r="O16" i="2"/>
  <c r="R15" i="2"/>
  <c r="Q15" i="2"/>
  <c r="P15" i="2"/>
  <c r="O15" i="2"/>
  <c r="R14" i="2"/>
  <c r="Q14" i="2"/>
  <c r="P14" i="2"/>
  <c r="O14" i="2"/>
  <c r="R13" i="2"/>
  <c r="Q13" i="2"/>
  <c r="P13" i="2"/>
  <c r="O13" i="2"/>
  <c r="R12" i="2"/>
  <c r="Q12" i="2"/>
  <c r="P12" i="2"/>
  <c r="O12" i="2"/>
  <c r="R11" i="2"/>
  <c r="Q11" i="2"/>
  <c r="P11" i="2"/>
  <c r="O11" i="2"/>
  <c r="R10" i="2"/>
  <c r="Q10" i="2"/>
  <c r="P10" i="2"/>
  <c r="O10" i="2"/>
  <c r="R9" i="2"/>
  <c r="Q9" i="2"/>
  <c r="P9" i="2"/>
  <c r="O9" i="2"/>
  <c r="R8" i="2"/>
  <c r="Q8" i="2"/>
  <c r="P8" i="2"/>
  <c r="O8" i="2"/>
  <c r="R7" i="2"/>
  <c r="Q7" i="2"/>
  <c r="P7" i="2"/>
  <c r="O7" i="2"/>
  <c r="R6" i="2"/>
  <c r="Q6" i="2"/>
  <c r="P6" i="2"/>
  <c r="O6" i="2"/>
  <c r="R5" i="2"/>
  <c r="Q5" i="2"/>
  <c r="P5" i="2"/>
  <c r="O5" i="2"/>
  <c r="R4" i="2"/>
  <c r="Q4" i="2"/>
  <c r="P4" i="2"/>
  <c r="O4" i="2"/>
  <c r="R3" i="2"/>
  <c r="Q3" i="2"/>
  <c r="P3" i="2"/>
  <c r="O3" i="2"/>
  <c r="R2" i="2"/>
  <c r="Q2" i="2"/>
  <c r="P2" i="2"/>
  <c r="O2" i="2"/>
</calcChain>
</file>

<file path=xl/sharedStrings.xml><?xml version="1.0" encoding="utf-8"?>
<sst xmlns="http://schemas.openxmlformats.org/spreadsheetml/2006/main" count="491" uniqueCount="281">
  <si>
    <t>Fortis Hospital Network KPI Workbook</t>
  </si>
  <si>
    <t>Purpose</t>
  </si>
  <si>
    <t>Hospital-wise KPI tracker for Fortis based on FY26 results deck. Use this to model hospital revenue and margin drivers without over-building fake hospital-level detail.</t>
  </si>
  <si>
    <t>O&amp;M bed definition</t>
  </si>
  <si>
    <t>Operations &amp; Maintenance bed. Fortis manages the hospital/bed capacity under an O&amp;M contract, but may not own the hospital economics like a fully owned/leased asset. Model O&amp;M separately or conservatively.</t>
  </si>
  <si>
    <t>Modeling rule</t>
  </si>
  <si>
    <t>Top 10 hospitals: model explicitly. Ramp-up/acquired/O&amp;M hospitals: track separately. Remaining hospitals: residual/network bucket.</t>
  </si>
  <si>
    <t>Best revenue driver</t>
  </si>
  <si>
    <t>Hospital revenue growth = occupied-bed growth + ARPOB growth + acquisition/brownfield contribution.</t>
  </si>
  <si>
    <t>Best margin driver</t>
  </si>
  <si>
    <t>Use margin cohorts, not detailed gross margin. Fortis discloses facility margin buckets: &gt;20%, 15-20%, 10-15%, &lt;10%.</t>
  </si>
  <si>
    <t>Key caveat</t>
  </si>
  <si>
    <t>Fortis does not disclose full hospital-wise revenue, ARPOB, occupancy and EBITDA for all 36 facilities. This workbook flags the disclosure status for every facility.</t>
  </si>
  <si>
    <t>Importance Rank</t>
  </si>
  <si>
    <t>Facility</t>
  </si>
  <si>
    <t>Region / State</t>
  </si>
  <si>
    <t>City / Cluster</t>
  </si>
  <si>
    <t>Operating Model</t>
  </si>
  <si>
    <t>Current Status / Importance</t>
  </si>
  <si>
    <t>Region Bed Pool</t>
  </si>
  <si>
    <t>Known Facility Beds</t>
  </si>
  <si>
    <t>FY26 Revenue (INR Cr)</t>
  </si>
  <si>
    <t>FY26 ARPOB (INR Cr p.a.)</t>
  </si>
  <si>
    <t>FY26 Occupancy</t>
  </si>
  <si>
    <t>Available KPI Detail</t>
  </si>
  <si>
    <t>Modeling Treatment</t>
  </si>
  <si>
    <t>Source / Note</t>
  </si>
  <si>
    <t>Revenue Rank Flag</t>
  </si>
  <si>
    <t>Revenue Share of Top-10</t>
  </si>
  <si>
    <t>ARPOB Tier</t>
  </si>
  <si>
    <t>Occupancy Tier</t>
  </si>
  <si>
    <t>FMRI, Gurugram</t>
  </si>
  <si>
    <t>NCR</t>
  </si>
  <si>
    <t>Gurugram</t>
  </si>
  <si>
    <t>Owned/leased</t>
  </si>
  <si>
    <t>Crown jewel; largest disclosed revenue hospital; premium ARPOB</t>
  </si>
  <si>
    <t>Full disclosed top-10 KPI</t>
  </si>
  <si>
    <t>Model explicitly</t>
  </si>
  <si>
    <t>Top-10 KPI pages; FY26 bed addition ~20</t>
  </si>
  <si>
    <t>Mohali</t>
  </si>
  <si>
    <t>Punjab</t>
  </si>
  <si>
    <t>Mature core asset; second-largest disclosed revenue hospital</t>
  </si>
  <si>
    <t>Top-10 KPI pages</t>
  </si>
  <si>
    <t>Shalimar Bagh</t>
  </si>
  <si>
    <t>Delhi NCR</t>
  </si>
  <si>
    <t>Core NCR asset; high occupancy</t>
  </si>
  <si>
    <t>Top-10 KPI pages; FY26 bed addition ~30</t>
  </si>
  <si>
    <t>Noida</t>
  </si>
  <si>
    <t>Core NCR asset; strong revenue growth</t>
  </si>
  <si>
    <t>Top-10 KPI pages; FY26 bed addition ~65</t>
  </si>
  <si>
    <t>BG Road</t>
  </si>
  <si>
    <t>Karnataka</t>
  </si>
  <si>
    <t>Bengaluru</t>
  </si>
  <si>
    <t>Important Bengaluru asset; high ARPOB but low occupancy</t>
  </si>
  <si>
    <t>Model explicitly with occupancy upside case</t>
  </si>
  <si>
    <t>Top-10 KPI pages; FY26 bed addition ~15</t>
  </si>
  <si>
    <t>FEHI, New Delhi</t>
  </si>
  <si>
    <t>New Delhi</t>
  </si>
  <si>
    <t>High-quality specialty asset</t>
  </si>
  <si>
    <t>Mulund</t>
  </si>
  <si>
    <t>Maharashtra</t>
  </si>
  <si>
    <t>Mumbai</t>
  </si>
  <si>
    <t>Core Mumbai asset; improving occupancy</t>
  </si>
  <si>
    <t>Anandpur</t>
  </si>
  <si>
    <t>West Bengal</t>
  </si>
  <si>
    <t>Kolkata</t>
  </si>
  <si>
    <t>Key East India asset; stable occupancy</t>
  </si>
  <si>
    <t>Top-10 KPI pages; FY26 bed addition ~25</t>
  </si>
  <si>
    <t>Faridabad</t>
  </si>
  <si>
    <t>Smaller NCR asset; revenue growth and bed addition</t>
  </si>
  <si>
    <t>Model explicitly / near-core</t>
  </si>
  <si>
    <t>Top-10 KPI pages; FY26 bed addition ~40</t>
  </si>
  <si>
    <t>Jaipur</t>
  </si>
  <si>
    <t>Rajasthan</t>
  </si>
  <si>
    <t>Smaller regional asset; occupancy recovery</t>
  </si>
  <si>
    <t>Model explicitly / residual depending time</t>
  </si>
  <si>
    <t>Yeshwanthpur / People Tree</t>
  </si>
  <si>
    <t>Owned/acquired</t>
  </si>
  <si>
    <t>Newly acquired; low-margin/ramp-up bucket; future expansion optionality</t>
  </si>
  <si>
    <t>Partial facility detail only</t>
  </si>
  <si>
    <t>Ramp-up/acquired cohort</t>
  </si>
  <si>
    <t>Acquired Jan'26 for INR 430 Cr; expansion potential &gt;300 beds; &lt;10% margin bucket includes Yeshwanthpur</t>
  </si>
  <si>
    <t>Greater Noida</t>
  </si>
  <si>
    <t>Long-term lease</t>
  </si>
  <si>
    <t>Recently moved to lease model; ramp-up/low-margin bucket</t>
  </si>
  <si>
    <t>Ramp-up/lease cohort</t>
  </si>
  <si>
    <t>15-year lease; expansion potential to ~250 beds; &lt;10% margin bucket includes Greater Noida</t>
  </si>
  <si>
    <t>Jalandhar / Shrimann</t>
  </si>
  <si>
    <t>Jalandhar</t>
  </si>
  <si>
    <t>Acquired growth asset; strengthens Punjab cluster</t>
  </si>
  <si>
    <t>Acquired Jul'25; added 228 beds</t>
  </si>
  <si>
    <t>Manesar, Gurugram</t>
  </si>
  <si>
    <t>Newer/ramp-up asset; explicitly in &lt;10% margin bucket</t>
  </si>
  <si>
    <t>Margin bucket disclosed only</t>
  </si>
  <si>
    <t>Ramp-up cohort</t>
  </si>
  <si>
    <t>Commissioned Sep'24; &lt;10% margin bucket includes Manesar</t>
  </si>
  <si>
    <t>Adayu</t>
  </si>
  <si>
    <t>New mental health facility; niche ramp-up asset</t>
  </si>
  <si>
    <t>Ramp-up/specialty cohort</t>
  </si>
  <si>
    <t>Launched Nov'25; 36 beds</t>
  </si>
  <si>
    <t>Ludhiana</t>
  </si>
  <si>
    <t>Regional support asset</t>
  </si>
  <si>
    <t>Network disclosure only</t>
  </si>
  <si>
    <t>Residual owned hospitals</t>
  </si>
  <si>
    <t>Network page</t>
  </si>
  <si>
    <t>Ludhiana 2</t>
  </si>
  <si>
    <t>Amritsar</t>
  </si>
  <si>
    <t>CG Road</t>
  </si>
  <si>
    <t>Bengaluru support asset</t>
  </si>
  <si>
    <t>Nagarbhavi</t>
  </si>
  <si>
    <t>Rajaji Nagar</t>
  </si>
  <si>
    <t>Vashi</t>
  </si>
  <si>
    <t>Mumbai/Navi Mumbai</t>
  </si>
  <si>
    <t>Mumbai support asset</t>
  </si>
  <si>
    <t>Kalyan</t>
  </si>
  <si>
    <t>Mumbai/MMR</t>
  </si>
  <si>
    <t>FHKI &amp; FMC</t>
  </si>
  <si>
    <t>Kolkata support asset</t>
  </si>
  <si>
    <t>Kangra</t>
  </si>
  <si>
    <t>Himachal Pradesh</t>
  </si>
  <si>
    <t>Small regional asset</t>
  </si>
  <si>
    <t>La Femme GK</t>
  </si>
  <si>
    <t>Small specialty/day-care style asset</t>
  </si>
  <si>
    <t>Def Col</t>
  </si>
  <si>
    <t>Small Delhi asset</t>
  </si>
  <si>
    <t>Vasant Kunj</t>
  </si>
  <si>
    <t>O&amp;M</t>
  </si>
  <si>
    <t>Managed asset; different economics</t>
  </si>
  <si>
    <t>O&amp;M / managed cohort</t>
  </si>
  <si>
    <t>C-DOC</t>
  </si>
  <si>
    <t>Managed/specialty asset; different economics</t>
  </si>
  <si>
    <t>Kengeri</t>
  </si>
  <si>
    <t>Richmond Road</t>
  </si>
  <si>
    <t>Managed asset after divestment; different economics</t>
  </si>
  <si>
    <t>SL Raheja</t>
  </si>
  <si>
    <t>Raigarh</t>
  </si>
  <si>
    <t>Chhattisgarh</t>
  </si>
  <si>
    <t>Small managed asset</t>
  </si>
  <si>
    <t>Perumbakkam - Sholinganallur</t>
  </si>
  <si>
    <t>Tamil Nadu</t>
  </si>
  <si>
    <t>Chennai</t>
  </si>
  <si>
    <t>Managed Chennai asset</t>
  </si>
  <si>
    <t>Lakdi-Ka-Pul</t>
  </si>
  <si>
    <t>Telangana</t>
  </si>
  <si>
    <t>Hyderabad</t>
  </si>
  <si>
    <t>Managed Hyderabad asset</t>
  </si>
  <si>
    <t>L.B. Nagar</t>
  </si>
  <si>
    <t>Hospital</t>
  </si>
  <si>
    <t>FY25 Revenue (INR Cr)</t>
  </si>
  <si>
    <t>YoY Growth</t>
  </si>
  <si>
    <t>Q4FY25 Revenue (INR Cr)</t>
  </si>
  <si>
    <t>Q4FY26 Revenue (INR Cr)</t>
  </si>
  <si>
    <t>Q4 YoY Growth</t>
  </si>
  <si>
    <t>FY25 ARPOB (INR Cr p.a.)</t>
  </si>
  <si>
    <t>ARPOB Growth</t>
  </si>
  <si>
    <t>FY25 Occupancy</t>
  </si>
  <si>
    <t>Occupancy Change (bps)</t>
  </si>
  <si>
    <t>FY26 Bed Addition Note</t>
  </si>
  <si>
    <t>Analyst Read</t>
  </si>
  <si>
    <t>FMRI</t>
  </si>
  <si>
    <t>~20 beds added</t>
  </si>
  <si>
    <t>Largest asset; ARPOB up strongly, occupancy still healthy despite slight decline.</t>
  </si>
  <si>
    <t>Mature asset; steady growth with strong ARPOB.</t>
  </si>
  <si>
    <t>~30 beds added</t>
  </si>
  <si>
    <t>Core NCR hospital; high occupancy and bed expansion.</t>
  </si>
  <si>
    <t>~65 beds added</t>
  </si>
  <si>
    <t>Core NCR hospital; revenue growth supported by bed expansion.</t>
  </si>
  <si>
    <t>~15 beds added</t>
  </si>
  <si>
    <t>High ARPOB but low occupancy; main upside lever is utilisation.</t>
  </si>
  <si>
    <t>FEHI</t>
  </si>
  <si>
    <t>Specialty-led Delhi asset; strong ARPOB improvement.</t>
  </si>
  <si>
    <t>Mumbai core asset; occupancy improvement from low base.</t>
  </si>
  <si>
    <t>~25 beds added</t>
  </si>
  <si>
    <t>Kolkata core asset; steady occupancy and modest ARPOB.</t>
  </si>
  <si>
    <t>~40 beds added</t>
  </si>
  <si>
    <t>Smaller NCR asset; growth from bed addition, occupancy fell from very high base.</t>
  </si>
  <si>
    <t>Smaller regional asset; occupancy recovery is key.</t>
  </si>
  <si>
    <t>Top-10 Total / Average</t>
  </si>
  <si>
    <t>EBITDA Margin Cohort</t>
  </si>
  <si>
    <t>FY25 Facilities</t>
  </si>
  <si>
    <t>FY25 Revenue Contribution</t>
  </si>
  <si>
    <t>FY25 Op. Beds</t>
  </si>
  <si>
    <t>FY25 ARPOB</t>
  </si>
  <si>
    <t>FY25 Implied Revenue (INR Cr)</t>
  </si>
  <si>
    <t>FY26 Facilities</t>
  </si>
  <si>
    <t>FY26 Revenue Contribution</t>
  </si>
  <si>
    <t>FY26 Op. Beds</t>
  </si>
  <si>
    <t>FY26 ARPOB</t>
  </si>
  <si>
    <t>FY26 Implied Revenue (INR Cr)</t>
  </si>
  <si>
    <t>Analyst Treatment</t>
  </si>
  <si>
    <t>&gt;20%</t>
  </si>
  <si>
    <t>Core profit engine; assume stable high margin</t>
  </si>
  <si>
    <t>15%-20%</t>
  </si>
  <si>
    <t>Migration candidate into &gt;20% cohort</t>
  </si>
  <si>
    <t>10%-15%</t>
  </si>
  <si>
    <t>Small bucket; keep conservative</t>
  </si>
  <si>
    <t>&lt;10%</t>
  </si>
  <si>
    <t>Ramp-up/acquired drag; includes Yeshwanthpur, Manesar, Greater Noida</t>
  </si>
  <si>
    <t>Unclassified / rounding</t>
  </si>
  <si>
    <t>Reconciles disclosed contribution to 100%</t>
  </si>
  <si>
    <t>FY25 Hospital Revenue</t>
  </si>
  <si>
    <t>FY26 Hospital Revenue</t>
  </si>
  <si>
    <t>Source</t>
  </si>
  <si>
    <t>FY26 Fortis results deck</t>
  </si>
  <si>
    <t>Source Item</t>
  </si>
  <si>
    <t>Disclosure / Data Used</t>
  </si>
  <si>
    <t>Source Location</t>
  </si>
  <si>
    <t>Network</t>
  </si>
  <si>
    <t>36 healthcare facilities, ~6,100 operational beds including ~1,200 O&amp;M beds; region/facility list</t>
  </si>
  <si>
    <t>Fortis FY26 results presentation, page 3</t>
  </si>
  <si>
    <t>Segment financials</t>
  </si>
  <si>
    <t>FY26 hospital revenue ₹7,773cr, hospital operating EBITDA ₹1,724cr; diagnostics revenue ₹1,527cr, diagnostics EBITDA ₹360cr</t>
  </si>
  <si>
    <t>Fortis FY26 press release, page 2</t>
  </si>
  <si>
    <t>Hospital KPIs</t>
  </si>
  <si>
    <t>FY26 occupancy 68%, ARPOB ₹2.51cr p.a., ALOS 4.21 days</t>
  </si>
  <si>
    <t>Top-10 hospitals revenue</t>
  </si>
  <si>
    <t>FY25/FY26 and Q4FY25/Q4FY26 revenue for FMRI, Mohali, Shalimar Bagh, Noida, BG Road, FEHI, Mulund, Anandpur, Faridabad, Jaipur</t>
  </si>
  <si>
    <t>Fortis FY26 results presentation, page 25</t>
  </si>
  <si>
    <t>Top-10 hospital KPIs</t>
  </si>
  <si>
    <t>FY25/FY26 ARPOB and occupancy for top-10 hospitals; FY26 bed addition notes</t>
  </si>
  <si>
    <t>Fortis FY26 results presentation, page 26</t>
  </si>
  <si>
    <t>Margin matrix</t>
  </si>
  <si>
    <t>FY25/FY26 facility margin cohorts by number of facilities, revenue contribution, operational beds, ARPOB and occupancy</t>
  </si>
  <si>
    <t>Fortis FY26 results presentation, page 27</t>
  </si>
  <si>
    <t>FY26 acquisitions / additions</t>
  </si>
  <si>
    <t>People Tree, Greater Noida lease, Shrimann/Jalandhar, Adayu, O&amp;M agreements</t>
  </si>
  <si>
    <t>Fortis FY26 results presentation, page 9</t>
  </si>
  <si>
    <t>No. of facilities</t>
  </si>
  <si>
    <t>Key facilities</t>
  </si>
  <si>
    <t>Beds</t>
  </si>
  <si>
    <t>FMRI, FEHI, Shalimar Bagh, Noida, Faridabad, Manesar, Greater Noida, Adayu, La Femme GK, Def Col, Vasant Kunj O&amp;M, C-DOC O&amp;M</t>
  </si>
  <si>
    <t>Mohali, Ludhiana, Ludhiana 2, Amritsar, Jalandhar</t>
  </si>
  <si>
    <t>BG Road, CG Road, Nagarbhavi, Rajaji Nagar, Yeshwanthpur, Kengeri O&amp;M, Richmond Road O&amp;M</t>
  </si>
  <si>
    <t>Mulund, Vashi, Kalyan, SL Raheja O&amp;M</t>
  </si>
  <si>
    <t>Anandpur, FHKI &amp; FMC</t>
  </si>
  <si>
    <t>Lakdi-Ka-Pul O&amp;M, L.B. Nagar O&amp;M</t>
  </si>
  <si>
    <t>Perumbakkam-Sholinganallur O&amp;M</t>
  </si>
  <si>
    <t>Raigarh O&amp;M</t>
  </si>
  <si>
    <t>Total</t>
  </si>
  <si>
    <t>~6,100</t>
  </si>
  <si>
    <t>Rank</t>
  </si>
  <si>
    <t>FY26 revenue</t>
  </si>
  <si>
    <t>Status</t>
  </si>
  <si>
    <t>₹1,137cr</t>
  </si>
  <si>
    <t>Crown jewel / most important asset</t>
  </si>
  <si>
    <t>₹902cr</t>
  </si>
  <si>
    <t>Mature core asset</t>
  </si>
  <si>
    <t>₹723cr</t>
  </si>
  <si>
    <t>Core NCR asset</t>
  </si>
  <si>
    <t>₹642cr</t>
  </si>
  <si>
    <t>BG Road, Bengaluru</t>
  </si>
  <si>
    <t>₹605cr</t>
  </si>
  <si>
    <t>Important, but occupancy improvement needed</t>
  </si>
  <si>
    <t>₹590cr</t>
  </si>
  <si>
    <t>₹577cr</t>
  </si>
  <si>
    <t>Core Mumbai asset</t>
  </si>
  <si>
    <t>Anandpur, Kolkata</t>
  </si>
  <si>
    <t>₹406cr</t>
  </si>
  <si>
    <t>Key East India asset</t>
  </si>
  <si>
    <t>₹285cr</t>
  </si>
  <si>
    <t>Smaller but scaling NCR asset</t>
  </si>
  <si>
    <t>₹279cr</t>
  </si>
  <si>
    <t>Smaller regional asset</t>
  </si>
  <si>
    <t>Importance tier</t>
  </si>
  <si>
    <t>Hospitals</t>
  </si>
  <si>
    <t>Why they matter</t>
  </si>
  <si>
    <t>Tier 1: Current profit engines</t>
  </si>
  <si>
    <t>FMRI, Mohali, Shalimar Bagh, Noida, FEHI, Mulund</t>
  </si>
  <si>
    <t>Main EBITDA base</t>
  </si>
  <si>
    <t>Tier 2: Improvement assets</t>
  </si>
  <si>
    <t>BG Road, Faridabad, Jaipur, Anandpur</t>
  </si>
  <si>
    <t>Revenue base exists; margin/occupancy upside matters</t>
  </si>
  <si>
    <t>Tier 3: Growth/ramp-up assets</t>
  </si>
  <si>
    <t>Manesar, Greater Noida, Yeshwanthpur/People Tree, Jalandhar/Shrimann, Adayu</t>
  </si>
  <si>
    <t>Future growth, but near-term margin drag possible</t>
  </si>
  <si>
    <t>Tier 4: Regional support assets</t>
  </si>
  <si>
    <t>Ludhiana, Ludhiana 2, Amritsar, CG Road, Nagarbhavi, Rajaji Nagar, Vashi, Kalyan, FHKI &amp; FMC, Kangra</t>
  </si>
  <si>
    <t>Useful network depth, but not primary model drivers</t>
  </si>
  <si>
    <t>Tier 5: O&amp;M / managed assets</t>
  </si>
  <si>
    <t>Vasant Kunj, C-DOC, Kengeri, Richmond Road, SL Raheja, Raigarh, Perumbakkam, Lakdi-Ka-Pul, L.B. Nagar</t>
  </si>
  <si>
    <t>Different economics; do not model like owned hospitals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</si>
</sst>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[Red]\(#,##0.00\);\-"/>
    <numFmt numFmtId="165" formatCode="0.0%"/>
    <numFmt numFmtId="166" formatCode="#,##0;[Red]\(#,##0\);\-"/>
  </numFmts>
  <fonts count="9">
    <font>
      <sz val="11"/>
      <name val="Carlito"/>
    </font>
    <font>
      <sz val="12"/>
      <color theme="1"/>
      <name val="Calibri"/>
      <family val="2"/>
      <scheme val="minor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sz val="11"/>
      <color rgb="FF000000"/>
      <name val="Carlito"/>
    </font>
    <font>
      <b/>
      <sz val="11"/>
      <color rgb="FF000000"/>
      <name val="Carlito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AF3F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" fillId="0" borderId="1"/>
  </cellStyleXfs>
  <cellXfs count="42">
    <xf numFmtId="0" fontId="0" fillId="0" borderId="0" xfId="0"/>
    <xf numFmtId="0" fontId="4" fillId="4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  <xf numFmtId="0" fontId="5" fillId="5" borderId="0" xfId="0" applyFont="1" applyFill="1" applyAlignment="1">
      <alignment vertical="top" wrapText="1"/>
    </xf>
    <xf numFmtId="164" fontId="5" fillId="5" borderId="0" xfId="0" applyNumberFormat="1" applyFont="1" applyFill="1" applyAlignment="1">
      <alignment vertical="top" wrapText="1"/>
    </xf>
    <xf numFmtId="165" fontId="5" fillId="5" borderId="0" xfId="0" applyNumberFormat="1" applyFont="1" applyFill="1" applyAlignment="1">
      <alignment vertical="top" wrapText="1"/>
    </xf>
    <xf numFmtId="0" fontId="6" fillId="5" borderId="0" xfId="0" applyFont="1" applyFill="1" applyAlignment="1">
      <alignment vertical="top" wrapText="1"/>
    </xf>
    <xf numFmtId="165" fontId="6" fillId="5" borderId="0" xfId="0" applyNumberFormat="1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164" fontId="5" fillId="6" borderId="0" xfId="0" applyNumberFormat="1" applyFont="1" applyFill="1" applyAlignment="1">
      <alignment vertical="top" wrapText="1"/>
    </xf>
    <xf numFmtId="165" fontId="5" fillId="6" borderId="0" xfId="0" applyNumberFormat="1" applyFont="1" applyFill="1" applyAlignment="1">
      <alignment vertical="top" wrapText="1"/>
    </xf>
    <xf numFmtId="0" fontId="6" fillId="6" borderId="0" xfId="0" applyFont="1" applyFill="1" applyAlignment="1">
      <alignment vertical="top" wrapText="1"/>
    </xf>
    <xf numFmtId="165" fontId="6" fillId="6" borderId="0" xfId="0" applyNumberFormat="1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164" fontId="5" fillId="0" borderId="0" xfId="0" applyNumberFormat="1" applyFont="1" applyAlignment="1">
      <alignment vertical="top" wrapText="1"/>
    </xf>
    <xf numFmtId="165" fontId="5" fillId="0" borderId="0" xfId="0" applyNumberFormat="1" applyFont="1" applyAlignment="1">
      <alignment vertical="top" wrapText="1"/>
    </xf>
    <xf numFmtId="0" fontId="6" fillId="0" borderId="0" xfId="0" applyFont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0" fontId="5" fillId="7" borderId="0" xfId="0" applyFont="1" applyFill="1" applyAlignment="1">
      <alignment vertical="top" wrapText="1"/>
    </xf>
    <xf numFmtId="164" fontId="5" fillId="7" borderId="0" xfId="0" applyNumberFormat="1" applyFont="1" applyFill="1" applyAlignment="1">
      <alignment vertical="top" wrapText="1"/>
    </xf>
    <xf numFmtId="165" fontId="5" fillId="7" borderId="0" xfId="0" applyNumberFormat="1" applyFont="1" applyFill="1" applyAlignment="1">
      <alignment vertical="top" wrapText="1"/>
    </xf>
    <xf numFmtId="0" fontId="6" fillId="7" borderId="0" xfId="0" applyFont="1" applyFill="1" applyAlignment="1">
      <alignment vertical="top" wrapText="1"/>
    </xf>
    <xf numFmtId="165" fontId="6" fillId="7" borderId="0" xfId="0" applyNumberFormat="1" applyFont="1" applyFill="1" applyAlignment="1">
      <alignment vertical="top" wrapText="1"/>
    </xf>
    <xf numFmtId="166" fontId="5" fillId="0" borderId="0" xfId="0" applyNumberFormat="1" applyFont="1" applyAlignment="1">
      <alignment vertical="top" wrapText="1"/>
    </xf>
    <xf numFmtId="2" fontId="5" fillId="0" borderId="0" xfId="0" applyNumberFormat="1" applyFont="1" applyAlignment="1">
      <alignment vertical="top" wrapText="1"/>
    </xf>
    <xf numFmtId="3" fontId="6" fillId="0" borderId="0" xfId="0" applyNumberFormat="1" applyFont="1" applyAlignment="1">
      <alignment vertical="top" wrapText="1"/>
    </xf>
    <xf numFmtId="166" fontId="0" fillId="0" borderId="0" xfId="0" applyNumberFormat="1" applyAlignment="1">
      <alignment vertical="top" wrapText="1"/>
    </xf>
    <xf numFmtId="2" fontId="0" fillId="0" borderId="0" xfId="0" applyNumberFormat="1" applyAlignment="1">
      <alignment vertical="top" wrapText="1"/>
    </xf>
    <xf numFmtId="165" fontId="0" fillId="0" borderId="0" xfId="0" applyNumberFormat="1" applyAlignment="1">
      <alignment vertical="top" wrapText="1"/>
    </xf>
    <xf numFmtId="0" fontId="7" fillId="8" borderId="0" xfId="0" applyFont="1" applyFill="1" applyAlignment="1">
      <alignment vertical="top" wrapText="1"/>
    </xf>
    <xf numFmtId="166" fontId="7" fillId="8" borderId="0" xfId="0" applyNumberFormat="1" applyFont="1" applyFill="1" applyAlignment="1">
      <alignment vertical="top" wrapText="1"/>
    </xf>
    <xf numFmtId="165" fontId="7" fillId="8" borderId="0" xfId="0" applyNumberFormat="1" applyFont="1" applyFill="1" applyAlignment="1">
      <alignment vertical="top" wrapText="1"/>
    </xf>
    <xf numFmtId="2" fontId="7" fillId="8" borderId="0" xfId="0" applyNumberFormat="1" applyFont="1" applyFill="1" applyAlignment="1">
      <alignment vertical="top" wrapText="1"/>
    </xf>
    <xf numFmtId="3" fontId="7" fillId="8" borderId="0" xfId="0" applyNumberFormat="1" applyFont="1" applyFill="1" applyAlignment="1">
      <alignment vertical="top" wrapText="1"/>
    </xf>
    <xf numFmtId="166" fontId="6" fillId="0" borderId="0" xfId="0" applyNumberFormat="1" applyFont="1" applyAlignment="1">
      <alignment vertical="top" wrapText="1"/>
    </xf>
    <xf numFmtId="0" fontId="0" fillId="3" borderId="0" xfId="0" applyFill="1" applyAlignment="1">
      <alignment vertical="top" wrapText="1"/>
    </xf>
    <xf numFmtId="0" fontId="3" fillId="3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8" fillId="0" borderId="1" xfId="1" applyFont="1"/>
    <xf numFmtId="0" fontId="1" fillId="0" borderId="1" xfId="1"/>
    <xf numFmtId="3" fontId="1" fillId="0" borderId="1" xfId="1" applyNumberFormat="1"/>
  </cellXfs>
  <cellStyles count="2">
    <cellStyle name="Normal" xfId="0" builtinId="0"/>
    <cellStyle name="Normal 2" xfId="1" xr:uid="{E967F08B-B8BE-D544-8419-22DB7D10D2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FY26 Revenue</c:v>
          </c:tx>
          <c:invertIfNegative val="1"/>
          <c:cat>
            <c:strRef>
              <c:f>Top10_KPIs!$A$2:$A$11</c:f>
              <c:strCache>
                <c:ptCount val="10"/>
                <c:pt idx="0">
                  <c:v>FMRI</c:v>
                </c:pt>
                <c:pt idx="1">
                  <c:v>Mohali</c:v>
                </c:pt>
                <c:pt idx="2">
                  <c:v>Shalimar Bagh</c:v>
                </c:pt>
                <c:pt idx="3">
                  <c:v>Noida</c:v>
                </c:pt>
                <c:pt idx="4">
                  <c:v>BG Road</c:v>
                </c:pt>
                <c:pt idx="5">
                  <c:v>FEHI</c:v>
                </c:pt>
                <c:pt idx="6">
                  <c:v>Mulund</c:v>
                </c:pt>
                <c:pt idx="7">
                  <c:v>Anandpur</c:v>
                </c:pt>
                <c:pt idx="8">
                  <c:v>Faridabad</c:v>
                </c:pt>
                <c:pt idx="9">
                  <c:v>Jaipur</c:v>
                </c:pt>
              </c:strCache>
            </c:strRef>
          </c:cat>
          <c:val>
            <c:numRef>
              <c:f>Top10_KPIs!$C$2:$C$11</c:f>
              <c:numCache>
                <c:formatCode>#,##0;[Red]\(#,##0\);\-</c:formatCode>
                <c:ptCount val="10"/>
                <c:pt idx="0">
                  <c:v>1137</c:v>
                </c:pt>
                <c:pt idx="1">
                  <c:v>902</c:v>
                </c:pt>
                <c:pt idx="2">
                  <c:v>723</c:v>
                </c:pt>
                <c:pt idx="3">
                  <c:v>642</c:v>
                </c:pt>
                <c:pt idx="4">
                  <c:v>605</c:v>
                </c:pt>
                <c:pt idx="5">
                  <c:v>590</c:v>
                </c:pt>
                <c:pt idx="6">
                  <c:v>577</c:v>
                </c:pt>
                <c:pt idx="7">
                  <c:v>406</c:v>
                </c:pt>
                <c:pt idx="8">
                  <c:v>285</c:v>
                </c:pt>
                <c:pt idx="9">
                  <c:v>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3-0F43-8798-97612200E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#,##0;[Red]\(#,##0\);\-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ilityKPITable" displayName="FacilityKPITable" ref="A1:R37">
  <tableColumns count="18">
    <tableColumn id="1" xr3:uid="{00000000-0010-0000-0000-000001000000}" name="Importance Rank"/>
    <tableColumn id="2" xr3:uid="{00000000-0010-0000-0000-000002000000}" name="Facility"/>
    <tableColumn id="3" xr3:uid="{00000000-0010-0000-0000-000003000000}" name="Region / State"/>
    <tableColumn id="4" xr3:uid="{00000000-0010-0000-0000-000004000000}" name="City / Cluster"/>
    <tableColumn id="5" xr3:uid="{00000000-0010-0000-0000-000005000000}" name="Operating Model"/>
    <tableColumn id="6" xr3:uid="{00000000-0010-0000-0000-000006000000}" name="Current Status / Importance"/>
    <tableColumn id="7" xr3:uid="{00000000-0010-0000-0000-000007000000}" name="Region Bed Pool"/>
    <tableColumn id="8" xr3:uid="{00000000-0010-0000-0000-000008000000}" name="Known Facility Beds"/>
    <tableColumn id="9" xr3:uid="{00000000-0010-0000-0000-000009000000}" name="FY26 Revenue (INR Cr)"/>
    <tableColumn id="10" xr3:uid="{00000000-0010-0000-0000-00000A000000}" name="FY26 ARPOB (INR Cr p.a.)"/>
    <tableColumn id="11" xr3:uid="{00000000-0010-0000-0000-00000B000000}" name="FY26 Occupancy"/>
    <tableColumn id="12" xr3:uid="{00000000-0010-0000-0000-00000C000000}" name="Available KPI Detail"/>
    <tableColumn id="13" xr3:uid="{00000000-0010-0000-0000-00000D000000}" name="Modeling Treatment"/>
    <tableColumn id="14" xr3:uid="{00000000-0010-0000-0000-00000E000000}" name="Source / Note"/>
    <tableColumn id="15" xr3:uid="{00000000-0010-0000-0000-00000F000000}" name="Revenue Rank Flag"/>
    <tableColumn id="16" xr3:uid="{00000000-0010-0000-0000-000010000000}" name="Revenue Share of Top-10"/>
    <tableColumn id="17" xr3:uid="{00000000-0010-0000-0000-000011000000}" name="ARPOB Tier"/>
    <tableColumn id="18" xr3:uid="{00000000-0010-0000-0000-000012000000}" name="Occupancy Ti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op10KPITable" displayName="Top10KPITable" ref="A1:O13">
  <tableColumns count="15">
    <tableColumn id="1" xr3:uid="{00000000-0010-0000-0100-000001000000}" name="Hospital"/>
    <tableColumn id="2" xr3:uid="{00000000-0010-0000-0100-000002000000}" name="FY25 Revenue (INR Cr)"/>
    <tableColumn id="3" xr3:uid="{00000000-0010-0000-0100-000003000000}" name="FY26 Revenue (INR Cr)"/>
    <tableColumn id="4" xr3:uid="{00000000-0010-0000-0100-000004000000}" name="YoY Growth"/>
    <tableColumn id="5" xr3:uid="{00000000-0010-0000-0100-000005000000}" name="Q4FY25 Revenue (INR Cr)"/>
    <tableColumn id="6" xr3:uid="{00000000-0010-0000-0100-000006000000}" name="Q4FY26 Revenue (INR Cr)"/>
    <tableColumn id="7" xr3:uid="{00000000-0010-0000-0100-000007000000}" name="Q4 YoY Growth"/>
    <tableColumn id="8" xr3:uid="{00000000-0010-0000-0100-000008000000}" name="FY25 ARPOB (INR Cr p.a.)"/>
    <tableColumn id="9" xr3:uid="{00000000-0010-0000-0100-000009000000}" name="FY26 ARPOB (INR Cr p.a.)"/>
    <tableColumn id="10" xr3:uid="{00000000-0010-0000-0100-00000A000000}" name="ARPOB Growth"/>
    <tableColumn id="11" xr3:uid="{00000000-0010-0000-0100-00000B000000}" name="FY25 Occupancy"/>
    <tableColumn id="12" xr3:uid="{00000000-0010-0000-0100-00000C000000}" name="FY26 Occupancy"/>
    <tableColumn id="13" xr3:uid="{00000000-0010-0000-0100-00000D000000}" name="Occupancy Change (bps)"/>
    <tableColumn id="14" xr3:uid="{00000000-0010-0000-0100-00000E000000}" name="FY26 Bed Addition Note"/>
    <tableColumn id="15" xr3:uid="{00000000-0010-0000-0100-00000F000000}" name="Analyst Rea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MarginCohortTable" displayName="MarginCohortTable" ref="A1:N6">
  <tableColumns count="14">
    <tableColumn id="1" xr3:uid="{00000000-0010-0000-0200-000001000000}" name="EBITDA Margin Cohort"/>
    <tableColumn id="2" xr3:uid="{00000000-0010-0000-0200-000002000000}" name="FY25 Facilities"/>
    <tableColumn id="3" xr3:uid="{00000000-0010-0000-0200-000003000000}" name="FY25 Revenue Contribution"/>
    <tableColumn id="4" xr3:uid="{00000000-0010-0000-0200-000004000000}" name="FY25 Op. Beds"/>
    <tableColumn id="5" xr3:uid="{00000000-0010-0000-0200-000005000000}" name="FY25 ARPOB"/>
    <tableColumn id="6" xr3:uid="{00000000-0010-0000-0200-000006000000}" name="FY25 Occupancy"/>
    <tableColumn id="7" xr3:uid="{00000000-0010-0000-0200-000007000000}" name="FY25 Implied Revenue (INR Cr)"/>
    <tableColumn id="8" xr3:uid="{00000000-0010-0000-0200-000008000000}" name="FY26 Facilities"/>
    <tableColumn id="9" xr3:uid="{00000000-0010-0000-0200-000009000000}" name="FY26 Revenue Contribution"/>
    <tableColumn id="10" xr3:uid="{00000000-0010-0000-0200-00000A000000}" name="FY26 Op. Beds"/>
    <tableColumn id="11" xr3:uid="{00000000-0010-0000-0200-00000B000000}" name="FY26 ARPOB"/>
    <tableColumn id="12" xr3:uid="{00000000-0010-0000-0200-00000C000000}" name="FY26 Occupancy"/>
    <tableColumn id="13" xr3:uid="{00000000-0010-0000-0200-00000D000000}" name="FY26 Implied Revenue (INR Cr)"/>
    <tableColumn id="14" xr3:uid="{00000000-0010-0000-0200-00000E000000}" name="Analyst Trea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workbookViewId="0">
      <selection sqref="A1:H1"/>
    </sheetView>
  </sheetViews>
  <sheetFormatPr baseColWidth="10" defaultColWidth="8.83203125" defaultRowHeight="14"/>
  <cols>
    <col min="1" max="1" width="25" customWidth="1"/>
    <col min="2" max="2" width="100" customWidth="1"/>
  </cols>
  <sheetData>
    <row r="1" spans="1:26">
      <c r="A1" s="37" t="s">
        <v>0</v>
      </c>
      <c r="B1" s="38"/>
      <c r="C1" s="38"/>
      <c r="D1" s="38"/>
      <c r="E1" s="38"/>
      <c r="F1" s="38"/>
      <c r="G1" s="38"/>
      <c r="H1" s="38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>
      <c r="A3" s="36" t="s">
        <v>1</v>
      </c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">
      <c r="A4" s="36" t="s">
        <v>3</v>
      </c>
      <c r="B4" s="2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>
      <c r="A5" s="36" t="s">
        <v>5</v>
      </c>
      <c r="B5" s="2" t="s">
        <v>6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36" t="s">
        <v>7</v>
      </c>
      <c r="B6" s="2" t="s">
        <v>8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">
      <c r="A7" s="36" t="s">
        <v>9</v>
      </c>
      <c r="B7" s="2" t="s">
        <v>10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>
      <c r="A8" s="36" t="s">
        <v>11</v>
      </c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baseColWidth="10" defaultColWidth="8.83203125" defaultRowHeight="14"/>
  <cols>
    <col min="1" max="1" width="10" customWidth="1"/>
    <col min="2" max="2" width="28" customWidth="1"/>
    <col min="3" max="5" width="16" customWidth="1"/>
    <col min="6" max="6" width="38" customWidth="1"/>
    <col min="7" max="11" width="14" customWidth="1"/>
    <col min="12" max="12" width="22" customWidth="1"/>
    <col min="13" max="13" width="24" customWidth="1"/>
    <col min="14" max="14" width="42" customWidth="1"/>
    <col min="15" max="18" width="18" customWidth="1"/>
  </cols>
  <sheetData>
    <row r="1" spans="1:26" ht="3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2"/>
      <c r="T1" s="2"/>
      <c r="U1" s="2"/>
      <c r="V1" s="2"/>
      <c r="W1" s="2"/>
      <c r="X1" s="2"/>
      <c r="Y1" s="2"/>
      <c r="Z1" s="2"/>
    </row>
    <row r="2" spans="1:26" ht="30">
      <c r="A2" s="3">
        <v>1</v>
      </c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>
        <v>2161</v>
      </c>
      <c r="H2" s="3"/>
      <c r="I2" s="4">
        <v>1137</v>
      </c>
      <c r="J2" s="4">
        <v>4.74</v>
      </c>
      <c r="K2" s="5">
        <v>0.77</v>
      </c>
      <c r="L2" s="3" t="s">
        <v>36</v>
      </c>
      <c r="M2" s="3" t="s">
        <v>37</v>
      </c>
      <c r="N2" s="3" t="s">
        <v>38</v>
      </c>
      <c r="O2" s="6" t="str">
        <f t="shared" ref="O2:O37" si="0">IF(I2&lt;&gt;"","Disclosed top-10","Not disclosed")</f>
        <v>Disclosed top-10</v>
      </c>
      <c r="P2" s="7">
        <f t="shared" ref="P2:P37" si="1">IFERROR(I2/SUM($I$2:$I$11),"-")</f>
        <v>0.18499837292547999</v>
      </c>
      <c r="Q2" s="6" t="str">
        <f t="shared" ref="Q2:Q37" si="2">IF(J2="","",IF(J2&gt;=3,"Premium",IF(J2&gt;=2,"Mid","Low")))</f>
        <v>Premium</v>
      </c>
      <c r="R2" s="6" t="str">
        <f t="shared" ref="R2:R37" si="3">IF(K2="","",IF(K2&gt;=0.7,"Healthy",IF(K2&gt;=0.6,"Needs work","Low")))</f>
        <v>Healthy</v>
      </c>
      <c r="S2" s="2"/>
      <c r="T2" s="2"/>
      <c r="U2" s="2"/>
      <c r="V2" s="2"/>
      <c r="W2" s="2"/>
      <c r="X2" s="2"/>
      <c r="Y2" s="2"/>
      <c r="Z2" s="2"/>
    </row>
    <row r="3" spans="1:26" ht="30">
      <c r="A3" s="3">
        <v>2</v>
      </c>
      <c r="B3" s="3" t="s">
        <v>39</v>
      </c>
      <c r="C3" s="3" t="s">
        <v>40</v>
      </c>
      <c r="D3" s="3" t="s">
        <v>39</v>
      </c>
      <c r="E3" s="3" t="s">
        <v>34</v>
      </c>
      <c r="F3" s="3" t="s">
        <v>41</v>
      </c>
      <c r="G3" s="3">
        <v>967</v>
      </c>
      <c r="H3" s="3"/>
      <c r="I3" s="4">
        <v>902</v>
      </c>
      <c r="J3" s="4">
        <v>3.41</v>
      </c>
      <c r="K3" s="5">
        <v>0.74</v>
      </c>
      <c r="L3" s="3" t="s">
        <v>36</v>
      </c>
      <c r="M3" s="3" t="s">
        <v>37</v>
      </c>
      <c r="N3" s="3" t="s">
        <v>42</v>
      </c>
      <c r="O3" s="6" t="str">
        <f t="shared" si="0"/>
        <v>Disclosed top-10</v>
      </c>
      <c r="P3" s="7">
        <f t="shared" si="1"/>
        <v>0.14676212170517411</v>
      </c>
      <c r="Q3" s="6" t="str">
        <f t="shared" si="2"/>
        <v>Premium</v>
      </c>
      <c r="R3" s="6" t="str">
        <f t="shared" si="3"/>
        <v>Healthy</v>
      </c>
      <c r="S3" s="2"/>
      <c r="T3" s="2"/>
      <c r="U3" s="2"/>
      <c r="V3" s="2"/>
      <c r="W3" s="2"/>
      <c r="X3" s="2"/>
      <c r="Y3" s="2"/>
      <c r="Z3" s="2"/>
    </row>
    <row r="4" spans="1:26" ht="15">
      <c r="A4" s="3">
        <v>3</v>
      </c>
      <c r="B4" s="3" t="s">
        <v>43</v>
      </c>
      <c r="C4" s="3" t="s">
        <v>32</v>
      </c>
      <c r="D4" s="3" t="s">
        <v>44</v>
      </c>
      <c r="E4" s="3" t="s">
        <v>34</v>
      </c>
      <c r="F4" s="3" t="s">
        <v>45</v>
      </c>
      <c r="G4" s="3">
        <v>2161</v>
      </c>
      <c r="H4" s="3"/>
      <c r="I4" s="4">
        <v>723</v>
      </c>
      <c r="J4" s="4">
        <v>2.6</v>
      </c>
      <c r="K4" s="5">
        <v>0.78</v>
      </c>
      <c r="L4" s="3" t="s">
        <v>36</v>
      </c>
      <c r="M4" s="3" t="s">
        <v>37</v>
      </c>
      <c r="N4" s="3" t="s">
        <v>46</v>
      </c>
      <c r="O4" s="6" t="str">
        <f t="shared" si="0"/>
        <v>Disclosed top-10</v>
      </c>
      <c r="P4" s="7">
        <f t="shared" si="1"/>
        <v>0.1176374877969411</v>
      </c>
      <c r="Q4" s="6" t="str">
        <f t="shared" si="2"/>
        <v>Mid</v>
      </c>
      <c r="R4" s="6" t="str">
        <f t="shared" si="3"/>
        <v>Healthy</v>
      </c>
      <c r="S4" s="2"/>
      <c r="T4" s="2"/>
      <c r="U4" s="2"/>
      <c r="V4" s="2"/>
      <c r="W4" s="2"/>
      <c r="X4" s="2"/>
      <c r="Y4" s="2"/>
      <c r="Z4" s="2"/>
    </row>
    <row r="5" spans="1:26" ht="15">
      <c r="A5" s="3">
        <v>4</v>
      </c>
      <c r="B5" s="3" t="s">
        <v>47</v>
      </c>
      <c r="C5" s="3" t="s">
        <v>32</v>
      </c>
      <c r="D5" s="3" t="s">
        <v>47</v>
      </c>
      <c r="E5" s="3" t="s">
        <v>34</v>
      </c>
      <c r="F5" s="3" t="s">
        <v>48</v>
      </c>
      <c r="G5" s="3">
        <v>2161</v>
      </c>
      <c r="H5" s="3"/>
      <c r="I5" s="4">
        <v>642</v>
      </c>
      <c r="J5" s="4">
        <v>3.02</v>
      </c>
      <c r="K5" s="5">
        <v>0.76</v>
      </c>
      <c r="L5" s="3" t="s">
        <v>36</v>
      </c>
      <c r="M5" s="3" t="s">
        <v>37</v>
      </c>
      <c r="N5" s="3" t="s">
        <v>49</v>
      </c>
      <c r="O5" s="6" t="str">
        <f t="shared" si="0"/>
        <v>Disclosed top-10</v>
      </c>
      <c r="P5" s="7">
        <f t="shared" si="1"/>
        <v>0.10445818418483567</v>
      </c>
      <c r="Q5" s="6" t="str">
        <f t="shared" si="2"/>
        <v>Premium</v>
      </c>
      <c r="R5" s="6" t="str">
        <f t="shared" si="3"/>
        <v>Healthy</v>
      </c>
      <c r="S5" s="2"/>
      <c r="T5" s="2"/>
      <c r="U5" s="2"/>
      <c r="V5" s="2"/>
      <c r="W5" s="2"/>
      <c r="X5" s="2"/>
      <c r="Y5" s="2"/>
      <c r="Z5" s="2"/>
    </row>
    <row r="6" spans="1:26" ht="30">
      <c r="A6" s="3">
        <v>5</v>
      </c>
      <c r="B6" s="3" t="s">
        <v>50</v>
      </c>
      <c r="C6" s="3" t="s">
        <v>51</v>
      </c>
      <c r="D6" s="3" t="s">
        <v>52</v>
      </c>
      <c r="E6" s="3" t="s">
        <v>34</v>
      </c>
      <c r="F6" s="3" t="s">
        <v>53</v>
      </c>
      <c r="G6" s="3">
        <v>886</v>
      </c>
      <c r="H6" s="3"/>
      <c r="I6" s="4">
        <v>605</v>
      </c>
      <c r="J6" s="4">
        <v>3.45</v>
      </c>
      <c r="K6" s="5">
        <v>0.55000000000000004</v>
      </c>
      <c r="L6" s="3" t="s">
        <v>36</v>
      </c>
      <c r="M6" s="3" t="s">
        <v>54</v>
      </c>
      <c r="N6" s="3" t="s">
        <v>55</v>
      </c>
      <c r="O6" s="6" t="str">
        <f t="shared" si="0"/>
        <v>Disclosed top-10</v>
      </c>
      <c r="P6" s="7">
        <f t="shared" si="1"/>
        <v>9.8438008460787499E-2</v>
      </c>
      <c r="Q6" s="6" t="str">
        <f t="shared" si="2"/>
        <v>Premium</v>
      </c>
      <c r="R6" s="6" t="str">
        <f t="shared" si="3"/>
        <v>Low</v>
      </c>
      <c r="S6" s="2"/>
      <c r="T6" s="2"/>
      <c r="U6" s="2"/>
      <c r="V6" s="2"/>
      <c r="W6" s="2"/>
      <c r="X6" s="2"/>
      <c r="Y6" s="2"/>
      <c r="Z6" s="2"/>
    </row>
    <row r="7" spans="1:26" ht="15">
      <c r="A7" s="3">
        <v>6</v>
      </c>
      <c r="B7" s="3" t="s">
        <v>56</v>
      </c>
      <c r="C7" s="3" t="s">
        <v>32</v>
      </c>
      <c r="D7" s="3" t="s">
        <v>57</v>
      </c>
      <c r="E7" s="3" t="s">
        <v>34</v>
      </c>
      <c r="F7" s="3" t="s">
        <v>58</v>
      </c>
      <c r="G7" s="3">
        <v>2161</v>
      </c>
      <c r="H7" s="3"/>
      <c r="I7" s="4">
        <v>590</v>
      </c>
      <c r="J7" s="4">
        <v>2.96</v>
      </c>
      <c r="K7" s="5">
        <v>0.7</v>
      </c>
      <c r="L7" s="3" t="s">
        <v>36</v>
      </c>
      <c r="M7" s="3" t="s">
        <v>37</v>
      </c>
      <c r="N7" s="3" t="s">
        <v>42</v>
      </c>
      <c r="O7" s="6" t="str">
        <f t="shared" si="0"/>
        <v>Disclosed top-10</v>
      </c>
      <c r="P7" s="7">
        <f t="shared" si="1"/>
        <v>9.5997396680767982E-2</v>
      </c>
      <c r="Q7" s="6" t="str">
        <f t="shared" si="2"/>
        <v>Mid</v>
      </c>
      <c r="R7" s="6" t="str">
        <f t="shared" si="3"/>
        <v>Healthy</v>
      </c>
      <c r="S7" s="2"/>
      <c r="T7" s="2"/>
      <c r="U7" s="2"/>
      <c r="V7" s="2"/>
      <c r="W7" s="2"/>
      <c r="X7" s="2"/>
      <c r="Y7" s="2"/>
      <c r="Z7" s="2"/>
    </row>
    <row r="8" spans="1:26" ht="15">
      <c r="A8" s="3">
        <v>7</v>
      </c>
      <c r="B8" s="3" t="s">
        <v>59</v>
      </c>
      <c r="C8" s="3" t="s">
        <v>60</v>
      </c>
      <c r="D8" s="3" t="s">
        <v>61</v>
      </c>
      <c r="E8" s="3" t="s">
        <v>34</v>
      </c>
      <c r="F8" s="3" t="s">
        <v>62</v>
      </c>
      <c r="G8" s="3">
        <v>770</v>
      </c>
      <c r="H8" s="3"/>
      <c r="I8" s="4">
        <v>577</v>
      </c>
      <c r="J8" s="4">
        <v>2.35</v>
      </c>
      <c r="K8" s="5">
        <v>0.65</v>
      </c>
      <c r="L8" s="3" t="s">
        <v>36</v>
      </c>
      <c r="M8" s="3" t="s">
        <v>37</v>
      </c>
      <c r="N8" s="3" t="s">
        <v>42</v>
      </c>
      <c r="O8" s="6" t="str">
        <f t="shared" si="0"/>
        <v>Disclosed top-10</v>
      </c>
      <c r="P8" s="7">
        <f t="shared" si="1"/>
        <v>9.3882199804751057E-2</v>
      </c>
      <c r="Q8" s="6" t="str">
        <f t="shared" si="2"/>
        <v>Mid</v>
      </c>
      <c r="R8" s="6" t="str">
        <f t="shared" si="3"/>
        <v>Needs work</v>
      </c>
      <c r="S8" s="2"/>
      <c r="T8" s="2"/>
      <c r="U8" s="2"/>
      <c r="V8" s="2"/>
      <c r="W8" s="2"/>
      <c r="X8" s="2"/>
      <c r="Y8" s="2"/>
      <c r="Z8" s="2"/>
    </row>
    <row r="9" spans="1:26" ht="15">
      <c r="A9" s="3">
        <v>8</v>
      </c>
      <c r="B9" s="3" t="s">
        <v>63</v>
      </c>
      <c r="C9" s="3" t="s">
        <v>64</v>
      </c>
      <c r="D9" s="3" t="s">
        <v>65</v>
      </c>
      <c r="E9" s="3" t="s">
        <v>34</v>
      </c>
      <c r="F9" s="3" t="s">
        <v>66</v>
      </c>
      <c r="G9" s="3">
        <v>374</v>
      </c>
      <c r="H9" s="3"/>
      <c r="I9" s="4">
        <v>406</v>
      </c>
      <c r="J9" s="4">
        <v>1.8</v>
      </c>
      <c r="K9" s="5">
        <v>0.73</v>
      </c>
      <c r="L9" s="3" t="s">
        <v>36</v>
      </c>
      <c r="M9" s="3" t="s">
        <v>37</v>
      </c>
      <c r="N9" s="3" t="s">
        <v>67</v>
      </c>
      <c r="O9" s="6" t="str">
        <f t="shared" si="0"/>
        <v>Disclosed top-10</v>
      </c>
      <c r="P9" s="7">
        <f t="shared" si="1"/>
        <v>6.6059225512528477E-2</v>
      </c>
      <c r="Q9" s="6" t="str">
        <f t="shared" si="2"/>
        <v>Low</v>
      </c>
      <c r="R9" s="6" t="str">
        <f t="shared" si="3"/>
        <v>Healthy</v>
      </c>
      <c r="S9" s="2"/>
      <c r="T9" s="2"/>
      <c r="U9" s="2"/>
      <c r="V9" s="2"/>
      <c r="W9" s="2"/>
      <c r="X9" s="2"/>
      <c r="Y9" s="2"/>
      <c r="Z9" s="2"/>
    </row>
    <row r="10" spans="1:26" ht="30">
      <c r="A10" s="3">
        <v>9</v>
      </c>
      <c r="B10" s="3" t="s">
        <v>68</v>
      </c>
      <c r="C10" s="3" t="s">
        <v>32</v>
      </c>
      <c r="D10" s="3" t="s">
        <v>68</v>
      </c>
      <c r="E10" s="3" t="s">
        <v>34</v>
      </c>
      <c r="F10" s="3" t="s">
        <v>69</v>
      </c>
      <c r="G10" s="3">
        <v>2161</v>
      </c>
      <c r="H10" s="3"/>
      <c r="I10" s="4">
        <v>285</v>
      </c>
      <c r="J10" s="4">
        <v>1.63</v>
      </c>
      <c r="K10" s="5">
        <v>0.74</v>
      </c>
      <c r="L10" s="3" t="s">
        <v>36</v>
      </c>
      <c r="M10" s="3" t="s">
        <v>70</v>
      </c>
      <c r="N10" s="3" t="s">
        <v>71</v>
      </c>
      <c r="O10" s="6" t="str">
        <f t="shared" si="0"/>
        <v>Disclosed top-10</v>
      </c>
      <c r="P10" s="7">
        <f t="shared" si="1"/>
        <v>4.6371623820370973E-2</v>
      </c>
      <c r="Q10" s="6" t="str">
        <f t="shared" si="2"/>
        <v>Low</v>
      </c>
      <c r="R10" s="6" t="str">
        <f t="shared" si="3"/>
        <v>Healthy</v>
      </c>
      <c r="S10" s="2"/>
      <c r="T10" s="2"/>
      <c r="U10" s="2"/>
      <c r="V10" s="2"/>
      <c r="W10" s="2"/>
      <c r="X10" s="2"/>
      <c r="Y10" s="2"/>
      <c r="Z10" s="2"/>
    </row>
    <row r="11" spans="1:26" ht="30">
      <c r="A11" s="3">
        <v>10</v>
      </c>
      <c r="B11" s="3" t="s">
        <v>72</v>
      </c>
      <c r="C11" s="3" t="s">
        <v>73</v>
      </c>
      <c r="D11" s="3" t="s">
        <v>72</v>
      </c>
      <c r="E11" s="3" t="s">
        <v>34</v>
      </c>
      <c r="F11" s="3" t="s">
        <v>74</v>
      </c>
      <c r="G11" s="3">
        <v>275</v>
      </c>
      <c r="H11" s="3"/>
      <c r="I11" s="4">
        <v>279</v>
      </c>
      <c r="J11" s="4">
        <v>1.71</v>
      </c>
      <c r="K11" s="5">
        <v>0.62</v>
      </c>
      <c r="L11" s="3" t="s">
        <v>36</v>
      </c>
      <c r="M11" s="3" t="s">
        <v>75</v>
      </c>
      <c r="N11" s="3" t="s">
        <v>42</v>
      </c>
      <c r="O11" s="6" t="str">
        <f t="shared" si="0"/>
        <v>Disclosed top-10</v>
      </c>
      <c r="P11" s="7">
        <f t="shared" si="1"/>
        <v>4.5395379108363165E-2</v>
      </c>
      <c r="Q11" s="6" t="str">
        <f t="shared" si="2"/>
        <v>Low</v>
      </c>
      <c r="R11" s="6" t="str">
        <f t="shared" si="3"/>
        <v>Needs work</v>
      </c>
      <c r="S11" s="2"/>
      <c r="T11" s="2"/>
      <c r="U11" s="2"/>
      <c r="V11" s="2"/>
      <c r="W11" s="2"/>
      <c r="X11" s="2"/>
      <c r="Y11" s="2"/>
      <c r="Z11" s="2"/>
    </row>
    <row r="12" spans="1:26" ht="45">
      <c r="A12" s="8">
        <v>11</v>
      </c>
      <c r="B12" s="8" t="s">
        <v>76</v>
      </c>
      <c r="C12" s="8" t="s">
        <v>51</v>
      </c>
      <c r="D12" s="8" t="s">
        <v>52</v>
      </c>
      <c r="E12" s="8" t="s">
        <v>77</v>
      </c>
      <c r="F12" s="8" t="s">
        <v>78</v>
      </c>
      <c r="G12" s="8">
        <v>886</v>
      </c>
      <c r="H12" s="8">
        <v>125</v>
      </c>
      <c r="I12" s="9"/>
      <c r="J12" s="9"/>
      <c r="K12" s="10"/>
      <c r="L12" s="8" t="s">
        <v>79</v>
      </c>
      <c r="M12" s="8" t="s">
        <v>80</v>
      </c>
      <c r="N12" s="8" t="s">
        <v>81</v>
      </c>
      <c r="O12" s="11" t="str">
        <f t="shared" si="0"/>
        <v>Not disclosed</v>
      </c>
      <c r="P12" s="12">
        <f t="shared" si="1"/>
        <v>0</v>
      </c>
      <c r="Q12" s="11" t="str">
        <f t="shared" si="2"/>
        <v/>
      </c>
      <c r="R12" s="11" t="str">
        <f t="shared" si="3"/>
        <v/>
      </c>
      <c r="S12" s="2"/>
      <c r="T12" s="2"/>
      <c r="U12" s="2"/>
      <c r="V12" s="2"/>
      <c r="W12" s="2"/>
      <c r="X12" s="2"/>
      <c r="Y12" s="2"/>
      <c r="Z12" s="2"/>
    </row>
    <row r="13" spans="1:26" ht="30">
      <c r="A13" s="8">
        <v>12</v>
      </c>
      <c r="B13" s="8" t="s">
        <v>82</v>
      </c>
      <c r="C13" s="8" t="s">
        <v>32</v>
      </c>
      <c r="D13" s="8" t="s">
        <v>82</v>
      </c>
      <c r="E13" s="8" t="s">
        <v>83</v>
      </c>
      <c r="F13" s="8" t="s">
        <v>84</v>
      </c>
      <c r="G13" s="8">
        <v>2161</v>
      </c>
      <c r="H13" s="8">
        <v>200</v>
      </c>
      <c r="I13" s="9"/>
      <c r="J13" s="9"/>
      <c r="K13" s="10"/>
      <c r="L13" s="8" t="s">
        <v>79</v>
      </c>
      <c r="M13" s="8" t="s">
        <v>85</v>
      </c>
      <c r="N13" s="8" t="s">
        <v>86</v>
      </c>
      <c r="O13" s="11" t="str">
        <f t="shared" si="0"/>
        <v>Not disclosed</v>
      </c>
      <c r="P13" s="12">
        <f t="shared" si="1"/>
        <v>0</v>
      </c>
      <c r="Q13" s="11" t="str">
        <f t="shared" si="2"/>
        <v/>
      </c>
      <c r="R13" s="11" t="str">
        <f t="shared" si="3"/>
        <v/>
      </c>
      <c r="S13" s="2"/>
      <c r="T13" s="2"/>
      <c r="U13" s="2"/>
      <c r="V13" s="2"/>
      <c r="W13" s="2"/>
      <c r="X13" s="2"/>
      <c r="Y13" s="2"/>
      <c r="Z13" s="2"/>
    </row>
    <row r="14" spans="1:26" ht="30">
      <c r="A14" s="8">
        <v>13</v>
      </c>
      <c r="B14" s="8" t="s">
        <v>87</v>
      </c>
      <c r="C14" s="8" t="s">
        <v>40</v>
      </c>
      <c r="D14" s="8" t="s">
        <v>88</v>
      </c>
      <c r="E14" s="8" t="s">
        <v>77</v>
      </c>
      <c r="F14" s="8" t="s">
        <v>89</v>
      </c>
      <c r="G14" s="8">
        <v>967</v>
      </c>
      <c r="H14" s="8">
        <v>228</v>
      </c>
      <c r="I14" s="9"/>
      <c r="J14" s="9"/>
      <c r="K14" s="10"/>
      <c r="L14" s="8" t="s">
        <v>79</v>
      </c>
      <c r="M14" s="8" t="s">
        <v>80</v>
      </c>
      <c r="N14" s="8" t="s">
        <v>90</v>
      </c>
      <c r="O14" s="11" t="str">
        <f t="shared" si="0"/>
        <v>Not disclosed</v>
      </c>
      <c r="P14" s="12">
        <f t="shared" si="1"/>
        <v>0</v>
      </c>
      <c r="Q14" s="11" t="str">
        <f t="shared" si="2"/>
        <v/>
      </c>
      <c r="R14" s="11" t="str">
        <f t="shared" si="3"/>
        <v/>
      </c>
      <c r="S14" s="2"/>
      <c r="T14" s="2"/>
      <c r="U14" s="2"/>
      <c r="V14" s="2"/>
      <c r="W14" s="2"/>
      <c r="X14" s="2"/>
      <c r="Y14" s="2"/>
      <c r="Z14" s="2"/>
    </row>
    <row r="15" spans="1:26" ht="30">
      <c r="A15" s="8">
        <v>14</v>
      </c>
      <c r="B15" s="8" t="s">
        <v>91</v>
      </c>
      <c r="C15" s="8" t="s">
        <v>32</v>
      </c>
      <c r="D15" s="8" t="s">
        <v>33</v>
      </c>
      <c r="E15" s="8" t="s">
        <v>34</v>
      </c>
      <c r="F15" s="8" t="s">
        <v>92</v>
      </c>
      <c r="G15" s="8">
        <v>2161</v>
      </c>
      <c r="H15" s="8"/>
      <c r="I15" s="9"/>
      <c r="J15" s="9"/>
      <c r="K15" s="10"/>
      <c r="L15" s="8" t="s">
        <v>93</v>
      </c>
      <c r="M15" s="8" t="s">
        <v>94</v>
      </c>
      <c r="N15" s="8" t="s">
        <v>95</v>
      </c>
      <c r="O15" s="11" t="str">
        <f t="shared" si="0"/>
        <v>Not disclosed</v>
      </c>
      <c r="P15" s="12">
        <f t="shared" si="1"/>
        <v>0</v>
      </c>
      <c r="Q15" s="11" t="str">
        <f t="shared" si="2"/>
        <v/>
      </c>
      <c r="R15" s="11" t="str">
        <f t="shared" si="3"/>
        <v/>
      </c>
      <c r="S15" s="2"/>
      <c r="T15" s="2"/>
      <c r="U15" s="2"/>
      <c r="V15" s="2"/>
      <c r="W15" s="2"/>
      <c r="X15" s="2"/>
      <c r="Y15" s="2"/>
      <c r="Z15" s="2"/>
    </row>
    <row r="16" spans="1:26" ht="30">
      <c r="A16" s="13">
        <v>15</v>
      </c>
      <c r="B16" s="13" t="s">
        <v>96</v>
      </c>
      <c r="C16" s="13" t="s">
        <v>32</v>
      </c>
      <c r="D16" s="13" t="s">
        <v>33</v>
      </c>
      <c r="E16" s="13" t="s">
        <v>34</v>
      </c>
      <c r="F16" s="13" t="s">
        <v>97</v>
      </c>
      <c r="G16" s="13">
        <v>2161</v>
      </c>
      <c r="H16" s="13">
        <v>36</v>
      </c>
      <c r="I16" s="14"/>
      <c r="J16" s="14"/>
      <c r="K16" s="15"/>
      <c r="L16" s="13" t="s">
        <v>79</v>
      </c>
      <c r="M16" s="13" t="s">
        <v>98</v>
      </c>
      <c r="N16" s="13" t="s">
        <v>99</v>
      </c>
      <c r="O16" s="16" t="str">
        <f t="shared" si="0"/>
        <v>Not disclosed</v>
      </c>
      <c r="P16" s="17">
        <f t="shared" si="1"/>
        <v>0</v>
      </c>
      <c r="Q16" s="16" t="str">
        <f t="shared" si="2"/>
        <v/>
      </c>
      <c r="R16" s="16" t="str">
        <f t="shared" si="3"/>
        <v/>
      </c>
      <c r="S16" s="2"/>
      <c r="T16" s="2"/>
      <c r="U16" s="2"/>
      <c r="V16" s="2"/>
      <c r="W16" s="2"/>
      <c r="X16" s="2"/>
      <c r="Y16" s="2"/>
      <c r="Z16" s="2"/>
    </row>
    <row r="17" spans="1:26" ht="15">
      <c r="A17" s="13">
        <v>16</v>
      </c>
      <c r="B17" s="13" t="s">
        <v>100</v>
      </c>
      <c r="C17" s="13" t="s">
        <v>40</v>
      </c>
      <c r="D17" s="13" t="s">
        <v>100</v>
      </c>
      <c r="E17" s="13" t="s">
        <v>34</v>
      </c>
      <c r="F17" s="13" t="s">
        <v>101</v>
      </c>
      <c r="G17" s="13">
        <v>967</v>
      </c>
      <c r="H17" s="13"/>
      <c r="I17" s="14"/>
      <c r="J17" s="14"/>
      <c r="K17" s="15"/>
      <c r="L17" s="13" t="s">
        <v>102</v>
      </c>
      <c r="M17" s="13" t="s">
        <v>103</v>
      </c>
      <c r="N17" s="13" t="s">
        <v>104</v>
      </c>
      <c r="O17" s="16" t="str">
        <f t="shared" si="0"/>
        <v>Not disclosed</v>
      </c>
      <c r="P17" s="17">
        <f t="shared" si="1"/>
        <v>0</v>
      </c>
      <c r="Q17" s="16" t="str">
        <f t="shared" si="2"/>
        <v/>
      </c>
      <c r="R17" s="16" t="str">
        <f t="shared" si="3"/>
        <v/>
      </c>
      <c r="S17" s="2"/>
      <c r="T17" s="2"/>
      <c r="U17" s="2"/>
      <c r="V17" s="2"/>
      <c r="W17" s="2"/>
      <c r="X17" s="2"/>
      <c r="Y17" s="2"/>
      <c r="Z17" s="2"/>
    </row>
    <row r="18" spans="1:26" ht="15">
      <c r="A18" s="13">
        <v>17</v>
      </c>
      <c r="B18" s="13" t="s">
        <v>105</v>
      </c>
      <c r="C18" s="13" t="s">
        <v>40</v>
      </c>
      <c r="D18" s="13" t="s">
        <v>100</v>
      </c>
      <c r="E18" s="13" t="s">
        <v>34</v>
      </c>
      <c r="F18" s="13" t="s">
        <v>101</v>
      </c>
      <c r="G18" s="13">
        <v>967</v>
      </c>
      <c r="H18" s="13"/>
      <c r="I18" s="14"/>
      <c r="J18" s="14"/>
      <c r="K18" s="15"/>
      <c r="L18" s="13" t="s">
        <v>102</v>
      </c>
      <c r="M18" s="13" t="s">
        <v>103</v>
      </c>
      <c r="N18" s="13" t="s">
        <v>104</v>
      </c>
      <c r="O18" s="16" t="str">
        <f t="shared" si="0"/>
        <v>Not disclosed</v>
      </c>
      <c r="P18" s="17">
        <f t="shared" si="1"/>
        <v>0</v>
      </c>
      <c r="Q18" s="16" t="str">
        <f t="shared" si="2"/>
        <v/>
      </c>
      <c r="R18" s="16" t="str">
        <f t="shared" si="3"/>
        <v/>
      </c>
      <c r="S18" s="2"/>
      <c r="T18" s="2"/>
      <c r="U18" s="2"/>
      <c r="V18" s="2"/>
      <c r="W18" s="2"/>
      <c r="X18" s="2"/>
      <c r="Y18" s="2"/>
      <c r="Z18" s="2"/>
    </row>
    <row r="19" spans="1:26" ht="15">
      <c r="A19" s="13">
        <v>18</v>
      </c>
      <c r="B19" s="13" t="s">
        <v>106</v>
      </c>
      <c r="C19" s="13" t="s">
        <v>40</v>
      </c>
      <c r="D19" s="13" t="s">
        <v>106</v>
      </c>
      <c r="E19" s="13" t="s">
        <v>34</v>
      </c>
      <c r="F19" s="13" t="s">
        <v>101</v>
      </c>
      <c r="G19" s="13">
        <v>967</v>
      </c>
      <c r="H19" s="13"/>
      <c r="I19" s="14"/>
      <c r="J19" s="14"/>
      <c r="K19" s="15"/>
      <c r="L19" s="13" t="s">
        <v>102</v>
      </c>
      <c r="M19" s="13" t="s">
        <v>103</v>
      </c>
      <c r="N19" s="13" t="s">
        <v>104</v>
      </c>
      <c r="O19" s="16" t="str">
        <f t="shared" si="0"/>
        <v>Not disclosed</v>
      </c>
      <c r="P19" s="17">
        <f t="shared" si="1"/>
        <v>0</v>
      </c>
      <c r="Q19" s="16" t="str">
        <f t="shared" si="2"/>
        <v/>
      </c>
      <c r="R19" s="16" t="str">
        <f t="shared" si="3"/>
        <v/>
      </c>
      <c r="S19" s="2"/>
      <c r="T19" s="2"/>
      <c r="U19" s="2"/>
      <c r="V19" s="2"/>
      <c r="W19" s="2"/>
      <c r="X19" s="2"/>
      <c r="Y19" s="2"/>
      <c r="Z19" s="2"/>
    </row>
    <row r="20" spans="1:26" ht="15">
      <c r="A20" s="13">
        <v>19</v>
      </c>
      <c r="B20" s="13" t="s">
        <v>107</v>
      </c>
      <c r="C20" s="13" t="s">
        <v>51</v>
      </c>
      <c r="D20" s="13" t="s">
        <v>52</v>
      </c>
      <c r="E20" s="13" t="s">
        <v>34</v>
      </c>
      <c r="F20" s="13" t="s">
        <v>108</v>
      </c>
      <c r="G20" s="13">
        <v>886</v>
      </c>
      <c r="H20" s="13"/>
      <c r="I20" s="14"/>
      <c r="J20" s="14"/>
      <c r="K20" s="15"/>
      <c r="L20" s="13" t="s">
        <v>102</v>
      </c>
      <c r="M20" s="13" t="s">
        <v>103</v>
      </c>
      <c r="N20" s="13" t="s">
        <v>104</v>
      </c>
      <c r="O20" s="16" t="str">
        <f t="shared" si="0"/>
        <v>Not disclosed</v>
      </c>
      <c r="P20" s="17">
        <f t="shared" si="1"/>
        <v>0</v>
      </c>
      <c r="Q20" s="16" t="str">
        <f t="shared" si="2"/>
        <v/>
      </c>
      <c r="R20" s="16" t="str">
        <f t="shared" si="3"/>
        <v/>
      </c>
      <c r="S20" s="2"/>
      <c r="T20" s="2"/>
      <c r="U20" s="2"/>
      <c r="V20" s="2"/>
      <c r="W20" s="2"/>
      <c r="X20" s="2"/>
      <c r="Y20" s="2"/>
      <c r="Z20" s="2"/>
    </row>
    <row r="21" spans="1:26" ht="15">
      <c r="A21" s="13">
        <v>20</v>
      </c>
      <c r="B21" s="13" t="s">
        <v>109</v>
      </c>
      <c r="C21" s="13" t="s">
        <v>51</v>
      </c>
      <c r="D21" s="13" t="s">
        <v>52</v>
      </c>
      <c r="E21" s="13" t="s">
        <v>34</v>
      </c>
      <c r="F21" s="13" t="s">
        <v>108</v>
      </c>
      <c r="G21" s="13">
        <v>886</v>
      </c>
      <c r="H21" s="13"/>
      <c r="I21" s="14"/>
      <c r="J21" s="14"/>
      <c r="K21" s="15"/>
      <c r="L21" s="13" t="s">
        <v>102</v>
      </c>
      <c r="M21" s="13" t="s">
        <v>103</v>
      </c>
      <c r="N21" s="13" t="s">
        <v>104</v>
      </c>
      <c r="O21" s="16" t="str">
        <f t="shared" si="0"/>
        <v>Not disclosed</v>
      </c>
      <c r="P21" s="17">
        <f t="shared" si="1"/>
        <v>0</v>
      </c>
      <c r="Q21" s="16" t="str">
        <f t="shared" si="2"/>
        <v/>
      </c>
      <c r="R21" s="16" t="str">
        <f t="shared" si="3"/>
        <v/>
      </c>
      <c r="S21" s="2"/>
      <c r="T21" s="2"/>
      <c r="U21" s="2"/>
      <c r="V21" s="2"/>
      <c r="W21" s="2"/>
      <c r="X21" s="2"/>
      <c r="Y21" s="2"/>
      <c r="Z21" s="2"/>
    </row>
    <row r="22" spans="1:26" ht="15">
      <c r="A22" s="13">
        <v>21</v>
      </c>
      <c r="B22" s="13" t="s">
        <v>110</v>
      </c>
      <c r="C22" s="13" t="s">
        <v>51</v>
      </c>
      <c r="D22" s="13" t="s">
        <v>52</v>
      </c>
      <c r="E22" s="13" t="s">
        <v>34</v>
      </c>
      <c r="F22" s="13" t="s">
        <v>108</v>
      </c>
      <c r="G22" s="13">
        <v>886</v>
      </c>
      <c r="H22" s="13"/>
      <c r="I22" s="14"/>
      <c r="J22" s="14"/>
      <c r="K22" s="15"/>
      <c r="L22" s="13" t="s">
        <v>102</v>
      </c>
      <c r="M22" s="13" t="s">
        <v>103</v>
      </c>
      <c r="N22" s="13" t="s">
        <v>104</v>
      </c>
      <c r="O22" s="16" t="str">
        <f t="shared" si="0"/>
        <v>Not disclosed</v>
      </c>
      <c r="P22" s="17">
        <f t="shared" si="1"/>
        <v>0</v>
      </c>
      <c r="Q22" s="16" t="str">
        <f t="shared" si="2"/>
        <v/>
      </c>
      <c r="R22" s="16" t="str">
        <f t="shared" si="3"/>
        <v/>
      </c>
      <c r="S22" s="2"/>
      <c r="T22" s="2"/>
      <c r="U22" s="2"/>
      <c r="V22" s="2"/>
      <c r="W22" s="2"/>
      <c r="X22" s="2"/>
      <c r="Y22" s="2"/>
      <c r="Z22" s="2"/>
    </row>
    <row r="23" spans="1:26" ht="30">
      <c r="A23" s="13">
        <v>22</v>
      </c>
      <c r="B23" s="13" t="s">
        <v>111</v>
      </c>
      <c r="C23" s="13" t="s">
        <v>60</v>
      </c>
      <c r="D23" s="13" t="s">
        <v>112</v>
      </c>
      <c r="E23" s="13" t="s">
        <v>34</v>
      </c>
      <c r="F23" s="13" t="s">
        <v>113</v>
      </c>
      <c r="G23" s="13">
        <v>770</v>
      </c>
      <c r="H23" s="13"/>
      <c r="I23" s="14"/>
      <c r="J23" s="14"/>
      <c r="K23" s="15"/>
      <c r="L23" s="13" t="s">
        <v>102</v>
      </c>
      <c r="M23" s="13" t="s">
        <v>103</v>
      </c>
      <c r="N23" s="13" t="s">
        <v>104</v>
      </c>
      <c r="O23" s="16" t="str">
        <f t="shared" si="0"/>
        <v>Not disclosed</v>
      </c>
      <c r="P23" s="17">
        <f t="shared" si="1"/>
        <v>0</v>
      </c>
      <c r="Q23" s="16" t="str">
        <f t="shared" si="2"/>
        <v/>
      </c>
      <c r="R23" s="16" t="str">
        <f t="shared" si="3"/>
        <v/>
      </c>
      <c r="S23" s="2"/>
      <c r="T23" s="2"/>
      <c r="U23" s="2"/>
      <c r="V23" s="2"/>
      <c r="W23" s="2"/>
      <c r="X23" s="2"/>
      <c r="Y23" s="2"/>
      <c r="Z23" s="2"/>
    </row>
    <row r="24" spans="1:26" ht="15">
      <c r="A24" s="13">
        <v>23</v>
      </c>
      <c r="B24" s="13" t="s">
        <v>114</v>
      </c>
      <c r="C24" s="13" t="s">
        <v>60</v>
      </c>
      <c r="D24" s="13" t="s">
        <v>115</v>
      </c>
      <c r="E24" s="13" t="s">
        <v>34</v>
      </c>
      <c r="F24" s="13" t="s">
        <v>113</v>
      </c>
      <c r="G24" s="13">
        <v>770</v>
      </c>
      <c r="H24" s="13"/>
      <c r="I24" s="14"/>
      <c r="J24" s="14"/>
      <c r="K24" s="15"/>
      <c r="L24" s="13" t="s">
        <v>102</v>
      </c>
      <c r="M24" s="13" t="s">
        <v>103</v>
      </c>
      <c r="N24" s="13" t="s">
        <v>104</v>
      </c>
      <c r="O24" s="16" t="str">
        <f t="shared" si="0"/>
        <v>Not disclosed</v>
      </c>
      <c r="P24" s="17">
        <f t="shared" si="1"/>
        <v>0</v>
      </c>
      <c r="Q24" s="16" t="str">
        <f t="shared" si="2"/>
        <v/>
      </c>
      <c r="R24" s="16" t="str">
        <f t="shared" si="3"/>
        <v/>
      </c>
      <c r="S24" s="2"/>
      <c r="T24" s="2"/>
      <c r="U24" s="2"/>
      <c r="V24" s="2"/>
      <c r="W24" s="2"/>
      <c r="X24" s="2"/>
      <c r="Y24" s="2"/>
      <c r="Z24" s="2"/>
    </row>
    <row r="25" spans="1:26" ht="15">
      <c r="A25" s="13">
        <v>24</v>
      </c>
      <c r="B25" s="13" t="s">
        <v>116</v>
      </c>
      <c r="C25" s="13" t="s">
        <v>64</v>
      </c>
      <c r="D25" s="13" t="s">
        <v>65</v>
      </c>
      <c r="E25" s="13" t="s">
        <v>34</v>
      </c>
      <c r="F25" s="13" t="s">
        <v>117</v>
      </c>
      <c r="G25" s="13">
        <v>374</v>
      </c>
      <c r="H25" s="13"/>
      <c r="I25" s="14"/>
      <c r="J25" s="14"/>
      <c r="K25" s="15"/>
      <c r="L25" s="13" t="s">
        <v>102</v>
      </c>
      <c r="M25" s="13" t="s">
        <v>103</v>
      </c>
      <c r="N25" s="13" t="s">
        <v>104</v>
      </c>
      <c r="O25" s="16" t="str">
        <f t="shared" si="0"/>
        <v>Not disclosed</v>
      </c>
      <c r="P25" s="17">
        <f t="shared" si="1"/>
        <v>0</v>
      </c>
      <c r="Q25" s="16" t="str">
        <f t="shared" si="2"/>
        <v/>
      </c>
      <c r="R25" s="16" t="str">
        <f t="shared" si="3"/>
        <v/>
      </c>
      <c r="S25" s="2"/>
      <c r="T25" s="2"/>
      <c r="U25" s="2"/>
      <c r="V25" s="2"/>
      <c r="W25" s="2"/>
      <c r="X25" s="2"/>
      <c r="Y25" s="2"/>
      <c r="Z25" s="2"/>
    </row>
    <row r="26" spans="1:26" ht="15">
      <c r="A26" s="13">
        <v>25</v>
      </c>
      <c r="B26" s="13" t="s">
        <v>118</v>
      </c>
      <c r="C26" s="13" t="s">
        <v>119</v>
      </c>
      <c r="D26" s="13" t="s">
        <v>118</v>
      </c>
      <c r="E26" s="13" t="s">
        <v>34</v>
      </c>
      <c r="F26" s="13" t="s">
        <v>120</v>
      </c>
      <c r="G26" s="13">
        <v>81</v>
      </c>
      <c r="H26" s="13"/>
      <c r="I26" s="14"/>
      <c r="J26" s="14"/>
      <c r="K26" s="15"/>
      <c r="L26" s="13" t="s">
        <v>102</v>
      </c>
      <c r="M26" s="13" t="s">
        <v>103</v>
      </c>
      <c r="N26" s="13" t="s">
        <v>104</v>
      </c>
      <c r="O26" s="16" t="str">
        <f t="shared" si="0"/>
        <v>Not disclosed</v>
      </c>
      <c r="P26" s="17">
        <f t="shared" si="1"/>
        <v>0</v>
      </c>
      <c r="Q26" s="16" t="str">
        <f t="shared" si="2"/>
        <v/>
      </c>
      <c r="R26" s="16" t="str">
        <f t="shared" si="3"/>
        <v/>
      </c>
      <c r="S26" s="2"/>
      <c r="T26" s="2"/>
      <c r="U26" s="2"/>
      <c r="V26" s="2"/>
      <c r="W26" s="2"/>
      <c r="X26" s="2"/>
      <c r="Y26" s="2"/>
      <c r="Z26" s="2"/>
    </row>
    <row r="27" spans="1:26" ht="15">
      <c r="A27" s="13">
        <v>26</v>
      </c>
      <c r="B27" s="13" t="s">
        <v>121</v>
      </c>
      <c r="C27" s="13" t="s">
        <v>32</v>
      </c>
      <c r="D27" s="13" t="s">
        <v>57</v>
      </c>
      <c r="E27" s="13" t="s">
        <v>34</v>
      </c>
      <c r="F27" s="13" t="s">
        <v>122</v>
      </c>
      <c r="G27" s="13">
        <v>2161</v>
      </c>
      <c r="H27" s="13"/>
      <c r="I27" s="14"/>
      <c r="J27" s="14"/>
      <c r="K27" s="15"/>
      <c r="L27" s="13" t="s">
        <v>102</v>
      </c>
      <c r="M27" s="13" t="s">
        <v>103</v>
      </c>
      <c r="N27" s="13" t="s">
        <v>104</v>
      </c>
      <c r="O27" s="16" t="str">
        <f t="shared" si="0"/>
        <v>Not disclosed</v>
      </c>
      <c r="P27" s="17">
        <f t="shared" si="1"/>
        <v>0</v>
      </c>
      <c r="Q27" s="16" t="str">
        <f t="shared" si="2"/>
        <v/>
      </c>
      <c r="R27" s="16" t="str">
        <f t="shared" si="3"/>
        <v/>
      </c>
      <c r="S27" s="2"/>
      <c r="T27" s="2"/>
      <c r="U27" s="2"/>
      <c r="V27" s="2"/>
      <c r="W27" s="2"/>
      <c r="X27" s="2"/>
      <c r="Y27" s="2"/>
      <c r="Z27" s="2"/>
    </row>
    <row r="28" spans="1:26" ht="15">
      <c r="A28" s="13">
        <v>27</v>
      </c>
      <c r="B28" s="13" t="s">
        <v>123</v>
      </c>
      <c r="C28" s="13" t="s">
        <v>32</v>
      </c>
      <c r="D28" s="13" t="s">
        <v>57</v>
      </c>
      <c r="E28" s="13" t="s">
        <v>34</v>
      </c>
      <c r="F28" s="13" t="s">
        <v>124</v>
      </c>
      <c r="G28" s="13">
        <v>2161</v>
      </c>
      <c r="H28" s="13"/>
      <c r="I28" s="14"/>
      <c r="J28" s="14"/>
      <c r="K28" s="15"/>
      <c r="L28" s="13" t="s">
        <v>102</v>
      </c>
      <c r="M28" s="13" t="s">
        <v>103</v>
      </c>
      <c r="N28" s="13" t="s">
        <v>104</v>
      </c>
      <c r="O28" s="16" t="str">
        <f t="shared" si="0"/>
        <v>Not disclosed</v>
      </c>
      <c r="P28" s="17">
        <f t="shared" si="1"/>
        <v>0</v>
      </c>
      <c r="Q28" s="16" t="str">
        <f t="shared" si="2"/>
        <v/>
      </c>
      <c r="R28" s="16" t="str">
        <f t="shared" si="3"/>
        <v/>
      </c>
      <c r="S28" s="2"/>
      <c r="T28" s="2"/>
      <c r="U28" s="2"/>
      <c r="V28" s="2"/>
      <c r="W28" s="2"/>
      <c r="X28" s="2"/>
      <c r="Y28" s="2"/>
      <c r="Z28" s="2"/>
    </row>
    <row r="29" spans="1:26" ht="15">
      <c r="A29" s="18">
        <v>28</v>
      </c>
      <c r="B29" s="18" t="s">
        <v>125</v>
      </c>
      <c r="C29" s="18" t="s">
        <v>32</v>
      </c>
      <c r="D29" s="18" t="s">
        <v>57</v>
      </c>
      <c r="E29" s="18" t="s">
        <v>126</v>
      </c>
      <c r="F29" s="18" t="s">
        <v>127</v>
      </c>
      <c r="G29" s="18">
        <v>2161</v>
      </c>
      <c r="H29" s="18"/>
      <c r="I29" s="19"/>
      <c r="J29" s="19"/>
      <c r="K29" s="20"/>
      <c r="L29" s="18" t="s">
        <v>102</v>
      </c>
      <c r="M29" s="18" t="s">
        <v>128</v>
      </c>
      <c r="N29" s="18" t="s">
        <v>104</v>
      </c>
      <c r="O29" s="21" t="str">
        <f t="shared" si="0"/>
        <v>Not disclosed</v>
      </c>
      <c r="P29" s="22">
        <f t="shared" si="1"/>
        <v>0</v>
      </c>
      <c r="Q29" s="21" t="str">
        <f t="shared" si="2"/>
        <v/>
      </c>
      <c r="R29" s="21" t="str">
        <f t="shared" si="3"/>
        <v/>
      </c>
      <c r="S29" s="2"/>
      <c r="T29" s="2"/>
      <c r="U29" s="2"/>
      <c r="V29" s="2"/>
      <c r="W29" s="2"/>
      <c r="X29" s="2"/>
      <c r="Y29" s="2"/>
      <c r="Z29" s="2"/>
    </row>
    <row r="30" spans="1:26" ht="15">
      <c r="A30" s="18">
        <v>29</v>
      </c>
      <c r="B30" s="18" t="s">
        <v>129</v>
      </c>
      <c r="C30" s="18" t="s">
        <v>32</v>
      </c>
      <c r="D30" s="18" t="s">
        <v>44</v>
      </c>
      <c r="E30" s="18" t="s">
        <v>126</v>
      </c>
      <c r="F30" s="18" t="s">
        <v>130</v>
      </c>
      <c r="G30" s="18">
        <v>2161</v>
      </c>
      <c r="H30" s="18"/>
      <c r="I30" s="19"/>
      <c r="J30" s="19"/>
      <c r="K30" s="20"/>
      <c r="L30" s="18" t="s">
        <v>102</v>
      </c>
      <c r="M30" s="18" t="s">
        <v>128</v>
      </c>
      <c r="N30" s="18" t="s">
        <v>104</v>
      </c>
      <c r="O30" s="21" t="str">
        <f t="shared" si="0"/>
        <v>Not disclosed</v>
      </c>
      <c r="P30" s="22">
        <f t="shared" si="1"/>
        <v>0</v>
      </c>
      <c r="Q30" s="21" t="str">
        <f t="shared" si="2"/>
        <v/>
      </c>
      <c r="R30" s="21" t="str">
        <f t="shared" si="3"/>
        <v/>
      </c>
      <c r="S30" s="2"/>
      <c r="T30" s="2"/>
      <c r="U30" s="2"/>
      <c r="V30" s="2"/>
      <c r="W30" s="2"/>
      <c r="X30" s="2"/>
      <c r="Y30" s="2"/>
      <c r="Z30" s="2"/>
    </row>
    <row r="31" spans="1:26" ht="15">
      <c r="A31" s="18">
        <v>30</v>
      </c>
      <c r="B31" s="18" t="s">
        <v>131</v>
      </c>
      <c r="C31" s="18" t="s">
        <v>51</v>
      </c>
      <c r="D31" s="18" t="s">
        <v>52</v>
      </c>
      <c r="E31" s="18" t="s">
        <v>126</v>
      </c>
      <c r="F31" s="18" t="s">
        <v>127</v>
      </c>
      <c r="G31" s="18">
        <v>886</v>
      </c>
      <c r="H31" s="18"/>
      <c r="I31" s="19"/>
      <c r="J31" s="19"/>
      <c r="K31" s="20"/>
      <c r="L31" s="18" t="s">
        <v>102</v>
      </c>
      <c r="M31" s="18" t="s">
        <v>128</v>
      </c>
      <c r="N31" s="18" t="s">
        <v>104</v>
      </c>
      <c r="O31" s="21" t="str">
        <f t="shared" si="0"/>
        <v>Not disclosed</v>
      </c>
      <c r="P31" s="22">
        <f t="shared" si="1"/>
        <v>0</v>
      </c>
      <c r="Q31" s="21" t="str">
        <f t="shared" si="2"/>
        <v/>
      </c>
      <c r="R31" s="21" t="str">
        <f t="shared" si="3"/>
        <v/>
      </c>
      <c r="S31" s="2"/>
      <c r="T31" s="2"/>
      <c r="U31" s="2"/>
      <c r="V31" s="2"/>
      <c r="W31" s="2"/>
      <c r="X31" s="2"/>
      <c r="Y31" s="2"/>
      <c r="Z31" s="2"/>
    </row>
    <row r="32" spans="1:26" ht="30">
      <c r="A32" s="18">
        <v>31</v>
      </c>
      <c r="B32" s="18" t="s">
        <v>132</v>
      </c>
      <c r="C32" s="18" t="s">
        <v>51</v>
      </c>
      <c r="D32" s="18" t="s">
        <v>52</v>
      </c>
      <c r="E32" s="18" t="s">
        <v>126</v>
      </c>
      <c r="F32" s="18" t="s">
        <v>133</v>
      </c>
      <c r="G32" s="18">
        <v>886</v>
      </c>
      <c r="H32" s="18"/>
      <c r="I32" s="19"/>
      <c r="J32" s="19"/>
      <c r="K32" s="20"/>
      <c r="L32" s="18" t="s">
        <v>102</v>
      </c>
      <c r="M32" s="18" t="s">
        <v>128</v>
      </c>
      <c r="N32" s="18" t="s">
        <v>104</v>
      </c>
      <c r="O32" s="21" t="str">
        <f t="shared" si="0"/>
        <v>Not disclosed</v>
      </c>
      <c r="P32" s="22">
        <f t="shared" si="1"/>
        <v>0</v>
      </c>
      <c r="Q32" s="21" t="str">
        <f t="shared" si="2"/>
        <v/>
      </c>
      <c r="R32" s="21" t="str">
        <f t="shared" si="3"/>
        <v/>
      </c>
      <c r="S32" s="2"/>
      <c r="T32" s="2"/>
      <c r="U32" s="2"/>
      <c r="V32" s="2"/>
      <c r="W32" s="2"/>
      <c r="X32" s="2"/>
      <c r="Y32" s="2"/>
      <c r="Z32" s="2"/>
    </row>
    <row r="33" spans="1:26" ht="15">
      <c r="A33" s="18">
        <v>32</v>
      </c>
      <c r="B33" s="18" t="s">
        <v>134</v>
      </c>
      <c r="C33" s="18" t="s">
        <v>60</v>
      </c>
      <c r="D33" s="18" t="s">
        <v>61</v>
      </c>
      <c r="E33" s="18" t="s">
        <v>126</v>
      </c>
      <c r="F33" s="18" t="s">
        <v>127</v>
      </c>
      <c r="G33" s="18">
        <v>770</v>
      </c>
      <c r="H33" s="18"/>
      <c r="I33" s="19"/>
      <c r="J33" s="19"/>
      <c r="K33" s="20"/>
      <c r="L33" s="18" t="s">
        <v>102</v>
      </c>
      <c r="M33" s="18" t="s">
        <v>128</v>
      </c>
      <c r="N33" s="18" t="s">
        <v>104</v>
      </c>
      <c r="O33" s="21" t="str">
        <f t="shared" si="0"/>
        <v>Not disclosed</v>
      </c>
      <c r="P33" s="22">
        <f t="shared" si="1"/>
        <v>0</v>
      </c>
      <c r="Q33" s="21" t="str">
        <f t="shared" si="2"/>
        <v/>
      </c>
      <c r="R33" s="21" t="str">
        <f t="shared" si="3"/>
        <v/>
      </c>
      <c r="S33" s="2"/>
      <c r="T33" s="2"/>
      <c r="U33" s="2"/>
      <c r="V33" s="2"/>
      <c r="W33" s="2"/>
      <c r="X33" s="2"/>
      <c r="Y33" s="2"/>
      <c r="Z33" s="2"/>
    </row>
    <row r="34" spans="1:26" ht="15">
      <c r="A34" s="18">
        <v>33</v>
      </c>
      <c r="B34" s="18" t="s">
        <v>135</v>
      </c>
      <c r="C34" s="18" t="s">
        <v>136</v>
      </c>
      <c r="D34" s="18" t="s">
        <v>135</v>
      </c>
      <c r="E34" s="18" t="s">
        <v>126</v>
      </c>
      <c r="F34" s="18" t="s">
        <v>137</v>
      </c>
      <c r="G34" s="18">
        <v>70</v>
      </c>
      <c r="H34" s="18"/>
      <c r="I34" s="19"/>
      <c r="J34" s="19"/>
      <c r="K34" s="20"/>
      <c r="L34" s="18" t="s">
        <v>102</v>
      </c>
      <c r="M34" s="18" t="s">
        <v>128</v>
      </c>
      <c r="N34" s="18" t="s">
        <v>104</v>
      </c>
      <c r="O34" s="21" t="str">
        <f t="shared" si="0"/>
        <v>Not disclosed</v>
      </c>
      <c r="P34" s="22">
        <f t="shared" si="1"/>
        <v>0</v>
      </c>
      <c r="Q34" s="21" t="str">
        <f t="shared" si="2"/>
        <v/>
      </c>
      <c r="R34" s="21" t="str">
        <f t="shared" si="3"/>
        <v/>
      </c>
      <c r="S34" s="2"/>
      <c r="T34" s="2"/>
      <c r="U34" s="2"/>
      <c r="V34" s="2"/>
      <c r="W34" s="2"/>
      <c r="X34" s="2"/>
      <c r="Y34" s="2"/>
      <c r="Z34" s="2"/>
    </row>
    <row r="35" spans="1:26" ht="15">
      <c r="A35" s="18">
        <v>34</v>
      </c>
      <c r="B35" s="18" t="s">
        <v>138</v>
      </c>
      <c r="C35" s="18" t="s">
        <v>139</v>
      </c>
      <c r="D35" s="18" t="s">
        <v>140</v>
      </c>
      <c r="E35" s="18" t="s">
        <v>126</v>
      </c>
      <c r="F35" s="18" t="s">
        <v>141</v>
      </c>
      <c r="G35" s="18">
        <v>241</v>
      </c>
      <c r="H35" s="18"/>
      <c r="I35" s="19"/>
      <c r="J35" s="19"/>
      <c r="K35" s="20"/>
      <c r="L35" s="18" t="s">
        <v>102</v>
      </c>
      <c r="M35" s="18" t="s">
        <v>128</v>
      </c>
      <c r="N35" s="18" t="s">
        <v>104</v>
      </c>
      <c r="O35" s="21" t="str">
        <f t="shared" si="0"/>
        <v>Not disclosed</v>
      </c>
      <c r="P35" s="22">
        <f t="shared" si="1"/>
        <v>0</v>
      </c>
      <c r="Q35" s="21" t="str">
        <f t="shared" si="2"/>
        <v/>
      </c>
      <c r="R35" s="21" t="str">
        <f t="shared" si="3"/>
        <v/>
      </c>
      <c r="S35" s="2"/>
      <c r="T35" s="2"/>
      <c r="U35" s="2"/>
      <c r="V35" s="2"/>
      <c r="W35" s="2"/>
      <c r="X35" s="2"/>
      <c r="Y35" s="2"/>
      <c r="Z35" s="2"/>
    </row>
    <row r="36" spans="1:26" ht="15">
      <c r="A36" s="18">
        <v>35</v>
      </c>
      <c r="B36" s="18" t="s">
        <v>142</v>
      </c>
      <c r="C36" s="18" t="s">
        <v>143</v>
      </c>
      <c r="D36" s="18" t="s">
        <v>144</v>
      </c>
      <c r="E36" s="18" t="s">
        <v>126</v>
      </c>
      <c r="F36" s="18" t="s">
        <v>145</v>
      </c>
      <c r="G36" s="18">
        <v>271</v>
      </c>
      <c r="H36" s="18"/>
      <c r="I36" s="19"/>
      <c r="J36" s="19"/>
      <c r="K36" s="20"/>
      <c r="L36" s="18" t="s">
        <v>102</v>
      </c>
      <c r="M36" s="18" t="s">
        <v>128</v>
      </c>
      <c r="N36" s="18" t="s">
        <v>104</v>
      </c>
      <c r="O36" s="21" t="str">
        <f t="shared" si="0"/>
        <v>Not disclosed</v>
      </c>
      <c r="P36" s="22">
        <f t="shared" si="1"/>
        <v>0</v>
      </c>
      <c r="Q36" s="21" t="str">
        <f t="shared" si="2"/>
        <v/>
      </c>
      <c r="R36" s="21" t="str">
        <f t="shared" si="3"/>
        <v/>
      </c>
      <c r="S36" s="2"/>
      <c r="T36" s="2"/>
      <c r="U36" s="2"/>
      <c r="V36" s="2"/>
      <c r="W36" s="2"/>
      <c r="X36" s="2"/>
      <c r="Y36" s="2"/>
      <c r="Z36" s="2"/>
    </row>
    <row r="37" spans="1:26" ht="15">
      <c r="A37" s="18">
        <v>36</v>
      </c>
      <c r="B37" s="18" t="s">
        <v>146</v>
      </c>
      <c r="C37" s="18" t="s">
        <v>143</v>
      </c>
      <c r="D37" s="18" t="s">
        <v>144</v>
      </c>
      <c r="E37" s="18" t="s">
        <v>126</v>
      </c>
      <c r="F37" s="18" t="s">
        <v>145</v>
      </c>
      <c r="G37" s="18">
        <v>271</v>
      </c>
      <c r="H37" s="18"/>
      <c r="I37" s="19"/>
      <c r="J37" s="19"/>
      <c r="K37" s="20"/>
      <c r="L37" s="18" t="s">
        <v>102</v>
      </c>
      <c r="M37" s="18" t="s">
        <v>128</v>
      </c>
      <c r="N37" s="18" t="s">
        <v>104</v>
      </c>
      <c r="O37" s="21" t="str">
        <f t="shared" si="0"/>
        <v>Not disclosed</v>
      </c>
      <c r="P37" s="22">
        <f t="shared" si="1"/>
        <v>0</v>
      </c>
      <c r="Q37" s="21" t="str">
        <f t="shared" si="2"/>
        <v/>
      </c>
      <c r="R37" s="21" t="str">
        <f t="shared" si="3"/>
        <v/>
      </c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baseColWidth="10" defaultColWidth="8.83203125" defaultRowHeight="14"/>
  <cols>
    <col min="1" max="1" width="20" customWidth="1"/>
    <col min="2" max="13" width="13" customWidth="1"/>
    <col min="14" max="14" width="20" customWidth="1"/>
    <col min="15" max="15" width="46" customWidth="1"/>
  </cols>
  <sheetData>
    <row r="1" spans="1:26" ht="48">
      <c r="A1" s="1" t="s">
        <v>147</v>
      </c>
      <c r="B1" s="1" t="s">
        <v>148</v>
      </c>
      <c r="C1" s="1" t="s">
        <v>21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22</v>
      </c>
      <c r="J1" s="1" t="s">
        <v>154</v>
      </c>
      <c r="K1" s="1" t="s">
        <v>155</v>
      </c>
      <c r="L1" s="1" t="s">
        <v>23</v>
      </c>
      <c r="M1" s="1" t="s">
        <v>156</v>
      </c>
      <c r="N1" s="1" t="s">
        <v>157</v>
      </c>
      <c r="O1" s="1" t="s">
        <v>158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>
      <c r="A2" s="13" t="s">
        <v>159</v>
      </c>
      <c r="B2" s="23">
        <v>991</v>
      </c>
      <c r="C2" s="23">
        <v>1137</v>
      </c>
      <c r="D2" s="17">
        <f t="shared" ref="D2:D11" si="0">C2/B2-1</f>
        <v>0.1473259334006054</v>
      </c>
      <c r="E2" s="23">
        <v>262</v>
      </c>
      <c r="F2" s="23">
        <v>286</v>
      </c>
      <c r="G2" s="17">
        <f t="shared" ref="G2:G11" si="1">F2/E2-1</f>
        <v>9.1603053435114434E-2</v>
      </c>
      <c r="H2" s="24">
        <v>4.21</v>
      </c>
      <c r="I2" s="24">
        <v>4.74</v>
      </c>
      <c r="J2" s="17">
        <f t="shared" ref="J2:J11" si="2">I2/H2-1</f>
        <v>0.12589073634204273</v>
      </c>
      <c r="K2" s="15">
        <v>0.81</v>
      </c>
      <c r="L2" s="15">
        <v>0.77</v>
      </c>
      <c r="M2" s="25">
        <f t="shared" ref="M2:M11" si="3">(L2-K2)*10000</f>
        <v>-400.00000000000034</v>
      </c>
      <c r="N2" s="13" t="s">
        <v>160</v>
      </c>
      <c r="O2" s="13" t="s">
        <v>161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>
      <c r="A3" s="13" t="s">
        <v>39</v>
      </c>
      <c r="B3" s="23">
        <v>812</v>
      </c>
      <c r="C3" s="23">
        <v>902</v>
      </c>
      <c r="D3" s="17">
        <f t="shared" si="0"/>
        <v>0.11083743842364524</v>
      </c>
      <c r="E3" s="23">
        <v>203</v>
      </c>
      <c r="F3" s="23">
        <v>217</v>
      </c>
      <c r="G3" s="17">
        <f t="shared" si="1"/>
        <v>6.8965517241379226E-2</v>
      </c>
      <c r="H3" s="24">
        <v>3.12</v>
      </c>
      <c r="I3" s="24">
        <v>3.41</v>
      </c>
      <c r="J3" s="17">
        <f t="shared" si="2"/>
        <v>9.2948717948718063E-2</v>
      </c>
      <c r="K3" s="15">
        <v>0.73</v>
      </c>
      <c r="L3" s="15">
        <v>0.74</v>
      </c>
      <c r="M3" s="25">
        <f t="shared" si="3"/>
        <v>100.00000000000009</v>
      </c>
      <c r="N3" s="13"/>
      <c r="O3" s="13" t="s">
        <v>162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13" t="s">
        <v>43</v>
      </c>
      <c r="B4" s="23">
        <v>633</v>
      </c>
      <c r="C4" s="23">
        <v>723</v>
      </c>
      <c r="D4" s="17">
        <f t="shared" si="0"/>
        <v>0.14218009478672977</v>
      </c>
      <c r="E4" s="23">
        <v>172</v>
      </c>
      <c r="F4" s="23">
        <v>181</v>
      </c>
      <c r="G4" s="17">
        <f t="shared" si="1"/>
        <v>5.232558139534893E-2</v>
      </c>
      <c r="H4" s="24">
        <v>2.42</v>
      </c>
      <c r="I4" s="24">
        <v>2.6</v>
      </c>
      <c r="J4" s="17">
        <f t="shared" si="2"/>
        <v>7.4380165289256173E-2</v>
      </c>
      <c r="K4" s="15">
        <v>0.78</v>
      </c>
      <c r="L4" s="15">
        <v>0.78</v>
      </c>
      <c r="M4" s="25">
        <f t="shared" si="3"/>
        <v>0</v>
      </c>
      <c r="N4" s="13" t="s">
        <v>163</v>
      </c>
      <c r="O4" s="13" t="s">
        <v>164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>
      <c r="A5" s="13" t="s">
        <v>47</v>
      </c>
      <c r="B5" s="23">
        <v>540</v>
      </c>
      <c r="C5" s="23">
        <v>642</v>
      </c>
      <c r="D5" s="17">
        <f t="shared" si="0"/>
        <v>0.18888888888888888</v>
      </c>
      <c r="E5" s="23">
        <v>140</v>
      </c>
      <c r="F5" s="23">
        <v>163</v>
      </c>
      <c r="G5" s="17">
        <f t="shared" si="1"/>
        <v>0.16428571428571437</v>
      </c>
      <c r="H5" s="24">
        <v>3.01</v>
      </c>
      <c r="I5" s="24">
        <v>3.02</v>
      </c>
      <c r="J5" s="17">
        <f t="shared" si="2"/>
        <v>3.3222591362127574E-3</v>
      </c>
      <c r="K5" s="15">
        <v>0.82</v>
      </c>
      <c r="L5" s="15">
        <v>0.76</v>
      </c>
      <c r="M5" s="25">
        <f t="shared" si="3"/>
        <v>-599.99999999999943</v>
      </c>
      <c r="N5" s="13" t="s">
        <v>165</v>
      </c>
      <c r="O5" s="13" t="s">
        <v>166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">
      <c r="A6" s="13" t="s">
        <v>50</v>
      </c>
      <c r="B6" s="23">
        <v>571</v>
      </c>
      <c r="C6" s="23">
        <v>605</v>
      </c>
      <c r="D6" s="17">
        <f t="shared" si="0"/>
        <v>5.9544658493870362E-2</v>
      </c>
      <c r="E6" s="23">
        <v>146</v>
      </c>
      <c r="F6" s="23">
        <v>152</v>
      </c>
      <c r="G6" s="17">
        <f t="shared" si="1"/>
        <v>4.1095890410958846E-2</v>
      </c>
      <c r="H6" s="24">
        <v>3.18</v>
      </c>
      <c r="I6" s="24">
        <v>3.45</v>
      </c>
      <c r="J6" s="17">
        <f t="shared" si="2"/>
        <v>8.4905660377358583E-2</v>
      </c>
      <c r="K6" s="15">
        <v>0.57999999999999996</v>
      </c>
      <c r="L6" s="15">
        <v>0.55000000000000004</v>
      </c>
      <c r="M6" s="25">
        <f t="shared" si="3"/>
        <v>-299.99999999999915</v>
      </c>
      <c r="N6" s="13" t="s">
        <v>167</v>
      </c>
      <c r="O6" s="13" t="s">
        <v>168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>
      <c r="A7" s="13" t="s">
        <v>169</v>
      </c>
      <c r="B7" s="23">
        <v>492</v>
      </c>
      <c r="C7" s="23">
        <v>590</v>
      </c>
      <c r="D7" s="17">
        <f t="shared" si="0"/>
        <v>0.19918699186991873</v>
      </c>
      <c r="E7" s="23">
        <v>135</v>
      </c>
      <c r="F7" s="23">
        <v>157</v>
      </c>
      <c r="G7" s="17">
        <f t="shared" si="1"/>
        <v>0.16296296296296298</v>
      </c>
      <c r="H7" s="24">
        <v>2.38</v>
      </c>
      <c r="I7" s="24">
        <v>2.96</v>
      </c>
      <c r="J7" s="17">
        <f t="shared" si="2"/>
        <v>0.24369747899159666</v>
      </c>
      <c r="K7" s="15">
        <v>0.73</v>
      </c>
      <c r="L7" s="15">
        <v>0.7</v>
      </c>
      <c r="M7" s="25">
        <f t="shared" si="3"/>
        <v>-300.00000000000028</v>
      </c>
      <c r="N7" s="13"/>
      <c r="O7" s="13" t="s">
        <v>170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>
      <c r="A8" s="13" t="s">
        <v>59</v>
      </c>
      <c r="B8" s="23">
        <v>501</v>
      </c>
      <c r="C8" s="23">
        <v>577</v>
      </c>
      <c r="D8" s="17">
        <f t="shared" si="0"/>
        <v>0.15169660678642716</v>
      </c>
      <c r="E8" s="23">
        <v>125</v>
      </c>
      <c r="F8" s="23">
        <v>154</v>
      </c>
      <c r="G8" s="17">
        <f t="shared" si="1"/>
        <v>0.23199999999999998</v>
      </c>
      <c r="H8" s="24">
        <v>2.2000000000000002</v>
      </c>
      <c r="I8" s="24">
        <v>2.35</v>
      </c>
      <c r="J8" s="17">
        <f t="shared" si="2"/>
        <v>6.8181818181818121E-2</v>
      </c>
      <c r="K8" s="15">
        <v>0.6</v>
      </c>
      <c r="L8" s="15">
        <v>0.65</v>
      </c>
      <c r="M8" s="25">
        <f t="shared" si="3"/>
        <v>500.00000000000045</v>
      </c>
      <c r="N8" s="13"/>
      <c r="O8" s="13" t="s">
        <v>171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">
      <c r="A9" s="13" t="s">
        <v>63</v>
      </c>
      <c r="B9" s="23">
        <v>352</v>
      </c>
      <c r="C9" s="23">
        <v>406</v>
      </c>
      <c r="D9" s="17">
        <f t="shared" si="0"/>
        <v>0.15340909090909083</v>
      </c>
      <c r="E9" s="23">
        <v>95</v>
      </c>
      <c r="F9" s="23">
        <v>107</v>
      </c>
      <c r="G9" s="17">
        <f t="shared" si="1"/>
        <v>0.12631578947368416</v>
      </c>
      <c r="H9" s="24">
        <v>1.67</v>
      </c>
      <c r="I9" s="24">
        <v>1.8</v>
      </c>
      <c r="J9" s="17">
        <f t="shared" si="2"/>
        <v>7.7844311377245567E-2</v>
      </c>
      <c r="K9" s="15">
        <v>0.73</v>
      </c>
      <c r="L9" s="15">
        <v>0.73</v>
      </c>
      <c r="M9" s="25">
        <f t="shared" si="3"/>
        <v>0</v>
      </c>
      <c r="N9" s="13" t="s">
        <v>172</v>
      </c>
      <c r="O9" s="13" t="s">
        <v>173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>
      <c r="A10" s="13" t="s">
        <v>68</v>
      </c>
      <c r="B10" s="23">
        <v>235</v>
      </c>
      <c r="C10" s="23">
        <v>285</v>
      </c>
      <c r="D10" s="17">
        <f t="shared" si="0"/>
        <v>0.2127659574468086</v>
      </c>
      <c r="E10" s="23">
        <v>60</v>
      </c>
      <c r="F10" s="23">
        <v>75</v>
      </c>
      <c r="G10" s="17">
        <f t="shared" si="1"/>
        <v>0.25</v>
      </c>
      <c r="H10" s="24">
        <v>1.46</v>
      </c>
      <c r="I10" s="24">
        <v>1.63</v>
      </c>
      <c r="J10" s="17">
        <f t="shared" si="2"/>
        <v>0.11643835616438358</v>
      </c>
      <c r="K10" s="15">
        <v>0.82</v>
      </c>
      <c r="L10" s="15">
        <v>0.74</v>
      </c>
      <c r="M10" s="25">
        <f t="shared" si="3"/>
        <v>-799.99999999999955</v>
      </c>
      <c r="N10" s="13" t="s">
        <v>174</v>
      </c>
      <c r="O10" s="13" t="s">
        <v>175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>
      <c r="A11" s="13" t="s">
        <v>72</v>
      </c>
      <c r="B11" s="23">
        <v>231</v>
      </c>
      <c r="C11" s="23">
        <v>279</v>
      </c>
      <c r="D11" s="17">
        <f t="shared" si="0"/>
        <v>0.20779220779220786</v>
      </c>
      <c r="E11" s="23">
        <v>53</v>
      </c>
      <c r="F11" s="23">
        <v>70</v>
      </c>
      <c r="G11" s="17">
        <f t="shared" si="1"/>
        <v>0.320754716981132</v>
      </c>
      <c r="H11" s="24">
        <v>1.64</v>
      </c>
      <c r="I11" s="24">
        <v>1.71</v>
      </c>
      <c r="J11" s="17">
        <f t="shared" si="2"/>
        <v>4.2682926829268331E-2</v>
      </c>
      <c r="K11" s="15">
        <v>0.53</v>
      </c>
      <c r="L11" s="15">
        <v>0.62</v>
      </c>
      <c r="M11" s="25">
        <f t="shared" si="3"/>
        <v>899.99999999999966</v>
      </c>
      <c r="N11" s="13"/>
      <c r="O11" s="13" t="s">
        <v>176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6"/>
      <c r="C12" s="26"/>
      <c r="D12" s="17"/>
      <c r="E12" s="26"/>
      <c r="F12" s="26"/>
      <c r="G12" s="17"/>
      <c r="H12" s="27"/>
      <c r="I12" s="27"/>
      <c r="J12" s="17"/>
      <c r="K12" s="28"/>
      <c r="L12" s="28"/>
      <c r="M12" s="25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2">
      <c r="A13" s="29" t="s">
        <v>177</v>
      </c>
      <c r="B13" s="30">
        <f>SUM(B2:B11)</f>
        <v>5358</v>
      </c>
      <c r="C13" s="30">
        <f>SUM(C2:C11)</f>
        <v>6146</v>
      </c>
      <c r="D13" s="31">
        <f>C13/B13-1</f>
        <v>0.147069802164987</v>
      </c>
      <c r="E13" s="30">
        <f>SUM(E2:E11)</f>
        <v>1391</v>
      </c>
      <c r="F13" s="30">
        <f>SUM(F2:F11)</f>
        <v>1562</v>
      </c>
      <c r="G13" s="31">
        <f>F13/E13-1</f>
        <v>0.12293314162473035</v>
      </c>
      <c r="H13" s="32">
        <f>SUMPRODUCT(B2:B11,H2:H11)/SUM(B2:B11)</f>
        <v>2.848363195222098</v>
      </c>
      <c r="I13" s="32">
        <f>SUMPRODUCT(C2:C11,I2:I11)/SUM(C2:C11)</f>
        <v>3.1151773511226808</v>
      </c>
      <c r="J13" s="31">
        <f>I13/H13-1</f>
        <v>9.3672799995500045E-2</v>
      </c>
      <c r="K13" s="31">
        <f>AVERAGE(K2:K11)</f>
        <v>0.71299999999999997</v>
      </c>
      <c r="L13" s="31">
        <f>AVERAGE(L2:L11)</f>
        <v>0.70399999999999996</v>
      </c>
      <c r="M13" s="33">
        <f>(L13-K13)*10000</f>
        <v>-90.000000000000085</v>
      </c>
      <c r="N13" s="29"/>
      <c r="O13" s="2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baseColWidth="10" defaultColWidth="8.83203125" defaultRowHeight="14"/>
  <cols>
    <col min="1" max="1" width="22" customWidth="1"/>
    <col min="2" max="13" width="14" customWidth="1"/>
    <col min="14" max="14" width="42" customWidth="1"/>
  </cols>
  <sheetData>
    <row r="1" spans="1:26" ht="48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155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23</v>
      </c>
      <c r="M1" s="1" t="s">
        <v>188</v>
      </c>
      <c r="N1" s="1" t="s">
        <v>189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>
      <c r="A2" s="13" t="s">
        <v>190</v>
      </c>
      <c r="B2" s="13">
        <v>10</v>
      </c>
      <c r="C2" s="15">
        <v>0.73199999999999998</v>
      </c>
      <c r="D2" s="23">
        <v>2611</v>
      </c>
      <c r="E2" s="24">
        <v>2.67</v>
      </c>
      <c r="F2" s="15">
        <v>0.72</v>
      </c>
      <c r="G2" s="34">
        <f>C2*$B$8</f>
        <v>4778.4960000000001</v>
      </c>
      <c r="H2" s="13">
        <v>13</v>
      </c>
      <c r="I2" s="15">
        <v>0.76200000000000001</v>
      </c>
      <c r="J2" s="23">
        <v>3238</v>
      </c>
      <c r="K2" s="24">
        <v>2.66</v>
      </c>
      <c r="L2" s="15">
        <v>0.72</v>
      </c>
      <c r="M2" s="34">
        <f>I2*$B$9</f>
        <v>5923.0259999999998</v>
      </c>
      <c r="N2" s="13" t="s">
        <v>191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>
      <c r="A3" s="13" t="s">
        <v>192</v>
      </c>
      <c r="B3" s="13">
        <v>5</v>
      </c>
      <c r="C3" s="15">
        <v>9.1999999999999998E-2</v>
      </c>
      <c r="D3" s="23">
        <v>523</v>
      </c>
      <c r="E3" s="24">
        <v>1.64</v>
      </c>
      <c r="F3" s="15">
        <v>0.74</v>
      </c>
      <c r="G3" s="34">
        <f>C3*$B$8</f>
        <v>600.57600000000002</v>
      </c>
      <c r="H3" s="13">
        <v>4</v>
      </c>
      <c r="I3" s="15">
        <v>0.11600000000000001</v>
      </c>
      <c r="J3" s="23">
        <v>559</v>
      </c>
      <c r="K3" s="24">
        <v>2.52</v>
      </c>
      <c r="L3" s="15">
        <v>0.69</v>
      </c>
      <c r="M3" s="34">
        <f>I3*$B$9</f>
        <v>901.66800000000001</v>
      </c>
      <c r="N3" s="13" t="s">
        <v>193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13" t="s">
        <v>194</v>
      </c>
      <c r="B4" s="13">
        <v>2</v>
      </c>
      <c r="C4" s="15">
        <v>0.1</v>
      </c>
      <c r="D4" s="23">
        <v>429</v>
      </c>
      <c r="E4" s="24">
        <v>2.35</v>
      </c>
      <c r="F4" s="15">
        <v>0.69</v>
      </c>
      <c r="G4" s="34">
        <f>C4*$B$8</f>
        <v>652.80000000000007</v>
      </c>
      <c r="H4" s="13">
        <v>1</v>
      </c>
      <c r="I4" s="15">
        <v>2.1999999999999999E-2</v>
      </c>
      <c r="J4" s="23">
        <v>119</v>
      </c>
      <c r="K4" s="24">
        <v>2.21</v>
      </c>
      <c r="L4" s="15">
        <v>0.67</v>
      </c>
      <c r="M4" s="34">
        <f>I4*$B$9</f>
        <v>171.006</v>
      </c>
      <c r="N4" s="13" t="s">
        <v>195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>
      <c r="A5" s="13" t="s">
        <v>196</v>
      </c>
      <c r="B5" s="13">
        <v>4</v>
      </c>
      <c r="C5" s="15">
        <v>6.3E-2</v>
      </c>
      <c r="D5" s="23">
        <v>533</v>
      </c>
      <c r="E5" s="24">
        <v>1.67</v>
      </c>
      <c r="F5" s="15">
        <v>0.5</v>
      </c>
      <c r="G5" s="34">
        <f>C5*$B$8</f>
        <v>411.26400000000001</v>
      </c>
      <c r="H5" s="13">
        <v>6</v>
      </c>
      <c r="I5" s="15">
        <v>8.7999999999999995E-2</v>
      </c>
      <c r="J5" s="23">
        <v>875</v>
      </c>
      <c r="K5" s="24">
        <v>1.62</v>
      </c>
      <c r="L5" s="15">
        <v>0.52</v>
      </c>
      <c r="M5" s="34">
        <f>I5*$B$9</f>
        <v>684.024</v>
      </c>
      <c r="N5" s="13" t="s">
        <v>197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6">
      <c r="A6" s="29" t="s">
        <v>198</v>
      </c>
      <c r="B6" s="29"/>
      <c r="C6" s="31">
        <f>1-SUM(C2:C5)</f>
        <v>1.3000000000000123E-2</v>
      </c>
      <c r="D6" s="30"/>
      <c r="E6" s="32"/>
      <c r="F6" s="31"/>
      <c r="G6" s="30">
        <f>C6*$B$8</f>
        <v>84.8640000000008</v>
      </c>
      <c r="H6" s="29"/>
      <c r="I6" s="31">
        <f>1-SUM(I2:I5)</f>
        <v>1.2000000000000011E-2</v>
      </c>
      <c r="J6" s="30"/>
      <c r="K6" s="32"/>
      <c r="L6" s="31"/>
      <c r="M6" s="30">
        <f>I6*$B$9</f>
        <v>93.276000000000082</v>
      </c>
      <c r="N6" s="29" t="s">
        <v>199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>
      <c r="A8" s="35" t="s">
        <v>200</v>
      </c>
      <c r="B8" s="13">
        <v>6528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>
      <c r="A9" s="35" t="s">
        <v>201</v>
      </c>
      <c r="B9" s="13">
        <v>7773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">
      <c r="A10" s="35" t="s">
        <v>202</v>
      </c>
      <c r="B10" s="2" t="s">
        <v>203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baseColWidth="10" defaultColWidth="8.83203125" defaultRowHeight="14"/>
  <cols>
    <col min="1" max="1" width="22" customWidth="1"/>
    <col min="2" max="2" width="68" customWidth="1"/>
    <col min="3" max="3" width="36" customWidth="1"/>
  </cols>
  <sheetData>
    <row r="1" spans="1:26" ht="16">
      <c r="A1" s="1" t="s">
        <v>204</v>
      </c>
      <c r="B1" s="1" t="s">
        <v>205</v>
      </c>
      <c r="C1" s="1" t="s">
        <v>206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">
      <c r="A2" s="2" t="s">
        <v>207</v>
      </c>
      <c r="B2" s="2" t="s">
        <v>208</v>
      </c>
      <c r="C2" s="2" t="s">
        <v>209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">
      <c r="A3" s="2" t="s">
        <v>210</v>
      </c>
      <c r="B3" s="2" t="s">
        <v>211</v>
      </c>
      <c r="C3" s="2" t="s">
        <v>212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>
      <c r="A4" s="2" t="s">
        <v>213</v>
      </c>
      <c r="B4" s="2" t="s">
        <v>214</v>
      </c>
      <c r="C4" s="2" t="s">
        <v>212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">
      <c r="A5" s="2" t="s">
        <v>215</v>
      </c>
      <c r="B5" s="2" t="s">
        <v>216</v>
      </c>
      <c r="C5" s="2" t="s">
        <v>217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>
      <c r="A6" s="2" t="s">
        <v>218</v>
      </c>
      <c r="B6" s="2" t="s">
        <v>219</v>
      </c>
      <c r="C6" s="2" t="s">
        <v>220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">
      <c r="A7" s="2" t="s">
        <v>221</v>
      </c>
      <c r="B7" s="2" t="s">
        <v>222</v>
      </c>
      <c r="C7" s="2" t="s">
        <v>223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">
      <c r="A8" s="2" t="s">
        <v>224</v>
      </c>
      <c r="B8" s="2" t="s">
        <v>225</v>
      </c>
      <c r="C8" s="2" t="s">
        <v>226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1083E-80C6-F546-9BED-15A2ED40781F}">
  <dimension ref="C4:F53"/>
  <sheetViews>
    <sheetView tabSelected="1" topLeftCell="A33" workbookViewId="0">
      <selection activeCell="D56" sqref="D56"/>
    </sheetView>
  </sheetViews>
  <sheetFormatPr baseColWidth="10" defaultRowHeight="16"/>
  <cols>
    <col min="1" max="16384" width="10.83203125" style="40"/>
  </cols>
  <sheetData>
    <row r="4" spans="3:6">
      <c r="C4" s="39" t="s">
        <v>15</v>
      </c>
      <c r="D4" s="39" t="s">
        <v>227</v>
      </c>
      <c r="E4" s="39" t="s">
        <v>228</v>
      </c>
      <c r="F4" s="39" t="s">
        <v>229</v>
      </c>
    </row>
    <row r="5" spans="3:6">
      <c r="C5" s="40" t="s">
        <v>32</v>
      </c>
      <c r="D5" s="40">
        <v>12</v>
      </c>
      <c r="E5" s="40" t="s">
        <v>230</v>
      </c>
      <c r="F5" s="41">
        <v>2161</v>
      </c>
    </row>
    <row r="6" spans="3:6">
      <c r="C6" s="40" t="s">
        <v>40</v>
      </c>
      <c r="D6" s="40">
        <v>5</v>
      </c>
      <c r="E6" s="40" t="s">
        <v>231</v>
      </c>
      <c r="F6" s="40">
        <v>967</v>
      </c>
    </row>
    <row r="7" spans="3:6">
      <c r="C7" s="40" t="s">
        <v>51</v>
      </c>
      <c r="D7" s="40">
        <v>7</v>
      </c>
      <c r="E7" s="40" t="s">
        <v>232</v>
      </c>
      <c r="F7" s="40">
        <v>886</v>
      </c>
    </row>
    <row r="8" spans="3:6">
      <c r="C8" s="40" t="s">
        <v>60</v>
      </c>
      <c r="D8" s="40">
        <v>4</v>
      </c>
      <c r="E8" s="40" t="s">
        <v>233</v>
      </c>
      <c r="F8" s="40">
        <v>770</v>
      </c>
    </row>
    <row r="9" spans="3:6">
      <c r="C9" s="40" t="s">
        <v>64</v>
      </c>
      <c r="D9" s="40">
        <v>2</v>
      </c>
      <c r="E9" s="40" t="s">
        <v>234</v>
      </c>
      <c r="F9" s="40">
        <v>374</v>
      </c>
    </row>
    <row r="10" spans="3:6">
      <c r="C10" s="40" t="s">
        <v>73</v>
      </c>
      <c r="D10" s="40">
        <v>1</v>
      </c>
      <c r="E10" s="40" t="s">
        <v>72</v>
      </c>
      <c r="F10" s="40">
        <v>275</v>
      </c>
    </row>
    <row r="11" spans="3:6">
      <c r="C11" s="40" t="s">
        <v>143</v>
      </c>
      <c r="D11" s="40">
        <v>2</v>
      </c>
      <c r="E11" s="40" t="s">
        <v>235</v>
      </c>
      <c r="F11" s="40">
        <v>271</v>
      </c>
    </row>
    <row r="12" spans="3:6">
      <c r="C12" s="40" t="s">
        <v>139</v>
      </c>
      <c r="D12" s="40">
        <v>1</v>
      </c>
      <c r="E12" s="40" t="s">
        <v>236</v>
      </c>
      <c r="F12" s="40">
        <v>241</v>
      </c>
    </row>
    <row r="13" spans="3:6">
      <c r="C13" s="40" t="s">
        <v>119</v>
      </c>
      <c r="D13" s="40">
        <v>1</v>
      </c>
      <c r="E13" s="40" t="s">
        <v>118</v>
      </c>
      <c r="F13" s="40">
        <v>81</v>
      </c>
    </row>
    <row r="14" spans="3:6">
      <c r="C14" s="40" t="s">
        <v>136</v>
      </c>
      <c r="D14" s="40">
        <v>1</v>
      </c>
      <c r="E14" s="40" t="s">
        <v>237</v>
      </c>
      <c r="F14" s="40">
        <v>70</v>
      </c>
    </row>
    <row r="15" spans="3:6">
      <c r="C15" s="39" t="s">
        <v>238</v>
      </c>
      <c r="D15" s="39">
        <v>36</v>
      </c>
      <c r="F15" s="39" t="s">
        <v>239</v>
      </c>
    </row>
    <row r="28" spans="3:6">
      <c r="C28" s="39" t="s">
        <v>240</v>
      </c>
      <c r="D28" s="39" t="s">
        <v>147</v>
      </c>
      <c r="E28" s="39" t="s">
        <v>241</v>
      </c>
      <c r="F28" s="39" t="s">
        <v>242</v>
      </c>
    </row>
    <row r="29" spans="3:6">
      <c r="C29" s="40">
        <v>1</v>
      </c>
      <c r="D29" s="40" t="s">
        <v>31</v>
      </c>
      <c r="E29" s="40" t="s">
        <v>243</v>
      </c>
      <c r="F29" s="40" t="s">
        <v>244</v>
      </c>
    </row>
    <row r="30" spans="3:6">
      <c r="C30" s="40">
        <v>2</v>
      </c>
      <c r="D30" s="40" t="s">
        <v>39</v>
      </c>
      <c r="E30" s="40" t="s">
        <v>245</v>
      </c>
      <c r="F30" s="40" t="s">
        <v>246</v>
      </c>
    </row>
    <row r="31" spans="3:6">
      <c r="C31" s="40">
        <v>3</v>
      </c>
      <c r="D31" s="40" t="s">
        <v>43</v>
      </c>
      <c r="E31" s="40" t="s">
        <v>247</v>
      </c>
      <c r="F31" s="40" t="s">
        <v>248</v>
      </c>
    </row>
    <row r="32" spans="3:6">
      <c r="C32" s="40">
        <v>4</v>
      </c>
      <c r="D32" s="40" t="s">
        <v>47</v>
      </c>
      <c r="E32" s="40" t="s">
        <v>249</v>
      </c>
      <c r="F32" s="40" t="s">
        <v>248</v>
      </c>
    </row>
    <row r="33" spans="3:6">
      <c r="C33" s="40">
        <v>5</v>
      </c>
      <c r="D33" s="40" t="s">
        <v>250</v>
      </c>
      <c r="E33" s="40" t="s">
        <v>251</v>
      </c>
      <c r="F33" s="40" t="s">
        <v>252</v>
      </c>
    </row>
    <row r="34" spans="3:6">
      <c r="C34" s="40">
        <v>6</v>
      </c>
      <c r="D34" s="40" t="s">
        <v>56</v>
      </c>
      <c r="E34" s="40" t="s">
        <v>253</v>
      </c>
      <c r="F34" s="40" t="s">
        <v>58</v>
      </c>
    </row>
    <row r="35" spans="3:6">
      <c r="C35" s="40">
        <v>7</v>
      </c>
      <c r="D35" s="40" t="s">
        <v>59</v>
      </c>
      <c r="E35" s="40" t="s">
        <v>254</v>
      </c>
      <c r="F35" s="40" t="s">
        <v>255</v>
      </c>
    </row>
    <row r="36" spans="3:6">
      <c r="C36" s="40">
        <v>8</v>
      </c>
      <c r="D36" s="40" t="s">
        <v>256</v>
      </c>
      <c r="E36" s="40" t="s">
        <v>257</v>
      </c>
      <c r="F36" s="40" t="s">
        <v>258</v>
      </c>
    </row>
    <row r="37" spans="3:6">
      <c r="C37" s="40">
        <v>9</v>
      </c>
      <c r="D37" s="40" t="s">
        <v>68</v>
      </c>
      <c r="E37" s="40" t="s">
        <v>259</v>
      </c>
      <c r="F37" s="40" t="s">
        <v>260</v>
      </c>
    </row>
    <row r="38" spans="3:6">
      <c r="C38" s="40">
        <v>10</v>
      </c>
      <c r="D38" s="40" t="s">
        <v>72</v>
      </c>
      <c r="E38" s="40" t="s">
        <v>261</v>
      </c>
      <c r="F38" s="40" t="s">
        <v>262</v>
      </c>
    </row>
    <row r="48" spans="3:6">
      <c r="C48" s="39" t="s">
        <v>263</v>
      </c>
      <c r="D48" s="39" t="s">
        <v>264</v>
      </c>
      <c r="E48" s="39" t="s">
        <v>265</v>
      </c>
    </row>
    <row r="49" spans="3:5">
      <c r="C49" s="40" t="s">
        <v>266</v>
      </c>
      <c r="D49" s="40" t="s">
        <v>267</v>
      </c>
      <c r="E49" s="40" t="s">
        <v>268</v>
      </c>
    </row>
    <row r="50" spans="3:5">
      <c r="C50" s="40" t="s">
        <v>269</v>
      </c>
      <c r="D50" s="40" t="s">
        <v>270</v>
      </c>
      <c r="E50" s="40" t="s">
        <v>271</v>
      </c>
    </row>
    <row r="51" spans="3:5">
      <c r="C51" s="40" t="s">
        <v>272</v>
      </c>
      <c r="D51" s="40" t="s">
        <v>273</v>
      </c>
      <c r="E51" s="40" t="s">
        <v>274</v>
      </c>
    </row>
    <row r="52" spans="3:5">
      <c r="C52" s="40" t="s">
        <v>275</v>
      </c>
      <c r="D52" s="40" t="s">
        <v>276</v>
      </c>
      <c r="E52" s="40" t="s">
        <v>277</v>
      </c>
    </row>
    <row r="53" spans="3:5">
      <c r="C53" s="40" t="s">
        <v>278</v>
      </c>
      <c r="D53" s="40" t="s">
        <v>279</v>
      </c>
      <c r="E53" s="40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Facility_KPI</vt:lpstr>
      <vt:lpstr>Top10_KPIs</vt:lpstr>
      <vt:lpstr>Margin_Cohorts</vt:lpstr>
      <vt:lpstr>Sources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Shirsh Sawarna</cp:lastModifiedBy>
  <dcterms:modified xsi:type="dcterms:W3CDTF">2026-07-03T10:18:29Z</dcterms:modified>
</cp:coreProperties>
</file>