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233be3e8f94503" /></Relationships>
</file>

<file path=xl/workbook.xml><?xml version="1.0" encoding="utf-8"?>
<x:workbook xmlns:x="http://schemas.openxmlformats.org/spreadsheetml/2006/main">
  <x:sheets>
    <x:sheet xmlns:r="http://schemas.openxmlformats.org/officeDocument/2006/relationships" name="Therapy growth" sheetId="1" r:id="Ra83d9b01c63f4b53"/>
    <x:sheet xmlns:r="http://schemas.openxmlformats.org/officeDocument/2006/relationships" name="Therapy sales" sheetId="2" r:id="Rc139c24fc0de4e84"/>
    <x:sheet xmlns:r="http://schemas.openxmlformats.org/officeDocument/2006/relationships" name="MNC neutral estimates" sheetId="3" r:id="R018a20e31fa14df5"/>
    <x:sheet xmlns:r="http://schemas.openxmlformats.org/officeDocument/2006/relationships" name="Inputs and sources" sheetId="4" r:id="Rdf795a04537c42f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quot;-&quot;"/>
    <x:numFmt numFmtId="201" formatCode="#,##0;(#,##0);&quot;-&quot;"/>
  </x:numFmts>
  <x:fonts count="5">
    <x:font>
      <x:sz val="11"/>
      <x:name val="Carlito"/>
    </x:font>
    <x:font>
      <x:b/>
      <x:sz val="11"/>
      <x:name val="Carlito"/>
    </x:font>
    <x:font>
      <x:sz val="10"/>
      <x:color rgb="FF000000"/>
      <x:name val="Arial"/>
    </x:font>
    <x:font>
      <x:b/>
      <x:sz val="10"/>
      <x:color rgb="FF000000"/>
      <x:name val="Arial"/>
    </x:font>
    <x:font>
      <x:b/>
      <x:sz val="14"/>
      <x:color rgb="FF000000"/>
      <x:name val="Arial"/>
    </x:font>
  </x:fonts>
  <x:fills count="2">
    <x:fill>
      <x:patternFill patternType="none"/>
    </x:fill>
    <x:fill>
      <x:patternFill patternType="gray125"/>
    </x:fill>
  </x:fills>
  <x:borders count="2">
    <x:border>
      <x:left/>
      <x:right/>
      <x:top/>
      <x:bottom/>
      <x:diagonal/>
    </x:border>
    <x:border>
      <x:left/>
      <x:right/>
      <x:top/>
      <x:bottom style="thin">
        <x:color rgb="FF000000"/>
      </x:bottom>
      <x:diagonal/>
    </x:border>
  </x:borders>
  <x:cellStyleXfs count="1">
    <x:xf numFmtId="0" fontId="0" fillId="0" borderId="0"/>
  </x:cellStyleXfs>
  <x:cellXfs count="16">
    <x:xf numFmtId="0" fontId="0" fillId="0" borderId="0" xfId="0"/>
    <x:xf numFmtId="200" fontId="0" fillId="0" borderId="0"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200" fontId="2" fillId="0" borderId="0" xfId="0" applyNumberFormat="1" applyFont="1" applyFill="1" applyBorder="1"/>
    <x:xf numFmtId="0" fontId="3" fillId="0" borderId="1" xfId="0" applyNumberFormat="1" applyFont="1" applyFill="1" applyBorder="1"/>
    <x:xf numFmtId="0" fontId="2" fillId="0" borderId="0" xfId="0" applyNumberFormat="1" applyFont="1" applyFill="1" applyBorder="1" applyAlignment="1">
      <x:alignment vertical="center"/>
    </x:xf>
    <x:xf numFmtId="200" fontId="2" fillId="0" borderId="0" xfId="0" applyNumberFormat="1" applyFont="1" applyFill="1" applyBorder="1" applyAlignment="1">
      <x:alignment vertical="center"/>
    </x:xf>
    <x:xf numFmtId="0" fontId="3" fillId="0" borderId="1" xfId="0" applyNumberFormat="1" applyFont="1" applyFill="1" applyBorder="1" applyAlignment="1">
      <x:alignment vertical="center"/>
    </x:xf>
    <x:xf numFmtId="0" fontId="4"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2" fillId="0" borderId="0" xfId="0" applyNumberFormat="1" applyFont="1" applyFill="1" applyBorder="1" applyAlignment="1">
      <x:alignment horizontal="right" vertical="center"/>
    </x:xf>
    <x:xf numFmtId="200" fontId="2" fillId="0" borderId="0" xfId="0" applyNumberFormat="1" applyFont="1" applyFill="1" applyBorder="1" applyAlignment="1">
      <x:alignment horizontal="right" vertical="center"/>
    </x:xf>
    <x:xf numFmtId="0" fontId="2" fillId="0" borderId="0" xfId="0" applyNumberFormat="1" applyFont="1" applyFill="1" applyBorder="1" applyAlignment="1">
      <x:alignment vertical="center" wrapText="1"/>
    </x:xf>
    <x:xf numFmtId="201" fontId="2"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ba49d286f04e29" /><Relationship Type="http://schemas.openxmlformats.org/officeDocument/2006/relationships/theme" Target="/xl/theme/theme1.xml" Id="R632adb5f679448c0" /><Relationship Type="http://schemas.openxmlformats.org/officeDocument/2006/relationships/sharedStrings" Target="/xl/sharedStrings.xml" Id="R3168e0966bb74f58" /><Relationship Type="http://schemas.openxmlformats.org/officeDocument/2006/relationships/worksheet" Target="/xl/worksheets/sheet1.xml" Id="Ra83d9b01c63f4b53" /><Relationship Type="http://schemas.openxmlformats.org/officeDocument/2006/relationships/worksheet" Target="/xl/worksheets/sheet2.xml" Id="Rc139c24fc0de4e84" /><Relationship Type="http://schemas.openxmlformats.org/officeDocument/2006/relationships/worksheet" Target="/xl/worksheets/sheet3.xml" Id="R018a20e31fa14df5" /><Relationship Type="http://schemas.openxmlformats.org/officeDocument/2006/relationships/worksheet" Target="/xl/worksheets/sheet4.xml" Id="Rdf795a04537c42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pane xSplit="2" ySplit="8" topLeftCell="C9" activePane="bottomRight" state="frozen"/>
    </x:sheetView>
  </x:sheetViews>
  <x:sheetFormatPr defaultRowHeight="15"/>
  <x:cols>
    <x:col min="1" max="1" width="28" hidden="0" customWidth="1"/>
    <x:col min="2" max="2" width="23" hidden="0" customWidth="1"/>
    <x:col min="3" max="3" width="10" hidden="0" customWidth="1"/>
    <x:col min="4" max="4" width="27" hidden="0" customWidth="1"/>
    <x:col min="5" max="5" width="13" hidden="0" customWidth="1"/>
    <x:col min="6" max="6" width="13" hidden="0" customWidth="1"/>
    <x:col min="7" max="7" width="13" hidden="0" customWidth="1"/>
    <x:col min="8" max="8" width="13" hidden="0" customWidth="1"/>
    <x:col min="9" max="9" width="13" hidden="0" customWidth="1"/>
    <x:col min="10" max="10" width="18" hidden="0" customWidth="1"/>
    <x:col min="11" max="11" width="85" hidden="0" customWidth="1"/>
  </x:cols>
  <x:sheetData>
    <x:row r="1" ht="19" customHeight="1">
      <x:c r="A1" s="7"/>
      <x:c r="B1" s="7"/>
      <x:c r="C1" s="7"/>
      <x:c r="D1" s="7"/>
      <x:c r="E1" s="7"/>
      <x:c r="F1" s="7"/>
      <x:c r="G1" s="7"/>
      <x:c r="H1" s="7"/>
      <x:c r="I1" s="7"/>
      <x:c r="J1" s="7"/>
      <x:c r="K1" s="7"/>
    </x:row>
    <x:row r="2" ht="19" customHeight="1">
      <x:c r="A2" s="10" t="str">
        <x:v>Therapy-wise sales growth</x:v>
      </x:c>
      <x:c r="B2" s="7"/>
      <x:c r="C2" s="7"/>
      <x:c r="D2" s="7"/>
      <x:c r="E2" s="7"/>
      <x:c r="F2" s="7"/>
      <x:c r="G2" s="7"/>
      <x:c r="H2" s="7"/>
      <x:c r="I2" s="7"/>
      <x:c r="J2" s="7"/>
      <x:c r="K2" s="7"/>
    </x:row>
    <x:row r="3" ht="19" customHeight="1">
      <x:c r="A3" s="7"/>
      <x:c r="B3" s="7"/>
      <x:c r="C3" s="7"/>
      <x:c r="D3" s="7"/>
      <x:c r="E3" s="7"/>
      <x:c r="F3" s="7"/>
      <x:c r="G3" s="7"/>
      <x:c r="H3" s="7"/>
      <x:c r="I3" s="7"/>
      <x:c r="J3" s="7"/>
      <x:c r="K3" s="7"/>
    </x:row>
    <x:row r="4" ht="19" customHeight="1">
      <x:c r="A4" s="7" t="str">
        <x:v>FY22–FY26; % YoY. R = reported; D = mix-derived estimate. Sales estimates in ₹ crore are on Therapy sales.</x:v>
      </x:c>
      <x:c r="B4" s="7"/>
      <x:c r="C4" s="7"/>
      <x:c r="D4" s="7"/>
      <x:c r="E4" s="7"/>
      <x:c r="F4" s="7"/>
      <x:c r="G4" s="7"/>
      <x:c r="H4" s="7"/>
      <x:c r="I4" s="7"/>
      <x:c r="J4" s="7"/>
      <x:c r="K4" s="7"/>
    </x:row>
    <x:row r="5" ht="19" customHeight="1">
      <x:c r="A5" s="7" t="str">
        <x:v>Compare bases carefully: Alkem is secondary-market growth; other D rows are primary-sales proxies.</x:v>
      </x:c>
      <x:c r="B5" s="7"/>
      <x:c r="C5" s="7"/>
      <x:c r="D5" s="7"/>
      <x:c r="E5" s="7"/>
      <x:c r="F5" s="7"/>
      <x:c r="G5" s="7"/>
      <x:c r="H5" s="7"/>
      <x:c r="I5" s="7"/>
      <x:c r="J5" s="7"/>
      <x:c r="K5" s="7"/>
    </x:row>
    <x:row r="6" ht="19" customHeight="1">
      <x:c r="A6" s="7" t="str">
        <x:v>Sun FY25 and Torrent FY26 have material comparability issues. Unsupported MNC allocations are separated.</x:v>
      </x:c>
      <x:c r="B6" s="7"/>
      <x:c r="C6" s="7"/>
      <x:c r="D6" s="7"/>
      <x:c r="E6" s="7"/>
      <x:c r="F6" s="7"/>
      <x:c r="G6" s="7"/>
      <x:c r="H6" s="7"/>
      <x:c r="I6" s="7"/>
      <x:c r="J6" s="7"/>
      <x:c r="K6" s="7"/>
    </x:row>
    <x:row r="7" ht="19" customHeight="1">
      <x:c r="A7" s="7"/>
      <x:c r="B7" s="7"/>
      <x:c r="C7" s="7"/>
      <x:c r="D7" s="7"/>
      <x:c r="E7" s="7"/>
      <x:c r="F7" s="7"/>
      <x:c r="G7" s="7"/>
      <x:c r="H7" s="7"/>
      <x:c r="I7" s="7"/>
      <x:c r="J7" s="7"/>
      <x:c r="K7" s="7"/>
    </x:row>
    <x:row r="8" ht="27" customHeight="1">
      <x:c r="A8" s="9" t="str">
        <x:v>Therapy</x:v>
      </x:c>
      <x:c r="B8" s="9" t="str">
        <x:v>Company</x:v>
      </x:c>
      <x:c r="C8" s="9" t="str">
        <x:v>Group</x:v>
      </x:c>
      <x:c r="D8" s="9" t="str">
        <x:v>Growth basis</x:v>
      </x:c>
      <x:c r="E8" s="9" t="str">
        <x:v>FY22</x:v>
      </x:c>
      <x:c r="F8" s="9" t="str">
        <x:v>FY23</x:v>
      </x:c>
      <x:c r="G8" s="9" t="str">
        <x:v>FY24</x:v>
      </x:c>
      <x:c r="H8" s="9" t="str">
        <x:v>FY25</x:v>
      </x:c>
      <x:c r="I8" s="9" t="str">
        <x:v>FY26</x:v>
      </x:c>
      <x:c r="J8" s="9" t="str">
        <x:v>FY22–26 CAGR</x:v>
      </x:c>
      <x:c r="K8" s="9" t="str">
        <x:v>Scope / note</x:v>
      </x:c>
    </x:row>
    <x:row r="9" ht="19" customHeight="1">
      <x:c r="A9" s="7" t="str">
        <x:v>Anti-infectives</x:v>
      </x:c>
      <x:c r="B9" s="7" t="str">
        <x:v>Alkem Labs</x:v>
      </x:c>
      <x:c r="C9" s="7" t="str">
        <x:v>India</x:v>
      </x:c>
      <x:c r="D9" s="7" t="str">
        <x:v>R: IQVIA secondary</x:v>
      </x:c>
      <x:c r="E9" s="8" t="n">
        <x:f>'Inputs and sources'!E79</x:f>
        <x:v>0.33799999999999997</x:v>
      </x:c>
      <x:c r="F9" s="8" t="n">
        <x:f>'Inputs and sources'!F79</x:f>
        <x:v>0.086</x:v>
      </x:c>
      <x:c r="G9" s="8" t="n">
        <x:f>'Inputs and sources'!G79</x:f>
        <x:v>0.02</x:v>
      </x:c>
      <x:c r="H9" s="8" t="n">
        <x:f>'Inputs and sources'!H79</x:f>
        <x:v>0.025</x:v>
      </x:c>
      <x:c r="I9" s="8" t="n">
        <x:f>'Inputs and sources'!I79</x:f>
        <x:v>0.044000000000000004</x:v>
      </x:c>
      <x:c r="J9" s="8" t="n">
        <x:f>((1+F9)*(1+G9)*(1+H9)*(1+I9))^(1/4)-1</x:f>
        <x:v>0.04343065148184877</x:v>
      </x:c>
      <x:c r="K9" s="7" t="str">
        <x:v>Main growth is reported secondary IQVIA growth, not growth of sales proxy. Sales are domestic primary revenue x secondary mix. FY26 mix rounded to whole %. Use main reported growth to assess trend.</x:v>
      </x:c>
    </x:row>
    <x:row r="10" ht="19" customHeight="1">
      <x:c r="A10" s="7" t="str">
        <x:v>Anti-infectives</x:v>
      </x:c>
      <x:c r="B10" s="7" t="str">
        <x:v>Mankind Pharma</x:v>
      </x:c>
      <x:c r="C10" s="7" t="str">
        <x:v>India</x:v>
      </x:c>
      <x:c r="D10" s="7" t="str">
        <x:v>D3: sales proxy</x:v>
      </x:c>
      <x:c r="E10" s="8" t="n">
        <x:f>'Therapy sales'!E17/'Therapy sales'!D17-1</x:f>
        <x:v>0.40313008988357346</x:v>
      </x:c>
      <x:c r="F10" s="8" t="n">
        <x:f>'Therapy sales'!F17/'Therapy sales'!E17-1</x:f>
        <x:v>0.13568271284814126</x:v>
      </x:c>
      <x:c r="G10" s="8" t="n">
        <x:f>'Therapy sales'!G17/'Therapy sales'!F17-1</x:f>
        <x:v>0.13994321542647592</x:v>
      </x:c>
      <x:c r="H10" s="8" t="n">
        <x:f>'Therapy sales'!H17/'Therapy sales'!G17-1</x:f>
        <x:v>0.011819639114952096</x:v>
      </x:c>
      <x:c r="I10" s="8" t="n">
        <x:f>'Therapy sales'!I17/'Therapy sales'!H17-1</x:f>
        <x:v>0.08597411921571307</x:v>
      </x:c>
      <x:c r="J10" s="8" t="n">
        <x:f>('Therapy sales'!I17/'Therapy sales'!E17)^(1/4)-1</x:f>
        <x:v>0.09210828884243849</x:v>
      </x:c>
      <x:c r="K10" s="7" t="str">
        <x:v>IQVIA therapy mix is secondary market data; allocation to domestic primary revenue is an estimate, not audited therapy sales. Includes consumer health. BSV acquisition raises FY25/FY26 growth; FY24 onward continuing scope differs from early history.</x:v>
      </x:c>
    </x:row>
    <x:row r="11" ht="19" customHeight="1">
      <x:c r="A11" s="7" t="str">
        <x:v>Anti-infectives</x:v>
      </x:c>
      <x:c r="B11" s="7" t="str">
        <x:v>Sun Pharma</x:v>
      </x:c>
      <x:c r="C11" s="7" t="str">
        <x:v>India</x:v>
      </x:c>
      <x:c r="D11" s="7" t="str">
        <x:v>D3: sales proxy</x:v>
      </x:c>
      <x:c r="E11" s="8" t="str">
        <x:v>n.d.</x:v>
      </x:c>
      <x:c r="F11" s="8" t="n">
        <x:f>'Therapy sales'!F42/'Therapy sales'!E42-1</x:f>
        <x:v>0.0661321545852831</x:v>
      </x:c>
      <x:c r="G11" s="8" t="n">
        <x:f>'Therapy sales'!G42/'Therapy sales'!F42-1</x:f>
        <x:v>0.09455197712286156</x:v>
      </x:c>
      <x:c r="H11" s="8" t="str">
        <x:v>n.c.</x:v>
      </x:c>
      <x:c r="I11" s="8" t="n">
        <x:f>'Therapy sales'!I42/'Therapy sales'!H42-1</x:f>
        <x:v>0.13989245405660933</x:v>
      </x:c>
      <x:c r="J11" s="8" t="str">
        <x:v>n.c.</x:v>
      </x:c>
      <x:c r="K11"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12" ht="19" customHeight="1">
      <x:c r="A12" s="7" t="str">
        <x:v>Anti-infectives</x:v>
      </x:c>
      <x:c r="B12" s="7" t="str">
        <x:v>Torrent Pharma</x:v>
      </x:c>
      <x:c r="C12" s="7" t="str">
        <x:v>India</x:v>
      </x:c>
      <x:c r="D12" s="7" t="str">
        <x:v>D3: sales proxy</x:v>
      </x:c>
      <x:c r="E12" s="8" t="str">
        <x:v>n.d.</x:v>
      </x:c>
      <x:c r="F12" s="8" t="n">
        <x:f>'Therapy sales'!F33/'Therapy sales'!E33-1</x:f>
        <x:v>-0.1278581427904807</x:v>
      </x:c>
      <x:c r="G12" s="8" t="n">
        <x:f>'Therapy sales'!G33/'Therapy sales'!F33-1</x:f>
        <x:v>0.1368378812199038</x:v>
      </x:c>
      <x:c r="H12" s="8" t="n">
        <x:f>'Therapy sales'!H33/'Therapy sales'!G33-1</x:f>
        <x:v>-0.240195816263589</x:v>
      </x:c>
      <x:c r="I12" s="8" t="n">
        <x:f>'Therapy sales'!I33/'Therapy sales'!H33-1</x:f>
        <x:v>0.18388080713280175</x:v>
      </x:c>
      <x:c r="J12" s="8" t="n">
        <x:f>('Therapy sales'!I33/'Therapy sales'!E33)^(1/4)-1</x:f>
        <x:v>-0.028206853641241758</x:v>
      </x:c>
      <x:c r="K12" s="7" t="str">
        <x:v>FY26 includes JB from 21 Jan 2026 and changes portfolio mix; no organic bridge. FY22 derma/gynae are in Other; FY26 ophthal/urology newly separated. FY25 disclosed rounded mix sums to 99%; normalized to 100% for sales allocation.</x:v>
      </x:c>
    </x:row>
    <x:row r="13" ht="19" customHeight="1">
      <x:c r="A13" s="7" t="str">
        <x:v>Cardiac</x:v>
      </x:c>
      <x:c r="B13" s="7" t="str">
        <x:v>Alkem Labs</x:v>
      </x:c>
      <x:c r="C13" s="7" t="str">
        <x:v>India</x:v>
      </x:c>
      <x:c r="D13" s="7" t="str">
        <x:v>R: IQVIA secondary</x:v>
      </x:c>
      <x:c r="E13" s="8" t="n">
        <x:f>'Inputs and sources'!E85</x:f>
        <x:v>0.079</x:v>
      </x:c>
      <x:c r="F13" s="8" t="n">
        <x:f>'Inputs and sources'!F85</x:f>
        <x:v>0.013000000000000001</x:v>
      </x:c>
      <x:c r="G13" s="8" t="n">
        <x:f>'Inputs and sources'!G85</x:f>
        <x:v>0.086</x:v>
      </x:c>
      <x:c r="H13" s="8" t="n">
        <x:f>'Inputs and sources'!H85</x:f>
        <x:v>0.01</x:v>
      </x:c>
      <x:c r="I13" s="8" t="n">
        <x:f>'Inputs and sources'!I85</x:f>
        <x:v>0.10300000000000001</x:v>
      </x:c>
      <x:c r="J13" s="8" t="n">
        <x:f>((1+F13)*(1+G13)*(1+H13)*(1+I13))^(1/4)-1</x:f>
        <x:v>0.05216545595840549</x:v>
      </x:c>
      <x:c r="K13" s="7" t="str">
        <x:v>Main growth is reported secondary IQVIA growth, not growth of sales proxy. Sales are domestic primary revenue x secondary mix. FY26 mix rounded to whole %. Use main reported growth to assess trend.</x:v>
      </x:c>
    </x:row>
    <x:row r="14" ht="19" customHeight="1">
      <x:c r="A14" s="7" t="str">
        <x:v>Cardiac</x:v>
      </x:c>
      <x:c r="B14" s="7" t="str">
        <x:v>Mankind Pharma</x:v>
      </x:c>
      <x:c r="C14" s="7" t="str">
        <x:v>India</x:v>
      </x:c>
      <x:c r="D14" s="7" t="str">
        <x:v>D3: sales proxy</x:v>
      </x:c>
      <x:c r="E14" s="8" t="n">
        <x:f>'Therapy sales'!E16/'Therapy sales'!D16-1</x:f>
        <x:v>0.20995539334955393</x:v>
      </x:c>
      <x:c r="F14" s="8" t="n">
        <x:f>'Therapy sales'!F16/'Therapy sales'!E16-1</x:f>
        <x:v>0.17735569834438691</x:v>
      </x:c>
      <x:c r="G14" s="8" t="n">
        <x:f>'Therapy sales'!G16/'Therapy sales'!F16-1</x:f>
        <x:v>0.21363439755116542</x:v>
      </x:c>
      <x:c r="H14" s="8" t="n">
        <x:f>'Therapy sales'!H16/'Therapy sales'!G16-1</x:f>
        <x:v>0.18689424452816272</x:v>
      </x:c>
      <x:c r="I14" s="8" t="n">
        <x:f>'Therapy sales'!I16/'Therapy sales'!H16-1</x:f>
        <x:v>0.22283661095248797</x:v>
      </x:c>
      <x:c r="J14" s="8" t="n">
        <x:f>('Therapy sales'!I16/'Therapy sales'!E16)^(1/4)-1</x:f>
        <x:v>0.2000352573732902</x:v>
      </x:c>
      <x:c r="K14" s="7" t="str">
        <x:v>IQVIA therapy mix is secondary market data; allocation to domestic primary revenue is an estimate, not audited therapy sales. Includes consumer health. BSV acquisition raises FY25/FY26 growth; FY24 onward continuing scope differs from early history.</x:v>
      </x:c>
    </x:row>
    <x:row r="15" ht="19" customHeight="1">
      <x:c r="A15" s="7" t="str">
        <x:v>Cardiac</x:v>
      </x:c>
      <x:c r="B15" s="7" t="str">
        <x:v>Sun Pharma</x:v>
      </x:c>
      <x:c r="C15" s="7" t="str">
        <x:v>India</x:v>
      </x:c>
      <x:c r="D15" s="7" t="str">
        <x:v>D3: sales proxy</x:v>
      </x:c>
      <x:c r="E15" s="8" t="str">
        <x:v>n.d.</x:v>
      </x:c>
      <x:c r="F15" s="8" t="n">
        <x:f>'Therapy sales'!F39/'Therapy sales'!E39-1</x:f>
        <x:v>0.12884581073735824</x:v>
      </x:c>
      <x:c r="G15" s="8" t="n">
        <x:f>'Therapy sales'!G39/'Therapy sales'!F39-1</x:f>
        <x:v>0.033743533949369464</x:v>
      </x:c>
      <x:c r="H15" s="8" t="str">
        <x:v>n.c.</x:v>
      </x:c>
      <x:c r="I15" s="8" t="n">
        <x:f>'Therapy sales'!I39/'Therapy sales'!H39-1</x:f>
        <x:v>0.13989245405660933</x:v>
      </x:c>
      <x:c r="J15" s="8" t="str">
        <x:v>n.c.</x:v>
      </x:c>
      <x:c r="K15"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16" ht="19" customHeight="1">
      <x:c r="A16" s="7" t="str">
        <x:v>Cardiac</x:v>
      </x:c>
      <x:c r="B16" s="7" t="str">
        <x:v>Torrent Pharma</x:v>
      </x:c>
      <x:c r="C16" s="7" t="str">
        <x:v>India</x:v>
      </x:c>
      <x:c r="D16" s="7" t="str">
        <x:v>D3: sales proxy</x:v>
      </x:c>
      <x:c r="E16" s="8" t="str">
        <x:v>n.d.</x:v>
      </x:c>
      <x:c r="F16" s="8" t="n">
        <x:f>'Therapy sales'!F27/'Therapy sales'!E27-1</x:f>
        <x:v>0.0826588572256104</x:v>
      </x:c>
      <x:c r="G16" s="8" t="n">
        <x:f>'Therapy sales'!G27/'Therapy sales'!F27-1</x:f>
        <x:v>0.0947327745080555</x:v>
      </x:c>
      <x:c r="H16" s="8" t="n">
        <x:f>'Therapy sales'!H27/'Therapy sales'!G27-1</x:f>
        <x:v>0.09587141885059247</x:v>
      </x:c>
      <x:c r="I16" s="8" t="n">
        <x:f>'Therapy sales'!I27/'Therapy sales'!H27-1</x:f>
        <x:v>0.4680122008446741</x:v>
      </x:c>
      <x:c r="J16" s="8" t="n">
        <x:f>('Therapy sales'!I27/'Therapy sales'!E27)^(1/4)-1</x:f>
        <x:v>0.1750930420764354</x:v>
      </x:c>
      <x:c r="K16" s="7" t="str">
        <x:v>FY26 includes JB from 21 Jan 2026 and changes portfolio mix; no organic bridge. FY22 derma/gynae are in Other; FY26 ophthal/urology newly separated. FY25 disclosed rounded mix sums to 99%; normalized to 100% for sales allocation.</x:v>
      </x:c>
    </x:row>
    <x:row r="17" ht="19" customHeight="1">
      <x:c r="A17" s="7" t="str">
        <x:v>Cardiac</x:v>
      </x:c>
      <x:c r="B17" s="7" t="str">
        <x:v>AstraZeneca India</x:v>
      </x:c>
      <x:c r="C17" s="7" t="str">
        <x:v>MNC</x:v>
      </x:c>
      <x:c r="D17" s="7" t="str">
        <x:v>D1: sales proxy</x:v>
      </x:c>
      <x:c r="E17" s="8" t="n">
        <x:f>'Therapy sales'!E9/'Therapy sales'!D9-1</x:f>
        <x:v>0.0159876557304941</x:v>
      </x:c>
      <x:c r="F17" s="8" t="n">
        <x:f>'Therapy sales'!F9/'Therapy sales'!E9-1</x:f>
        <x:v>0.1758631297120541</x:v>
      </x:c>
      <x:c r="G17" s="8" t="n">
        <x:f>'Therapy sales'!G9/'Therapy sales'!F9-1</x:f>
        <x:v>0.1569326608264756</x:v>
      </x:c>
      <x:c r="H17" s="8" t="n">
        <x:f>'Therapy sales'!H9/'Therapy sales'!G9-1</x:f>
        <x:v>0.09351485178132712</x:v>
      </x:c>
      <x:c r="I17" s="8" t="n">
        <x:f>'Therapy sales'!I9/'Therapy sales'!H9-1</x:f>
        <x:v>0.07899218492567295</x:v>
      </x:c>
      <x:c r="J17" s="8" t="n">
        <x:f>('Therapy sales'!I9/'Therapy sales'!E9)^(1/4)-1</x:f>
        <x:v>0.125581534795548</x:v>
      </x:c>
      <x:c r="K17" s="7" t="str">
        <x:v>Includes product exports; excludes clinical services and distribution fees. Respiratory includes rare disease from FY24. Mix rounded to 0.1pp; derived growth is approximate.</x:v>
      </x:c>
    </x:row>
    <x:row r="18" ht="19" customHeight="1">
      <x:c r="A18" s="7" t="str">
        <x:v>CNS</x:v>
      </x:c>
      <x:c r="B18" s="7" t="str">
        <x:v>Alkem Labs</x:v>
      </x:c>
      <x:c r="C18" s="7" t="str">
        <x:v>India</x:v>
      </x:c>
      <x:c r="D18" s="7" t="str">
        <x:v>R: IQVIA secondary</x:v>
      </x:c>
      <x:c r="E18" s="8" t="n">
        <x:f>'Inputs and sources'!E83</x:f>
        <x:v>0.18</x:v>
      </x:c>
      <x:c r="F18" s="8" t="n">
        <x:f>'Inputs and sources'!F83</x:f>
        <x:v>0.198</x:v>
      </x:c>
      <x:c r="G18" s="8" t="n">
        <x:f>'Inputs and sources'!G83</x:f>
        <x:v>0.085</x:v>
      </x:c>
      <x:c r="H18" s="8" t="n">
        <x:f>'Inputs and sources'!H83</x:f>
        <x:v>0.114</x:v>
      </x:c>
      <x:c r="I18" s="8" t="n">
        <x:f>'Inputs and sources'!I83</x:f>
        <x:v>0.086</x:v>
      </x:c>
      <x:c r="J18" s="8" t="n">
        <x:f>((1+F18)*(1+G18)*(1+H18)*(1+I18))^(1/4)-1</x:f>
        <x:v>0.11982560395194097</x:v>
      </x:c>
      <x:c r="K18" s="7" t="str">
        <x:v>Main growth is reported secondary IQVIA growth, not growth of sales proxy. Sales are domestic primary revenue x secondary mix. FY26 mix rounded to whole %. Use main reported growth to assess trend.</x:v>
      </x:c>
    </x:row>
    <x:row r="19" ht="19" customHeight="1">
      <x:c r="A19" s="7" t="str">
        <x:v>CNS</x:v>
      </x:c>
      <x:c r="B19" s="7" t="str">
        <x:v>Mankind Pharma</x:v>
      </x:c>
      <x:c r="C19" s="7" t="str">
        <x:v>India</x:v>
      </x:c>
      <x:c r="D19" s="7" t="str">
        <x:v>D3: sales proxy</x:v>
      </x:c>
      <x:c r="E19" s="8" t="n">
        <x:f>'Therapy sales'!E25/'Therapy sales'!D25-1</x:f>
        <x:v>0.14183290477770383</x:v>
      </x:c>
      <x:c r="F19" s="8" t="n">
        <x:f>'Therapy sales'!F25/'Therapy sales'!E25-1</x:f>
        <x:v>-0.0021656716079089255</x:v>
      </x:c>
      <x:c r="G19" s="8" t="n">
        <x:f>'Therapy sales'!G25/'Therapy sales'!F25-1</x:f>
        <x:v>0.11759138767301547</x:v>
      </x:c>
      <x:c r="H19" s="8" t="n">
        <x:f>'Therapy sales'!H25/'Therapy sales'!G25-1</x:f>
        <x:v>0.04306617485404396</x:v>
      </x:c>
      <x:c r="I19" s="8" t="n">
        <x:f>'Therapy sales'!I25/'Therapy sales'!H25-1</x:f>
        <x:v>0.144449648711944</x:v>
      </x:c>
      <x:c r="J19" s="8" t="n">
        <x:f>('Therapy sales'!I25/'Therapy sales'!E25)^(1/4)-1</x:f>
        <x:v>0.07414400738219573</x:v>
      </x:c>
      <x:c r="K19" s="7" t="str">
        <x:v>IQVIA therapy mix is secondary market data; allocation to domestic primary revenue is an estimate, not audited therapy sales. Includes consumer health. BSV acquisition raises FY25/FY26 growth; FY24 onward continuing scope differs from early history.</x:v>
      </x:c>
    </x:row>
    <x:row r="20" ht="19" customHeight="1">
      <x:c r="A20" s="7" t="str">
        <x:v>CNS</x:v>
      </x:c>
      <x:c r="B20" s="7" t="str">
        <x:v>Sun Pharma</x:v>
      </x:c>
      <x:c r="C20" s="7" t="str">
        <x:v>India</x:v>
      </x:c>
      <x:c r="D20" s="7" t="str">
        <x:v>D3: sales proxy</x:v>
      </x:c>
      <x:c r="E20" s="8" t="str">
        <x:v>n.d.</x:v>
      </x:c>
      <x:c r="F20" s="8" t="n">
        <x:f>'Therapy sales'!F40/'Therapy sales'!E40-1</x:f>
        <x:v>0.0661321545852831</x:v>
      </x:c>
      <x:c r="G20" s="8" t="n">
        <x:f>'Therapy sales'!G40/'Therapy sales'!F40-1</x:f>
        <x:v>0.09455197712286156</x:v>
      </x:c>
      <x:c r="H20" s="8" t="str">
        <x:v>n.c.</x:v>
      </x:c>
      <x:c r="I20" s="8" t="n">
        <x:f>'Therapy sales'!I40/'Therapy sales'!H40-1</x:f>
        <x:v>0.08289783135377893</x:v>
      </x:c>
      <x:c r="J20" s="8" t="str">
        <x:v>n.c.</x:v>
      </x:c>
      <x:c r="K20"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21" ht="19" customHeight="1">
      <x:c r="A21" s="7" t="str">
        <x:v>CNS</x:v>
      </x:c>
      <x:c r="B21" s="7" t="str">
        <x:v>Torrent Pharma</x:v>
      </x:c>
      <x:c r="C21" s="7" t="str">
        <x:v>India</x:v>
      </x:c>
      <x:c r="D21" s="7" t="str">
        <x:v>D3: sales proxy</x:v>
      </x:c>
      <x:c r="E21" s="8" t="str">
        <x:v>n.d.</x:v>
      </x:c>
      <x:c r="F21" s="8" t="n">
        <x:f>'Therapy sales'!F29/'Therapy sales'!E29-1</x:f>
        <x:v>0.16285580961269264</x:v>
      </x:c>
      <x:c r="G21" s="8" t="n">
        <x:f>'Therapy sales'!G29/'Therapy sales'!F29-1</x:f>
        <x:v>0.1368378812199036</x:v>
      </x:c>
      <x:c r="H21" s="8" t="n">
        <x:f>'Therapy sales'!H29/'Therapy sales'!G29-1</x:f>
        <x:v>0.13970627560461657</x:v>
      </x:c>
      <x:c r="I21" s="8" t="n">
        <x:f>'Therapy sales'!I29/'Therapy sales'!H29-1</x:f>
        <x:v>-0.05289535429375869</x:v>
      </x:c>
      <x:c r="J21" s="8" t="n">
        <x:f>('Therapy sales'!I29/'Therapy sales'!E29)^(1/4)-1</x:f>
        <x:v>0.09295889146856595</x:v>
      </x:c>
      <x:c r="K21" s="7" t="str">
        <x:v>FY26 includes JB from 21 Jan 2026 and changes portfolio mix; no organic bridge. FY22 derma/gynae are in Other; FY26 ophthal/urology newly separated. FY25 disclosed rounded mix sums to 99%; normalized to 100% for sales allocation.</x:v>
      </x:c>
    </x:row>
    <x:row r="22" ht="19" customHeight="1">
      <x:c r="A22" s="7" t="str">
        <x:v>Dermatology</x:v>
      </x:c>
      <x:c r="B22" s="7" t="str">
        <x:v>Alkem Labs</x:v>
      </x:c>
      <x:c r="C22" s="7" t="str">
        <x:v>India</x:v>
      </x:c>
      <x:c r="D22" s="7" t="str">
        <x:v>R: IQVIA secondary</x:v>
      </x:c>
      <x:c r="E22" s="8" t="n">
        <x:f>'Inputs and sources'!E86</x:f>
        <x:v>0.201</x:v>
      </x:c>
      <x:c r="F22" s="8" t="n">
        <x:f>'Inputs and sources'!F86</x:f>
        <x:v>0.16</x:v>
      </x:c>
      <x:c r="G22" s="8" t="n">
        <x:f>'Inputs and sources'!G86</x:f>
        <x:v>0.106</x:v>
      </x:c>
      <x:c r="H22" s="8" t="n">
        <x:f>'Inputs and sources'!H86</x:f>
        <x:v>0.08800000000000001</x:v>
      </x:c>
      <x:c r="I22" s="8" t="n">
        <x:f>'Inputs and sources'!I86</x:f>
        <x:v>0.11199999999999999</x:v>
      </x:c>
      <x:c r="J22" s="8" t="n">
        <x:f>((1+F22)*(1+G22)*(1+H22)*(1+I22))^(1/4)-1</x:f>
        <x:v>0.11618633081715268</x:v>
      </x:c>
      <x:c r="K22" s="7" t="str">
        <x:v>Main growth is reported secondary IQVIA growth, not growth of sales proxy. Sales are domestic primary revenue x secondary mix. FY26 mix rounded to whole %. Use main reported growth to assess trend.</x:v>
      </x:c>
    </x:row>
    <x:row r="23" ht="19" customHeight="1">
      <x:c r="A23" s="7" t="str">
        <x:v>Dermatology</x:v>
      </x:c>
      <x:c r="B23" s="7" t="str">
        <x:v>Mankind Pharma</x:v>
      </x:c>
      <x:c r="C23" s="7" t="str">
        <x:v>India</x:v>
      </x:c>
      <x:c r="D23" s="7" t="str">
        <x:v>D3: sales proxy</x:v>
      </x:c>
      <x:c r="E23" s="8" t="n">
        <x:f>'Therapy sales'!E23/'Therapy sales'!D23-1</x:f>
        <x:v>0.08414607799262397</x:v>
      </x:c>
      <x:c r="F23" s="8" t="n">
        <x:f>'Therapy sales'!F23/'Therapy sales'!E23-1</x:f>
        <x:v>-0.08255253278294761</x:v>
      </x:c>
      <x:c r="G23" s="8" t="n">
        <x:f>'Therapy sales'!G23/'Therapy sales'!F23-1</x:f>
        <x:v>0.06262787680385062</x:v>
      </x:c>
      <x:c r="H23" s="8" t="n">
        <x:f>'Therapy sales'!H23/'Therapy sales'!G23-1</x:f>
        <x:v>0.013093008909962567</x:v>
      </x:c>
      <x:c r="I23" s="8" t="n">
        <x:f>'Therapy sales'!I23/'Therapy sales'!H23-1</x:f>
        <x:v>0.05641506034948662</x:v>
      </x:c>
      <x:c r="J23" s="8" t="n">
        <x:f>('Therapy sales'!I23/'Therapy sales'!E23)^(1/4)-1</x:f>
        <x:v>0.010675128415230217</x:v>
      </x:c>
      <x:c r="K23" s="7" t="str">
        <x:v>IQVIA therapy mix is secondary market data; allocation to domestic primary revenue is an estimate, not audited therapy sales. Includes consumer health. BSV acquisition raises FY25/FY26 growth; FY24 onward continuing scope differs from early history.</x:v>
      </x:c>
    </x:row>
    <x:row r="24" ht="19" customHeight="1">
      <x:c r="A24" s="7" t="str">
        <x:v>Dermatology</x:v>
      </x:c>
      <x:c r="B24" s="7" t="str">
        <x:v>Sun Pharma</x:v>
      </x:c>
      <x:c r="C24" s="7" t="str">
        <x:v>India</x:v>
      </x:c>
      <x:c r="D24" s="7" t="str">
        <x:v>D3: sales proxy</x:v>
      </x:c>
      <x:c r="E24" s="8" t="str">
        <x:v>n.d.</x:v>
      </x:c>
      <x:c r="F24" s="8" t="n">
        <x:f>'Therapy sales'!F45/'Therapy sales'!E45-1</x:f>
        <x:v>0.0661321545852831</x:v>
      </x:c>
      <x:c r="G24" s="8" t="n">
        <x:f>'Therapy sales'!G45/'Therapy sales'!F45-1</x:f>
        <x:v>0.09455197712286156</x:v>
      </x:c>
      <x:c r="H24" s="8" t="str">
        <x:v>n.c.</x:v>
      </x:c>
      <x:c r="I24" s="8" t="n">
        <x:f>'Therapy sales'!I45/'Therapy sales'!H45-1</x:f>
        <x:v>0.13989245405660955</x:v>
      </x:c>
      <x:c r="J24" s="8" t="str">
        <x:v>n.c.</x:v>
      </x:c>
      <x:c r="K24"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25" ht="19" customHeight="1">
      <x:c r="A25" s="7" t="str">
        <x:v>Dermatology</x:v>
      </x:c>
      <x:c r="B25" s="7" t="str">
        <x:v>Torrent Pharma</x:v>
      </x:c>
      <x:c r="C25" s="7" t="str">
        <x:v>India</x:v>
      </x:c>
      <x:c r="D25" s="7" t="str">
        <x:v>D3: sales proxy</x:v>
      </x:c>
      <x:c r="E25" s="8" t="str">
        <x:v>n.d.</x:v>
      </x:c>
      <x:c r="F25" s="8" t="str">
        <x:v>n.d.</x:v>
      </x:c>
      <x:c r="G25" s="8" t="n">
        <x:f>'Therapy sales'!G34/'Therapy sales'!F34-1</x:f>
        <x:v>0.1368378812199036</x:v>
      </x:c>
      <x:c r="H25" s="8" t="n">
        <x:f>'Therapy sales'!H34/'Therapy sales'!G34-1</x:f>
        <x:v>0.3025214578338471</x:v>
      </x:c>
      <x:c r="I25" s="8" t="n">
        <x:f>'Therapy sales'!I34/'Therapy sales'!H34-1</x:f>
        <x:v>0.03589570624120175</x:v>
      </x:c>
      <x:c r="J25" s="8" t="str">
        <x:v>n.c.</x:v>
      </x:c>
      <x:c r="K25" s="7" t="str">
        <x:v>FY26 includes JB from 21 Jan 2026 and changes portfolio mix; no organic bridge. FY22 derma/gynae are in Other; FY26 ophthal/urology newly separated. FY25 disclosed rounded mix sums to 99%; normalized to 100% for sales allocation.</x:v>
      </x:c>
    </x:row>
    <x:row r="26" ht="19" customHeight="1">
      <x:c r="A26" s="7" t="str">
        <x:v>Diabetes</x:v>
      </x:c>
      <x:c r="B26" s="7" t="str">
        <x:v>Alkem Labs</x:v>
      </x:c>
      <x:c r="C26" s="7" t="str">
        <x:v>India</x:v>
      </x:c>
      <x:c r="D26" s="7" t="str">
        <x:v>R: IQVIA secondary</x:v>
      </x:c>
      <x:c r="E26" s="8" t="n">
        <x:f>'Inputs and sources'!E84</x:f>
        <x:v>0.256</x:v>
      </x:c>
      <x:c r="F26" s="8" t="n">
        <x:f>'Inputs and sources'!F84</x:f>
        <x:v>0.294</x:v>
      </x:c>
      <x:c r="G26" s="8" t="n">
        <x:f>'Inputs and sources'!G84</x:f>
        <x:v>0.21600000000000003</x:v>
      </x:c>
      <x:c r="H26" s="8" t="n">
        <x:f>'Inputs and sources'!H84</x:f>
        <x:v>0.09699999999999999</x:v>
      </x:c>
      <x:c r="I26" s="8" t="n">
        <x:f>'Inputs and sources'!I84</x:f>
        <x:v>0.142</x:v>
      </x:c>
      <x:c r="J26" s="8" t="n">
        <x:f>((1+F26)*(1+G26)*(1+H26)*(1+I26))^(1/4)-1</x:f>
        <x:v>0.1849094024520428</x:v>
      </x:c>
      <x:c r="K26" s="7" t="str">
        <x:v>Main growth is reported secondary IQVIA growth, not growth of sales proxy. Sales are domestic primary revenue x secondary mix. FY26 mix rounded to whole %. Use main reported growth to assess trend.</x:v>
      </x:c>
    </x:row>
    <x:row r="27" ht="19" customHeight="1">
      <x:c r="A27" s="7" t="str">
        <x:v>Diabetes</x:v>
      </x:c>
      <x:c r="B27" s="7" t="str">
        <x:v>Mankind Pharma</x:v>
      </x:c>
      <x:c r="C27" s="7" t="str">
        <x:v>India</x:v>
      </x:c>
      <x:c r="D27" s="7" t="str">
        <x:v>D3: sales proxy</x:v>
      </x:c>
      <x:c r="E27" s="8" t="n">
        <x:f>'Therapy sales'!E20/'Therapy sales'!D20-1</x:f>
        <x:v>0.20202465124438462</x:v>
      </x:c>
      <x:c r="F27" s="8" t="n">
        <x:f>'Therapy sales'!F20/'Therapy sales'!E20-1</x:f>
        <x:v>0.09955979282501959</x:v>
      </x:c>
      <x:c r="G27" s="8" t="n">
        <x:f>'Therapy sales'!G20/'Therapy sales'!F20-1</x:f>
        <x:v>0.17210804073023578</x:v>
      </x:c>
      <x:c r="H27" s="8" t="n">
        <x:f>'Therapy sales'!H20/'Therapy sales'!G20-1</x:f>
        <x:v>0.07743075813411915</x:v>
      </x:c>
      <x:c r="I27" s="8" t="n">
        <x:f>'Therapy sales'!I20/'Therapy sales'!H20-1</x:f>
        <x:v>0.20027646084423356</x:v>
      </x:c>
      <x:c r="J27" s="8" t="n">
        <x:f>('Therapy sales'!I20/'Therapy sales'!E20)^(1/4)-1</x:f>
        <x:v>0.13622486381264154</x:v>
      </x:c>
      <x:c r="K27" s="7" t="str">
        <x:v>IQVIA therapy mix is secondary market data; allocation to domestic primary revenue is an estimate, not audited therapy sales. Includes consumer health. BSV acquisition raises FY25/FY26 growth; FY24 onward continuing scope differs from early history.</x:v>
      </x:c>
    </x:row>
    <x:row r="28" ht="19" customHeight="1">
      <x:c r="A28" s="7" t="str">
        <x:v>Diabetes</x:v>
      </x:c>
      <x:c r="B28" s="7" t="str">
        <x:v>Sun Pharma</x:v>
      </x:c>
      <x:c r="C28" s="7" t="str">
        <x:v>India</x:v>
      </x:c>
      <x:c r="D28" s="7" t="str">
        <x:v>D3: sales proxy</x:v>
      </x:c>
      <x:c r="E28" s="8" t="str">
        <x:v>n.d.</x:v>
      </x:c>
      <x:c r="F28" s="8" t="n">
        <x:f>'Therapy sales'!F43/'Therapy sales'!E43-1</x:f>
        <x:v>-0.06713436473787726</x:v>
      </x:c>
      <x:c r="G28" s="8" t="n">
        <x:f>'Therapy sales'!G43/'Therapy sales'!F43-1</x:f>
        <x:v>0.09455197712286156</x:v>
      </x:c>
      <x:c r="H28" s="8" t="str">
        <x:v>n.c.</x:v>
      </x:c>
      <x:c r="I28" s="8" t="n">
        <x:f>'Therapy sales'!I43/'Therapy sales'!H43-1</x:f>
        <x:v>0.28237901081368566</x:v>
      </x:c>
      <x:c r="J28" s="8" t="str">
        <x:v>n.c.</x:v>
      </x:c>
      <x:c r="K28"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29" ht="19" customHeight="1">
      <x:c r="A29" s="7" t="str">
        <x:v>Diabetes</x:v>
      </x:c>
      <x:c r="B29" s="7" t="str">
        <x:v>Torrent Pharma</x:v>
      </x:c>
      <x:c r="C29" s="7" t="str">
        <x:v>India</x:v>
      </x:c>
      <x:c r="D29" s="7" t="str">
        <x:v>D3: sales proxy</x:v>
      </x:c>
      <x:c r="E29" s="8" t="str">
        <x:v>n.d.</x:v>
      </x:c>
      <x:c r="F29" s="8" t="n">
        <x:f>'Therapy sales'!F31/'Therapy sales'!E31-1</x:f>
        <x:v>0.16285580961269241</x:v>
      </x:c>
      <x:c r="G29" s="8" t="n">
        <x:f>'Therapy sales'!G31/'Therapy sales'!F31-1</x:f>
        <x:v>0.1368378812199036</x:v>
      </x:c>
      <x:c r="H29" s="8" t="n">
        <x:f>'Therapy sales'!H31/'Therapy sales'!G31-1</x:f>
        <x:v>0.2663403062273517</x:v>
      </x:c>
      <x:c r="I29" s="8" t="n">
        <x:f>'Therapy sales'!I31/'Therapy sales'!H31-1</x:f>
        <x:v>-0.1712834350070388</x:v>
      </x:c>
      <x:c r="J29" s="8" t="n">
        <x:f>('Therapy sales'!I31/'Therapy sales'!E31)^(1/4)-1</x:f>
        <x:v>0.08528853065616793</x:v>
      </x:c>
      <x:c r="K29" s="7" t="str">
        <x:v>FY26 includes JB from 21 Jan 2026 and changes portfolio mix; no organic bridge. FY22 derma/gynae are in Other; FY26 ophthal/urology newly separated. FY25 disclosed rounded mix sums to 99%; normalized to 100% for sales allocation.</x:v>
      </x:c>
    </x:row>
    <x:row r="30" ht="19" customHeight="1">
      <x:c r="A30" s="7" t="str">
        <x:v>Diabetes</x:v>
      </x:c>
      <x:c r="B30" s="7" t="str">
        <x:v>AstraZeneca India</x:v>
      </x:c>
      <x:c r="C30" s="7" t="str">
        <x:v>MNC</x:v>
      </x:c>
      <x:c r="D30" s="7" t="str">
        <x:v>D1: sales proxy</x:v>
      </x:c>
      <x:c r="E30" s="8" t="n">
        <x:f>'Therapy sales'!E10/'Therapy sales'!D10-1</x:f>
        <x:v>-0.4626978167034038</x:v>
      </x:c>
      <x:c r="F30" s="8" t="n">
        <x:f>'Therapy sales'!F10/'Therapy sales'!E10-1</x:f>
        <x:v>-0.23672868450389395</x:v>
      </x:c>
      <x:c r="G30" s="8" t="n">
        <x:f>'Therapy sales'!G10/'Therapy sales'!F10-1</x:f>
        <x:v>-0.0842276473175616</x:v>
      </x:c>
      <x:c r="H30" s="8" t="n">
        <x:f>'Therapy sales'!H10/'Therapy sales'!G10-1</x:f>
        <x:v>-0.16959821153503707</x:v>
      </x:c>
      <x:c r="I30" s="8" t="n">
        <x:f>'Therapy sales'!I10/'Therapy sales'!H10-1</x:f>
        <x:v>-0.1869929570868567</x:v>
      </x:c>
      <x:c r="J30" s="8" t="n">
        <x:f>('Therapy sales'!I10/'Therapy sales'!E10)^(1/4)-1</x:f>
        <x:v>-0.17117610503518743</x:v>
      </x:c>
      <x:c r="K30" s="7" t="str">
        <x:v>Includes product exports; excludes clinical services and distribution fees. Respiratory includes rare disease from FY24. Mix rounded to 0.1pp; derived growth is approximate.</x:v>
      </x:c>
    </x:row>
    <x:row r="31" ht="19" customHeight="1">
      <x:c r="A31" s="7" t="str">
        <x:v>Gastrointestinal</x:v>
      </x:c>
      <x:c r="B31" s="7" t="str">
        <x:v>Alkem Labs</x:v>
      </x:c>
      <x:c r="C31" s="7" t="str">
        <x:v>India</x:v>
      </x:c>
      <x:c r="D31" s="7" t="str">
        <x:v>R: IQVIA secondary</x:v>
      </x:c>
      <x:c r="E31" s="8" t="n">
        <x:f>'Inputs and sources'!E80</x:f>
        <x:v>0.222</x:v>
      </x:c>
      <x:c r="F31" s="8" t="n">
        <x:f>'Inputs and sources'!F80</x:f>
        <x:v>0.175</x:v>
      </x:c>
      <x:c r="G31" s="8" t="n">
        <x:f>'Inputs and sources'!G80</x:f>
        <x:v>0.09</x:v>
      </x:c>
      <x:c r="H31" s="8" t="n">
        <x:f>'Inputs and sources'!H80</x:f>
        <x:v>0.114</x:v>
      </x:c>
      <x:c r="I31" s="8" t="n">
        <x:f>'Inputs and sources'!I80</x:f>
        <x:v>0.083</x:v>
      </x:c>
      <x:c r="J31" s="8" t="n">
        <x:f>((1+F31)*(1+G31)*(1+H31)*(1+I31))^(1/4)-1</x:f>
        <x:v>0.11492204574761966</x:v>
      </x:c>
      <x:c r="K31" s="7" t="str">
        <x:v>Main growth is reported secondary IQVIA growth, not growth of sales proxy. Sales are domestic primary revenue x secondary mix. FY26 mix rounded to whole %. Use main reported growth to assess trend.</x:v>
      </x:c>
    </x:row>
    <x:row r="32" ht="19" customHeight="1">
      <x:c r="A32" s="7" t="str">
        <x:v>Gastrointestinal</x:v>
      </x:c>
      <x:c r="B32" s="7" t="str">
        <x:v>Mankind Pharma</x:v>
      </x:c>
      <x:c r="C32" s="7" t="str">
        <x:v>India</x:v>
      </x:c>
      <x:c r="D32" s="7" t="str">
        <x:v>D3: sales proxy</x:v>
      </x:c>
      <x:c r="E32" s="8" t="n">
        <x:f>'Therapy sales'!E19/'Therapy sales'!D19-1</x:f>
        <x:v>0.21535342443229544</x:v>
      </x:c>
      <x:c r="F32" s="8" t="n">
        <x:f>'Therapy sales'!F19/'Therapy sales'!E19-1</x:f>
        <x:v>0.10275833328300243</x:v>
      </x:c>
      <x:c r="G32" s="8" t="n">
        <x:f>'Therapy sales'!G19/'Therapy sales'!F19-1</x:f>
        <x:v>0.08654718245987603</x:v>
      </x:c>
      <x:c r="H32" s="8" t="n">
        <x:f>'Therapy sales'!H19/'Therapy sales'!G19-1</x:f>
        <x:v>0.09770297448925591</x:v>
      </x:c>
      <x:c r="I32" s="8" t="n">
        <x:f>'Therapy sales'!I19/'Therapy sales'!H19-1</x:f>
        <x:v>0.05468889195022264</x:v>
      </x:c>
      <x:c r="J32" s="8" t="n">
        <x:f>('Therapy sales'!I19/'Therapy sales'!E19)^(1/4)-1</x:f>
        <x:v>0.08526185306342793</x:v>
      </x:c>
      <x:c r="K32" s="7" t="str">
        <x:v>IQVIA therapy mix is secondary market data; allocation to domestic primary revenue is an estimate, not audited therapy sales. Includes consumer health. BSV acquisition raises FY25/FY26 growth; FY24 onward continuing scope differs from early history.</x:v>
      </x:c>
    </x:row>
    <x:row r="33" ht="19" customHeight="1">
      <x:c r="A33" s="7" t="str">
        <x:v>Gastrointestinal</x:v>
      </x:c>
      <x:c r="B33" s="7" t="str">
        <x:v>Sun Pharma</x:v>
      </x:c>
      <x:c r="C33" s="7" t="str">
        <x:v>India</x:v>
      </x:c>
      <x:c r="D33" s="7" t="str">
        <x:v>D3: sales proxy</x:v>
      </x:c>
      <x:c r="E33" s="8" t="str">
        <x:v>n.d.</x:v>
      </x:c>
      <x:c r="F33" s="8" t="n">
        <x:f>'Therapy sales'!F41/'Therapy sales'!E41-1</x:f>
        <x:v>0.0661321545852831</x:v>
      </x:c>
      <x:c r="G33" s="8" t="n">
        <x:f>'Therapy sales'!G41/'Therapy sales'!F41-1</x:f>
        <x:v>0.09455197712286156</x:v>
      </x:c>
      <x:c r="H33" s="8" t="str">
        <x:v>n.c.</x:v>
      </x:c>
      <x:c r="I33" s="8" t="n">
        <x:f>'Therapy sales'!I41/'Therapy sales'!H41-1</x:f>
        <x:v>0.13989245405660933</x:v>
      </x:c>
      <x:c r="J33" s="8" t="str">
        <x:v>n.c.</x:v>
      </x:c>
      <x:c r="K33"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34" ht="19" customHeight="1">
      <x:c r="A34" s="7" t="str">
        <x:v>Gastrointestinal</x:v>
      </x:c>
      <x:c r="B34" s="7" t="str">
        <x:v>Torrent Pharma</x:v>
      </x:c>
      <x:c r="C34" s="7" t="str">
        <x:v>India</x:v>
      </x:c>
      <x:c r="D34" s="7" t="str">
        <x:v>D3: sales proxy</x:v>
      </x:c>
      <x:c r="E34" s="8" t="str">
        <x:v>n.d.</x:v>
      </x:c>
      <x:c r="F34" s="8" t="n">
        <x:f>'Therapy sales'!F28/'Therapy sales'!E28-1</x:f>
        <x:v>0.09825270907865402</x:v>
      </x:c>
      <x:c r="G34" s="8" t="n">
        <x:f>'Therapy sales'!G28/'Therapy sales'!F28-1</x:f>
        <x:v>0.1368378812199036</x:v>
      </x:c>
      <x:c r="H34" s="8" t="n">
        <x:f>'Therapy sales'!H28/'Therapy sales'!G28-1</x:f>
        <x:v>0.13970627560461657</x:v>
      </x:c>
      <x:c r="I34" s="8" t="n">
        <x:f>'Therapy sales'!I28/'Therapy sales'!H28-1</x:f>
        <x:v>0.46244099704640185</x:v>
      </x:c>
      <x:c r="J34" s="8" t="n">
        <x:f>('Therapy sales'!I28/'Therapy sales'!E28)^(1/4)-1</x:f>
        <x:v>0.20106919453530914</x:v>
      </x:c>
      <x:c r="K34" s="7" t="str">
        <x:v>FY26 includes JB from 21 Jan 2026 and changes portfolio mix; no organic bridge. FY22 derma/gynae are in Other; FY26 ophthal/urology newly separated. FY25 disclosed rounded mix sums to 99%; normalized to 100% for sales allocation.</x:v>
      </x:c>
    </x:row>
    <x:row r="35" ht="19" customHeight="1">
      <x:c r="A35" s="7" t="str">
        <x:v>Oncology</x:v>
      </x:c>
      <x:c r="B35" s="7" t="str">
        <x:v>AstraZeneca India</x:v>
      </x:c>
      <x:c r="C35" s="7" t="str">
        <x:v>MNC</x:v>
      </x:c>
      <x:c r="D35" s="7" t="str">
        <x:v>D1: sales proxy</x:v>
      </x:c>
      <x:c r="E35" s="8" t="n">
        <x:f>'Therapy sales'!E11/'Therapy sales'!D11-1</x:f>
        <x:v>0.49274334707599676</x:v>
      </x:c>
      <x:c r="F35" s="8" t="n">
        <x:f>'Therapy sales'!F11/'Therapy sales'!E11-1</x:f>
        <x:v>0.481015592844767</x:v>
      </x:c>
      <x:c r="G35" s="8" t="n">
        <x:f>'Therapy sales'!G11/'Therapy sales'!F11-1</x:f>
        <x:v>0.42934105174820414</x:v>
      </x:c>
      <x:c r="H35" s="8" t="n">
        <x:f>'Therapy sales'!H11/'Therapy sales'!G11-1</x:f>
        <x:v>0.48826844755278875</x:v>
      </x:c>
      <x:c r="I35" s="8" t="n">
        <x:f>'Therapy sales'!I11/'Therapy sales'!H11-1</x:f>
        <x:v>0.44064911236333626</x:v>
      </x:c>
      <x:c r="J35" s="8" t="n">
        <x:f>('Therapy sales'!I11/'Therapy sales'!E11)^(1/4)-1</x:f>
        <x:v>0.45959963857892183</x:v>
      </x:c>
      <x:c r="K35" s="7" t="str">
        <x:v>Includes product exports; excludes clinical services and distribution fees. Respiratory includes rare disease from FY24. Mix rounded to 0.1pp; derived growth is approximate.</x:v>
      </x:c>
    </x:row>
    <x:row r="36" ht="19" customHeight="1">
      <x:c r="A36" s="7" t="str">
        <x:v>Ophthalmology</x:v>
      </x:c>
      <x:c r="B36" s="7" t="str">
        <x:v>Sun Pharma</x:v>
      </x:c>
      <x:c r="C36" s="7" t="str">
        <x:v>India</x:v>
      </x:c>
      <x:c r="D36" s="7" t="str">
        <x:v>D3: sales proxy</x:v>
      </x:c>
      <x:c r="E36" s="8" t="str">
        <x:v>n.d.</x:v>
      </x:c>
      <x:c r="F36" s="8" t="n">
        <x:f>'Therapy sales'!F50/'Therapy sales'!E50-1</x:f>
        <x:v>0.0661321545852831</x:v>
      </x:c>
      <x:c r="G36" s="8" t="n">
        <x:f>'Therapy sales'!G50/'Therapy sales'!F50-1</x:f>
        <x:v>0.6418279656842925</x:v>
      </x:c>
      <x:c r="H36" s="8" t="str">
        <x:v>n.c.</x:v>
      </x:c>
      <x:c r="I36" s="8" t="n">
        <x:f>'Therapy sales'!I50/'Therapy sales'!H50-1</x:f>
        <x:v>0.13989245405660933</x:v>
      </x:c>
      <x:c r="J36" s="8" t="str">
        <x:v>n.c.</x:v>
      </x:c>
      <x:c r="K36"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37" ht="19" customHeight="1">
      <x:c r="A37" s="7" t="str">
        <x:v>Ophthalmology</x:v>
      </x:c>
      <x:c r="B37" s="7" t="str">
        <x:v>Torrent Pharma</x:v>
      </x:c>
      <x:c r="C37" s="7" t="str">
        <x:v>India</x:v>
      </x:c>
      <x:c r="D37" s="7" t="str">
        <x:v>D3: sales proxy</x:v>
      </x:c>
      <x:c r="E37" s="8" t="str">
        <x:v>n.d.</x:v>
      </x:c>
      <x:c r="F37" s="8" t="str">
        <x:v>n.d.</x:v>
      </x:c>
      <x:c r="G37" s="8" t="str">
        <x:v>n.d.</x:v>
      </x:c>
      <x:c r="H37" s="8" t="str">
        <x:v>n.d.</x:v>
      </x:c>
      <x:c r="I37" s="8" t="str">
        <x:v>n.d.</x:v>
      </x:c>
      <x:c r="J37" s="8" t="str">
        <x:v>n.c.</x:v>
      </x:c>
      <x:c r="K37" s="7" t="str">
        <x:v>FY26 includes JB from 21 Jan 2026 and changes portfolio mix; no organic bridge. FY22 derma/gynae are in Other; FY26 ophthal/urology newly separated. FY25 disclosed rounded mix sums to 99%; normalized to 100% for sales allocation.</x:v>
      </x:c>
    </x:row>
    <x:row r="38" ht="19" customHeight="1">
      <x:c r="A38" s="7" t="str">
        <x:v>Other</x:v>
      </x:c>
      <x:c r="B38" s="7" t="str">
        <x:v>Alkem Labs</x:v>
      </x:c>
      <x:c r="C38" s="7" t="str">
        <x:v>India</x:v>
      </x:c>
      <x:c r="D38" s="7" t="str">
        <x:v>R: sales proxy</x:v>
      </x:c>
      <x:c r="E38" s="8" t="str">
        <x:v>n.d.</x:v>
      </x:c>
      <x:c r="F38" s="8" t="n">
        <x:f>'Therapy sales'!F62/'Therapy sales'!E62-1</x:f>
        <x:v>0.12755404322283503</x:v>
      </x:c>
      <x:c r="G38" s="8" t="n">
        <x:f>'Therapy sales'!G62/'Therapy sales'!F62-1</x:f>
        <x:v>0.14189298971392006</x:v>
      </x:c>
      <x:c r="H38" s="8" t="n">
        <x:f>'Therapy sales'!H62/'Therapy sales'!G62-1</x:f>
        <x:v>-0.016713366314960343</x:v>
      </x:c>
      <x:c r="I38" s="8" t="n">
        <x:f>'Therapy sales'!I62/'Therapy sales'!H62-1</x:f>
        <x:v>0.3707325489497606</x:v>
      </x:c>
      <x:c r="J38" s="8" t="str">
        <x:v>n.d.</x:v>
      </x:c>
      <x:c r="K38" s="7" t="str">
        <x:v>Main growth is reported secondary IQVIA growth, not growth of sales proxy. Sales are domestic primary revenue x secondary mix. FY26 mix rounded to whole %. Use main reported growth to assess trend.</x:v>
      </x:c>
    </x:row>
    <x:row r="39" ht="19" customHeight="1">
      <x:c r="A39" s="7" t="str">
        <x:v>Other</x:v>
      </x:c>
      <x:c r="B39" s="7" t="str">
        <x:v>Mankind Pharma</x:v>
      </x:c>
      <x:c r="C39" s="7" t="str">
        <x:v>India</x:v>
      </x:c>
      <x:c r="D39" s="7" t="str">
        <x:v>D3: sales proxy</x:v>
      </x:c>
      <x:c r="E39" s="8" t="n">
        <x:f>'Therapy sales'!E26/'Therapy sales'!D26-1</x:f>
        <x:v>0.2018018477872492</x:v>
      </x:c>
      <x:c r="F39" s="8" t="n">
        <x:f>'Therapy sales'!F26/'Therapy sales'!E26-1</x:f>
        <x:v>0.2386268555288913</x:v>
      </x:c>
      <x:c r="G39" s="8" t="n">
        <x:f>'Therapy sales'!G26/'Therapy sales'!F26-1</x:f>
        <x:v>0.14188685262242884</x:v>
      </x:c>
      <x:c r="H39" s="8" t="n">
        <x:f>'Therapy sales'!H26/'Therapy sales'!G26-1</x:f>
        <x:v>0.2181434760706813</x:v>
      </x:c>
      <x:c r="I39" s="8" t="n">
        <x:f>'Therapy sales'!I26/'Therapy sales'!H26-1</x:f>
        <x:v>0.18209601873536307</x:v>
      </x:c>
      <x:c r="J39" s="8" t="str">
        <x:v>n.d.</x:v>
      </x:c>
      <x:c r="K39" s="7" t="str">
        <x:v>IQVIA therapy mix is secondary market data; allocation to domestic primary revenue is an estimate, not audited therapy sales. Includes consumer health. BSV acquisition raises FY25/FY26 growth; FY24 onward continuing scope differs from early history.</x:v>
      </x:c>
    </x:row>
    <x:row r="40" ht="19" customHeight="1">
      <x:c r="A40" s="7" t="str">
        <x:v>Other</x:v>
      </x:c>
      <x:c r="B40" s="7" t="str">
        <x:v>Sun Pharma</x:v>
      </x:c>
      <x:c r="C40" s="7" t="str">
        <x:v>India</x:v>
      </x:c>
      <x:c r="D40" s="7" t="str">
        <x:v>D3: sales proxy</x:v>
      </x:c>
      <x:c r="E40" s="8" t="str">
        <x:v>n.d.</x:v>
      </x:c>
      <x:c r="F40" s="8" t="n">
        <x:f>'Therapy sales'!F51/'Therapy sales'!E51-1</x:f>
        <x:v>0.0661321545852831</x:v>
      </x:c>
      <x:c r="G40" s="8" t="n">
        <x:f>'Therapy sales'!G51/'Therapy sales'!F51-1</x:f>
        <x:v>-0.17908601715785377</x:v>
      </x:c>
      <x:c r="H40" s="8" t="str">
        <x:v>n.c.</x:v>
      </x:c>
      <x:c r="I40" s="8" t="n">
        <x:f>'Therapy sales'!I51/'Therapy sales'!H51-1</x:f>
        <x:v>0.13989245405660955</x:v>
      </x:c>
      <x:c r="J40" s="8" t="str">
        <x:v>n.c.</x:v>
      </x:c>
      <x:c r="K40"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41" ht="19" customHeight="1">
      <x:c r="A41" s="7" t="str">
        <x:v>Other</x:v>
      </x:c>
      <x:c r="B41" s="7" t="str">
        <x:v>Torrent Pharma</x:v>
      </x:c>
      <x:c r="C41" s="7" t="str">
        <x:v>India</x:v>
      </x:c>
      <x:c r="D41" s="7" t="str">
        <x:v>D3: sales proxy</x:v>
      </x:c>
      <x:c r="E41" s="8" t="str">
        <x:v>n.d.</x:v>
      </x:c>
      <x:c r="F41" s="8" t="str">
        <x:v>n.c.</x:v>
      </x:c>
      <x:c r="G41" s="8" t="n">
        <x:f>'Therapy sales'!G38/'Therapy sales'!F38-1</x:f>
        <x:v>0.1368378812199036</x:v>
      </x:c>
      <x:c r="H41" s="8" t="n">
        <x:f>'Therapy sales'!H38/'Therapy sales'!G38-1</x:f>
        <x:v>0.13970627560461635</x:v>
      </x:c>
      <x:c r="I41" s="8" t="str">
        <x:v>n.c.</x:v>
      </x:c>
      <x:c r="J41" s="8" t="str">
        <x:v>n.c.</x:v>
      </x:c>
      <x:c r="K41" s="7" t="str">
        <x:v>FY26 includes JB from 21 Jan 2026 and changes portfolio mix; no organic bridge. FY22 derma/gynae are in Other; FY26 ophthal/urology newly separated. FY25 disclosed rounded mix sums to 99%; normalized to 100% for sales allocation.</x:v>
      </x:c>
    </x:row>
    <x:row r="42" ht="19" customHeight="1">
      <x:c r="A42" s="7" t="str">
        <x:v>Pain</x:v>
      </x:c>
      <x:c r="B42" s="7" t="str">
        <x:v>Alkem Labs</x:v>
      </x:c>
      <x:c r="C42" s="7" t="str">
        <x:v>India</x:v>
      </x:c>
      <x:c r="D42" s="7" t="str">
        <x:v>R: IQVIA secondary</x:v>
      </x:c>
      <x:c r="E42" s="8" t="n">
        <x:f>'Inputs and sources'!E82</x:f>
        <x:v>0.22</x:v>
      </x:c>
      <x:c r="F42" s="8" t="n">
        <x:f>'Inputs and sources'!F82</x:f>
        <x:v>0.184</x:v>
      </x:c>
      <x:c r="G42" s="8" t="n">
        <x:f>'Inputs and sources'!G82</x:f>
        <x:v>0.053</x:v>
      </x:c>
      <x:c r="H42" s="8" t="n">
        <x:f>'Inputs and sources'!H82</x:f>
        <x:v>0.05</x:v>
      </x:c>
      <x:c r="I42" s="8" t="n">
        <x:f>'Inputs and sources'!I82</x:f>
        <x:v>0.11599999999999999</x:v>
      </x:c>
      <x:c r="J42" s="8" t="n">
        <x:f>((1+F42)*(1+G42)*(1+H42)*(1+I42))^(1/4)-1</x:f>
        <x:v>0.09940673163705482</x:v>
      </x:c>
      <x:c r="K42" s="7" t="str">
        <x:v>Main growth is reported secondary IQVIA growth, not growth of sales proxy. Sales are domestic primary revenue x secondary mix. FY26 mix rounded to whole %. Use main reported growth to assess trend.</x:v>
      </x:c>
    </x:row>
    <x:row r="43" ht="19" customHeight="1">
      <x:c r="A43" s="7" t="str">
        <x:v>Pain</x:v>
      </x:c>
      <x:c r="B43" s="7" t="str">
        <x:v>Mankind Pharma</x:v>
      </x:c>
      <x:c r="C43" s="7" t="str">
        <x:v>India</x:v>
      </x:c>
      <x:c r="D43" s="7" t="str">
        <x:v>D3: sales proxy</x:v>
      </x:c>
      <x:c r="E43" s="8" t="n">
        <x:f>'Therapy sales'!E24/'Therapy sales'!D24-1</x:f>
        <x:v>0.25995355009953536</x:v>
      </x:c>
      <x:c r="F43" s="8" t="n">
        <x:f>'Therapy sales'!F24/'Therapy sales'!E24-1</x:f>
        <x:v>0.030526906102942952</x:v>
      </x:c>
      <x:c r="G43" s="8" t="n">
        <x:f>'Therapy sales'!G24/'Therapy sales'!F24-1</x:f>
        <x:v>0.05053590441263456</x:v>
      </x:c>
      <x:c r="H43" s="8" t="n">
        <x:f>'Therapy sales'!H24/'Therapy sales'!G24-1</x:f>
        <x:v>0.03381913429682726</x:v>
      </x:c>
      <x:c r="I43" s="8" t="n">
        <x:f>'Therapy sales'!I24/'Therapy sales'!H24-1</x:f>
        <x:v>0.011374108164043273</x:v>
      </x:c>
      <x:c r="J43" s="8" t="n">
        <x:f>('Therapy sales'!I24/'Therapy sales'!E24)^(1/4)-1</x:f>
        <x:v>0.03147013526317566</x:v>
      </x:c>
      <x:c r="K43" s="7" t="str">
        <x:v>IQVIA therapy mix is secondary market data; allocation to domestic primary revenue is an estimate, not audited therapy sales. Includes consumer health. BSV acquisition raises FY25/FY26 growth; FY24 onward continuing scope differs from early history.</x:v>
      </x:c>
    </x:row>
    <x:row r="44" ht="19" customHeight="1">
      <x:c r="A44" s="7" t="str">
        <x:v>Pain</x:v>
      </x:c>
      <x:c r="B44" s="7" t="str">
        <x:v>Sun Pharma</x:v>
      </x:c>
      <x:c r="C44" s="7" t="str">
        <x:v>India</x:v>
      </x:c>
      <x:c r="D44" s="7" t="str">
        <x:v>D3: sales proxy</x:v>
      </x:c>
      <x:c r="E44" s="8" t="str">
        <x:v>n.d.</x:v>
      </x:c>
      <x:c r="F44" s="8" t="n">
        <x:f>'Therapy sales'!F44/'Therapy sales'!E44-1</x:f>
        <x:v>0.06613215458528288</x:v>
      </x:c>
      <x:c r="G44" s="8" t="n">
        <x:f>'Therapy sales'!G44/'Therapy sales'!F44-1</x:f>
        <x:v>0.25091654528327045</x:v>
      </x:c>
      <x:c r="H44" s="8" t="str">
        <x:v>n.c.</x:v>
      </x:c>
      <x:c r="I44" s="8" t="n">
        <x:f>'Therapy sales'!I44/'Therapy sales'!H44-1</x:f>
        <x:v>0.13989245405660933</x:v>
      </x:c>
      <x:c r="J44" s="8" t="str">
        <x:v>n.c.</x:v>
      </x:c>
      <x:c r="K44"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45" ht="19" customHeight="1">
      <x:c r="A45" s="7" t="str">
        <x:v>Pain</x:v>
      </x:c>
      <x:c r="B45" s="7" t="str">
        <x:v>Torrent Pharma</x:v>
      </x:c>
      <x:c r="C45" s="7" t="str">
        <x:v>India</x:v>
      </x:c>
      <x:c r="D45" s="7" t="str">
        <x:v>D3: sales proxy</x:v>
      </x:c>
      <x:c r="E45" s="8" t="str">
        <x:v>n.d.</x:v>
      </x:c>
      <x:c r="F45" s="8" t="n">
        <x:f>'Therapy sales'!F32/'Therapy sales'!E32-1</x:f>
        <x:v>0.16285580961269241</x:v>
      </x:c>
      <x:c r="G45" s="8" t="n">
        <x:f>'Therapy sales'!G32/'Therapy sales'!F32-1</x:f>
        <x:v>0.3263108614232213</x:v>
      </x:c>
      <x:c r="H45" s="8" t="n">
        <x:f>'Therapy sales'!H32/'Therapy sales'!G32-1</x:f>
        <x:v>0.13970627560461635</x:v>
      </x:c>
      <x:c r="I45" s="8" t="n">
        <x:f>'Therapy sales'!I32/'Therapy sales'!H32-1</x:f>
        <x:v>-0.15437085204799883</x:v>
      </x:c>
      <x:c r="J45" s="8" t="n">
        <x:f>('Therapy sales'!I32/'Therapy sales'!E32)^(1/4)-1</x:f>
        <x:v>0.10417019309320619</x:v>
      </x:c>
      <x:c r="K45" s="7" t="str">
        <x:v>FY26 includes JB from 21 Jan 2026 and changes portfolio mix; no organic bridge. FY22 derma/gynae are in Other; FY26 ophthal/urology newly separated. FY25 disclosed rounded mix sums to 99%; normalized to 100% for sales allocation.</x:v>
      </x:c>
    </x:row>
    <x:row r="46" ht="19" customHeight="1">
      <x:c r="A46" s="7" t="str">
        <x:v>Pharmaceuticals (broad)</x:v>
      </x:c>
      <x:c r="B46" s="7" t="str">
        <x:v>GSK India</x:v>
      </x:c>
      <x:c r="C46" s="7" t="str">
        <x:v>MNC</x:v>
      </x:c>
      <x:c r="D46" s="7" t="str">
        <x:v>D2: sales proxy</x:v>
      </x:c>
      <x:c r="E46" s="8" t="str">
        <x:v>n.d.</x:v>
      </x:c>
      <x:c r="F46" s="8" t="str">
        <x:v>n.d.</x:v>
      </x:c>
      <x:c r="G46" s="8" t="str">
        <x:v>n.d.</x:v>
      </x:c>
      <x:c r="H46" s="8" t="str">
        <x:v>n.c.</x:v>
      </x:c>
      <x:c r="I46" s="8" t="n">
        <x:f>'Therapy sales'!I13/'Therapy sales'!H13-1</x:f>
        <x:v>-0.0019457879438965486</x:v>
      </x:c>
      <x:c r="J46" s="8" t="str">
        <x:v>n.d.</x:v>
      </x:c>
      <x:c r="K46" s="7" t="str">
        <x:v>Broad classes only; Pharmaceuticals is not a single therapy. FY24 specialty is folded into pharma in FY25; specialty/oncology growth is not comparable. Management reports vaccine growth of 12% in FY25 and 11% in FY26.</x:v>
      </x:c>
    </x:row>
    <x:row r="47" ht="19" customHeight="1">
      <x:c r="A47" s="7" t="str">
        <x:v>Respiratory</x:v>
      </x:c>
      <x:c r="B47" s="7" t="str">
        <x:v>Alkem Labs</x:v>
      </x:c>
      <x:c r="C47" s="7" t="str">
        <x:v>India</x:v>
      </x:c>
      <x:c r="D47" s="7" t="str">
        <x:v>R: IQVIA secondary</x:v>
      </x:c>
      <x:c r="E47" s="8" t="n">
        <x:f>'Inputs and sources'!E88</x:f>
        <x:v>0.555</x:v>
      </x:c>
      <x:c r="F47" s="8" t="n">
        <x:f>'Inputs and sources'!F88</x:f>
        <x:v>0.14800000000000002</x:v>
      </x:c>
      <x:c r="G47" s="8" t="n">
        <x:f>'Inputs and sources'!G88</x:f>
        <x:v>0</x:v>
      </x:c>
      <x:c r="H47" s="8" t="n">
        <x:f>'Inputs and sources'!H88</x:f>
        <x:v>0.049</x:v>
      </x:c>
      <x:c r="I47" s="8" t="n">
        <x:f>'Inputs and sources'!I88</x:f>
        <x:v>0.162</x:v>
      </x:c>
      <x:c r="J47" s="8" t="n">
        <x:f>((1+F47)*(1+G47)*(1+H47)*(1+I47))^(1/4)-1</x:f>
        <x:v>0.08762924341121692</x:v>
      </x:c>
      <x:c r="K47" s="7" t="str">
        <x:v>Main growth is reported secondary IQVIA growth, not growth of sales proxy. Sales are domestic primary revenue x secondary mix. FY26 mix rounded to whole %. Use main reported growth to assess trend.</x:v>
      </x:c>
    </x:row>
    <x:row r="48" ht="19" customHeight="1">
      <x:c r="A48" s="7" t="str">
        <x:v>Respiratory</x:v>
      </x:c>
      <x:c r="B48" s="7" t="str">
        <x:v>Mankind Pharma</x:v>
      </x:c>
      <x:c r="C48" s="7" t="str">
        <x:v>India</x:v>
      </x:c>
      <x:c r="D48" s="7" t="str">
        <x:v>D3: sales proxy</x:v>
      </x:c>
      <x:c r="E48" s="8" t="n">
        <x:f>'Therapy sales'!E22/'Therapy sales'!D22-1</x:f>
        <x:v>0.6974374216618737</x:v>
      </x:c>
      <x:c r="F48" s="8" t="n">
        <x:f>'Therapy sales'!F22/'Therapy sales'!E22-1</x:f>
        <x:v>0.09002124295012326</x:v>
      </x:c>
      <x:c r="G48" s="8" t="n">
        <x:f>'Therapy sales'!G22/'Therapy sales'!F22-1</x:f>
        <x:v>-0.000049811029407154095</x:v>
      </x:c>
      <x:c r="H48" s="8" t="n">
        <x:f>'Therapy sales'!H22/'Therapy sales'!G22-1</x:f>
        <x:v>-0.002951450507163833</x:v>
      </x:c>
      <x:c r="I48" s="8" t="n">
        <x:f>'Therapy sales'!I22/'Therapy sales'!H22-1</x:f>
        <x:v>0.17496830601092883</x:v>
      </x:c>
      <x:c r="J48" s="8" t="n">
        <x:f>('Therapy sales'!I22/'Therapy sales'!E22)^(1/4)-1</x:f>
        <x:v>0.063013907927286</x:v>
      </x:c>
      <x:c r="K48" s="7" t="str">
        <x:v>IQVIA therapy mix is secondary market data; allocation to domestic primary revenue is an estimate, not audited therapy sales. Includes consumer health. BSV acquisition raises FY25/FY26 growth; FY24 onward continuing scope differs from early history.</x:v>
      </x:c>
    </x:row>
    <x:row r="49" ht="19" customHeight="1">
      <x:c r="A49" s="7" t="str">
        <x:v>Respiratory</x:v>
      </x:c>
      <x:c r="B49" s="7" t="str">
        <x:v>Sun Pharma</x:v>
      </x:c>
      <x:c r="C49" s="7" t="str">
        <x:v>India</x:v>
      </x:c>
      <x:c r="D49" s="7" t="str">
        <x:v>D3: sales proxy</x:v>
      </x:c>
      <x:c r="E49" s="8" t="str">
        <x:v>n.d.</x:v>
      </x:c>
      <x:c r="F49" s="8" t="n">
        <x:f>'Therapy sales'!F46/'Therapy sales'!E46-1</x:f>
        <x:v>0.06613215458528288</x:v>
      </x:c>
      <x:c r="G49" s="8" t="n">
        <x:f>'Therapy sales'!G46/'Therapy sales'!F46-1</x:f>
        <x:v>0.09455197712286156</x:v>
      </x:c>
      <x:c r="H49" s="8" t="str">
        <x:v>n.c.</x:v>
      </x:c>
      <x:c r="I49" s="8" t="n">
        <x:f>'Therapy sales'!I46/'Therapy sales'!H46-1</x:f>
        <x:v>0.13989245405660933</x:v>
      </x:c>
      <x:c r="J49" s="8" t="str">
        <x:v>n.c.</x:v>
      </x:c>
      <x:c r="K49"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50" ht="19" customHeight="1">
      <x:c r="A50" s="7" t="str">
        <x:v>Respiratory / rare disease</x:v>
      </x:c>
      <x:c r="B50" s="7" t="str">
        <x:v>AstraZeneca India</x:v>
      </x:c>
      <x:c r="C50" s="7" t="str">
        <x:v>MNC</x:v>
      </x:c>
      <x:c r="D50" s="7" t="str">
        <x:v>D1: sales proxy</x:v>
      </x:c>
      <x:c r="E50" s="8" t="n">
        <x:f>'Therapy sales'!E12/'Therapy sales'!D12-1</x:f>
        <x:v>0.8297317593343543</x:v>
      </x:c>
      <x:c r="F50" s="8" t="n">
        <x:f>'Therapy sales'!F12/'Therapy sales'!E12-1</x:f>
        <x:v>0.5460422631399231</x:v>
      </x:c>
      <x:c r="G50" s="8" t="n">
        <x:f>'Therapy sales'!G12/'Therapy sales'!F12-1</x:f>
        <x:v>0.2802123705866739</x:v>
      </x:c>
      <x:c r="H50" s="8" t="n">
        <x:f>'Therapy sales'!H12/'Therapy sales'!G12-1</x:f>
        <x:v>0.6771393498177609</x:v>
      </x:c>
      <x:c r="I50" s="8" t="n">
        <x:f>'Therapy sales'!I12/'Therapy sales'!H12-1</x:f>
        <x:v>0.6754537033007342</x:v>
      </x:c>
      <x:c r="J50" s="8" t="n">
        <x:f>('Therapy sales'!I12/'Therapy sales'!E12)^(1/4)-1</x:f>
        <x:v>0.5356818110106494</x:v>
      </x:c>
      <x:c r="K50" s="7" t="str">
        <x:v>Includes product exports; excludes clinical services and distribution fees. Respiratory includes rare disease from FY24. Mix rounded to 0.1pp; derived growth is approximate.</x:v>
      </x:c>
    </x:row>
    <x:row r="51" ht="19" customHeight="1">
      <x:c r="A51" s="7" t="str">
        <x:v>Specialty / oncology</x:v>
      </x:c>
      <x:c r="B51" s="7" t="str">
        <x:v>GSK India</x:v>
      </x:c>
      <x:c r="C51" s="7" t="str">
        <x:v>MNC</x:v>
      </x:c>
      <x:c r="D51" s="7" t="str">
        <x:v>D2: sales proxy</x:v>
      </x:c>
      <x:c r="E51" s="8" t="str">
        <x:v>n.c.</x:v>
      </x:c>
      <x:c r="F51" s="8" t="str">
        <x:v>n.c.</x:v>
      </x:c>
      <x:c r="G51" s="8" t="str">
        <x:v>n.c.</x:v>
      </x:c>
      <x:c r="H51" s="8" t="str">
        <x:v>n.c.</x:v>
      </x:c>
      <x:c r="I51" s="8" t="str">
        <x:v>n.c.</x:v>
      </x:c>
      <x:c r="J51" s="8" t="str">
        <x:v>n.d.</x:v>
      </x:c>
      <x:c r="K51" s="7" t="str">
        <x:v>Broad classes only; Pharmaceuticals is not a single therapy. FY24 specialty is folded into pharma in FY25; specialty/oncology growth is not comparable. Management reports vaccine growth of 12% in FY25 and 11% in FY26.</x:v>
      </x:c>
    </x:row>
    <x:row r="52" ht="19" customHeight="1">
      <x:c r="A52" s="7" t="str">
        <x:v>Urology</x:v>
      </x:c>
      <x:c r="B52" s="7" t="str">
        <x:v>Sun Pharma</x:v>
      </x:c>
      <x:c r="C52" s="7" t="str">
        <x:v>India</x:v>
      </x:c>
      <x:c r="D52" s="7" t="str">
        <x:v>D3: sales proxy</x:v>
      </x:c>
      <x:c r="E52" s="8" t="str">
        <x:v>n.d.</x:v>
      </x:c>
      <x:c r="F52" s="8" t="n">
        <x:f>'Therapy sales'!F49/'Therapy sales'!E49-1</x:f>
        <x:v>0.42150953944704406</x:v>
      </x:c>
      <x:c r="G52" s="8" t="n">
        <x:f>'Therapy sales'!G49/'Therapy sales'!F49-1</x:f>
        <x:v>0.09455197712286156</x:v>
      </x:c>
      <x:c r="H52" s="8" t="str">
        <x:v>n.c.</x:v>
      </x:c>
      <x:c r="I52" s="8" t="n">
        <x:f>'Therapy sales'!I49/'Therapy sales'!H49-1</x:f>
        <x:v>0.13989245405660933</x:v>
      </x:c>
      <x:c r="J52" s="8" t="str">
        <x:v>n.c.</x:v>
      </x:c>
      <x:c r="K52"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53" ht="19" customHeight="1">
      <x:c r="A53" s="7" t="str">
        <x:v>Urology</x:v>
      </x:c>
      <x:c r="B53" s="7" t="str">
        <x:v>Torrent Pharma</x:v>
      </x:c>
      <x:c r="C53" s="7" t="str">
        <x:v>India</x:v>
      </x:c>
      <x:c r="D53" s="7" t="str">
        <x:v>D3: sales proxy</x:v>
      </x:c>
      <x:c r="E53" s="8" t="str">
        <x:v>n.d.</x:v>
      </x:c>
      <x:c r="F53" s="8" t="str">
        <x:v>n.d.</x:v>
      </x:c>
      <x:c r="G53" s="8" t="str">
        <x:v>n.d.</x:v>
      </x:c>
      <x:c r="H53" s="8" t="str">
        <x:v>n.d.</x:v>
      </x:c>
      <x:c r="I53" s="8" t="str">
        <x:v>n.d.</x:v>
      </x:c>
      <x:c r="J53" s="8" t="str">
        <x:v>n.c.</x:v>
      </x:c>
      <x:c r="K53" s="7" t="str">
        <x:v>FY26 includes JB from 21 Jan 2026 and changes portfolio mix; no organic bridge. FY22 derma/gynae are in Other; FY26 ophthal/urology newly separated. FY25 disclosed rounded mix sums to 99%; normalized to 100% for sales allocation.</x:v>
      </x:c>
    </x:row>
    <x:row r="54" ht="19" customHeight="1">
      <x:c r="A54" s="7" t="str">
        <x:v>Vaccines</x:v>
      </x:c>
      <x:c r="B54" s="7" t="str">
        <x:v>GSK India</x:v>
      </x:c>
      <x:c r="C54" s="7" t="str">
        <x:v>MNC</x:v>
      </x:c>
      <x:c r="D54" s="7" t="str">
        <x:v>R: management</x:v>
      </x:c>
      <x:c r="E54" s="8" t="str">
        <x:v>n.d.</x:v>
      </x:c>
      <x:c r="F54" s="8" t="str">
        <x:v>n.d.</x:v>
      </x:c>
      <x:c r="G54" s="8" t="str">
        <x:v>n.d.</x:v>
      </x:c>
      <x:c r="H54" s="8" t="n">
        <x:f>'Inputs and sources'!H29</x:f>
        <x:v>0.12</x:v>
      </x:c>
      <x:c r="I54" s="8" t="n">
        <x:f>'Inputs and sources'!I29</x:f>
        <x:v>0.11</x:v>
      </x:c>
      <x:c r="J54" s="8" t="str">
        <x:v>n.d.</x:v>
      </x:c>
      <x:c r="K54" s="7" t="str">
        <x:v>Broad classes only; Pharmaceuticals is not a single therapy. FY24 specialty is folded into pharma in FY25; specialty/oncology growth is not comparable. Management reports vaccine growth of 12% in FY25 and 11% in FY26.</x:v>
      </x:c>
    </x:row>
    <x:row r="55" ht="19" customHeight="1">
      <x:c r="A55" s="7" t="str">
        <x:v>Vitamins / minerals</x:v>
      </x:c>
      <x:c r="B55" s="7" t="str">
        <x:v>Alkem Labs</x:v>
      </x:c>
      <x:c r="C55" s="7" t="str">
        <x:v>India</x:v>
      </x:c>
      <x:c r="D55" s="7" t="str">
        <x:v>R: IQVIA secondary</x:v>
      </x:c>
      <x:c r="E55" s="8" t="n">
        <x:f>'Inputs and sources'!E81</x:f>
        <x:v>0.301</x:v>
      </x:c>
      <x:c r="F55" s="8" t="n">
        <x:f>'Inputs and sources'!F81</x:f>
        <x:v>0.025</x:v>
      </x:c>
      <x:c r="G55" s="8" t="n">
        <x:f>'Inputs and sources'!G81</x:f>
        <x:v>0.09300000000000001</x:v>
      </x:c>
      <x:c r="H55" s="8" t="n">
        <x:f>'Inputs and sources'!H81</x:f>
        <x:v>0.127</x:v>
      </x:c>
      <x:c r="I55" s="8" t="n">
        <x:f>'Inputs and sources'!I81</x:f>
        <x:v>0.184</x:v>
      </x:c>
      <x:c r="J55" s="8" t="n">
        <x:f>((1+F55)*(1+G55)*(1+H55)*(1+I55))^(1/4)-1</x:f>
        <x:v>0.10574481466360997</x:v>
      </x:c>
      <x:c r="K55" s="7" t="str">
        <x:v>Main growth is reported secondary IQVIA growth, not growth of sales proxy. Sales are domestic primary revenue x secondary mix. FY26 mix rounded to whole %. Use main reported growth to assess trend.</x:v>
      </x:c>
    </x:row>
    <x:row r="56" ht="19" customHeight="1">
      <x:c r="A56" s="7" t="str">
        <x:v>Vitamins / minerals</x:v>
      </x:c>
      <x:c r="B56" s="7" t="str">
        <x:v>Mankind Pharma</x:v>
      </x:c>
      <x:c r="C56" s="7" t="str">
        <x:v>India</x:v>
      </x:c>
      <x:c r="D56" s="7" t="str">
        <x:v>D3: sales proxy</x:v>
      </x:c>
      <x:c r="E56" s="8" t="n">
        <x:f>'Therapy sales'!E21/'Therapy sales'!D21-1</x:f>
        <x:v>0.162093080188892</x:v>
      </x:c>
      <x:c r="F56" s="8" t="n">
        <x:f>'Therapy sales'!F21/'Therapy sales'!E21-1</x:f>
        <x:v>-0.00418557915526141</x:v>
      </x:c>
      <x:c r="G56" s="8" t="n">
        <x:f>'Therapy sales'!G21/'Therapy sales'!F21-1</x:f>
        <x:v>0.10444325370039187</x:v>
      </x:c>
      <x:c r="H56" s="8" t="n">
        <x:f>'Therapy sales'!H21/'Therapy sales'!G21-1</x:f>
        <x:v>0.10308387142302666</x:v>
      </x:c>
      <x:c r="I56" s="8" t="n">
        <x:f>'Therapy sales'!I21/'Therapy sales'!H21-1</x:f>
        <x:v>0.1863197578111615</x:v>
      </x:c>
      <x:c r="J56" s="8" t="n">
        <x:f>('Therapy sales'!I21/'Therapy sales'!E21)^(1/4)-1</x:f>
        <x:v>0.09529985209992775</x:v>
      </x:c>
      <x:c r="K56" s="7" t="str">
        <x:v>IQVIA therapy mix is secondary market data; allocation to domestic primary revenue is an estimate, not audited therapy sales. Includes consumer health. BSV acquisition raises FY25/FY26 growth; FY24 onward continuing scope differs from early history.</x:v>
      </x:c>
    </x:row>
    <x:row r="57" ht="19" customHeight="1">
      <x:c r="A57" s="7" t="str">
        <x:v>Vitamins / minerals</x:v>
      </x:c>
      <x:c r="B57" s="7" t="str">
        <x:v>Sun Pharma</x:v>
      </x:c>
      <x:c r="C57" s="7" t="str">
        <x:v>India</x:v>
      </x:c>
      <x:c r="D57" s="7" t="str">
        <x:v>D3: sales proxy</x:v>
      </x:c>
      <x:c r="E57" s="8" t="str">
        <x:v>n.d.</x:v>
      </x:c>
      <x:c r="F57" s="8" t="n">
        <x:f>'Therapy sales'!F47/'Therapy sales'!E47-1</x:f>
        <x:v>0.06613215458528288</x:v>
      </x:c>
      <x:c r="G57" s="8" t="n">
        <x:f>'Therapy sales'!G47/'Therapy sales'!F47-1</x:f>
        <x:v>0.09455197712286156</x:v>
      </x:c>
      <x:c r="H57" s="8" t="str">
        <x:v>n.c.</x:v>
      </x:c>
      <x:c r="I57" s="8" t="n">
        <x:f>'Therapy sales'!I47/'Therapy sales'!H47-1</x:f>
        <x:v>0.13989245405660933</x:v>
      </x:c>
      <x:c r="J57" s="8" t="str">
        <x:v>n.c.</x:v>
      </x:c>
      <x:c r="K57"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58" ht="19" customHeight="1">
      <x:c r="A58" s="7" t="str">
        <x:v>Vitamins / minerals</x:v>
      </x:c>
      <x:c r="B58" s="7" t="str">
        <x:v>Torrent Pharma</x:v>
      </x:c>
      <x:c r="C58" s="7" t="str">
        <x:v>India</x:v>
      </x:c>
      <x:c r="D58" s="7" t="str">
        <x:v>D3: sales proxy</x:v>
      </x:c>
      <x:c r="E58" s="8" t="str">
        <x:v>n.d.</x:v>
      </x:c>
      <x:c r="F58" s="8" t="n">
        <x:f>'Therapy sales'!F30/'Therapy sales'!E30-1</x:f>
        <x:v>0.07340536271940823</x:v>
      </x:c>
      <x:c r="G58" s="8" t="n">
        <x:f>'Therapy sales'!G30/'Therapy sales'!F30-1</x:f>
        <x:v>0.1368378812199038</x:v>
      </x:c>
      <x:c r="H58" s="8" t="n">
        <x:f>'Therapy sales'!H30/'Therapy sales'!G30-1</x:f>
        <x:v>0.0447307526375651</x:v>
      </x:c>
      <x:c r="I58" s="8" t="n">
        <x:f>'Therapy sales'!I30/'Therapy sales'!H30-1</x:f>
        <x:v>-0.03137024870952598</x:v>
      </x:c>
      <x:c r="J58" s="8" t="n">
        <x:f>('Therapy sales'!I30/'Therapy sales'!E30)^(1/4)-1</x:f>
        <x:v>0.05415899780658062</x:v>
      </x:c>
      <x:c r="K58" s="7" t="str">
        <x:v>FY26 includes JB from 21 Jan 2026 and changes portfolio mix; no organic bridge. FY22 derma/gynae are in Other; FY26 ophthal/urology newly separated. FY25 disclosed rounded mix sums to 99%; normalized to 100% for sales allocation.</x:v>
      </x:c>
    </x:row>
    <x:row r="59" ht="19" customHeight="1">
      <x:c r="A59" s="7" t="str">
        <x:v>Women's health</x:v>
      </x:c>
      <x:c r="B59" s="7" t="str">
        <x:v>Alkem Labs</x:v>
      </x:c>
      <x:c r="C59" s="7" t="str">
        <x:v>India</x:v>
      </x:c>
      <x:c r="D59" s="7" t="str">
        <x:v>R: IQVIA secondary</x:v>
      </x:c>
      <x:c r="E59" s="8" t="n">
        <x:f>'Inputs and sources'!E87</x:f>
        <x:v>0.20600000000000002</x:v>
      </x:c>
      <x:c r="F59" s="8" t="n">
        <x:f>'Inputs and sources'!F87</x:f>
        <x:v>0.27699999999999997</x:v>
      </x:c>
      <x:c r="G59" s="8" t="n">
        <x:f>'Inputs and sources'!G87</x:f>
        <x:v>0.034</x:v>
      </x:c>
      <x:c r="H59" s="8" t="n">
        <x:f>'Inputs and sources'!H87</x:f>
        <x:v>0.068</x:v>
      </x:c>
      <x:c r="I59" s="8" t="n">
        <x:f>'Inputs and sources'!I87</x:f>
        <x:v>0.057</x:v>
      </x:c>
      <x:c r="J59" s="8" t="n">
        <x:f>((1+F59)*(1+G59)*(1+H59)*(1+I59))^(1/4)-1</x:f>
        <x:v>0.10494184004455454</x:v>
      </x:c>
      <x:c r="K59" s="7" t="str">
        <x:v>Main growth is reported secondary IQVIA growth, not growth of sales proxy. Sales are domestic primary revenue x secondary mix. FY26 mix rounded to whole %. Use main reported growth to assess trend.</x:v>
      </x:c>
    </x:row>
    <x:row r="60" ht="19" customHeight="1">
      <x:c r="A60" s="7" t="str">
        <x:v>Women's health</x:v>
      </x:c>
      <x:c r="B60" s="7" t="str">
        <x:v>Mankind Pharma</x:v>
      </x:c>
      <x:c r="C60" s="7" t="str">
        <x:v>India</x:v>
      </x:c>
      <x:c r="D60" s="7" t="str">
        <x:v>D3: sales proxy</x:v>
      </x:c>
      <x:c r="E60" s="8" t="n">
        <x:f>'Therapy sales'!E18/'Therapy sales'!D18-1</x:f>
        <x:v>0.2987213516410596</x:v>
      </x:c>
      <x:c r="F60" s="8" t="n">
        <x:f>'Therapy sales'!F18/'Therapy sales'!E18-1</x:f>
        <x:v>0.2790838434555334</x:v>
      </x:c>
      <x:c r="G60" s="8" t="n">
        <x:f>'Therapy sales'!G18/'Therapy sales'!F18-1</x:f>
        <x:v>0.1030772138071323</x:v>
      </x:c>
      <x:c r="H60" s="8" t="n">
        <x:f>'Therapy sales'!H18/'Therapy sales'!G18-1</x:f>
        <x:v>0.5611681235479935</x:v>
      </x:c>
      <x:c r="I60" s="8" t="n">
        <x:f>'Therapy sales'!I18/'Therapy sales'!H18-1</x:f>
        <x:v>0.14444964871194377</x:v>
      </x:c>
      <x:c r="J60" s="8" t="n">
        <x:f>('Therapy sales'!I18/'Therapy sales'!E18)^(1/4)-1</x:f>
        <x:v>0.26005012861261445</x:v>
      </x:c>
      <x:c r="K60" s="7" t="str">
        <x:v>IQVIA therapy mix is secondary market data; allocation to domestic primary revenue is an estimate, not audited therapy sales. Includes consumer health. BSV acquisition raises FY25/FY26 growth; FY24 onward continuing scope differs from early history.</x:v>
      </x:c>
    </x:row>
    <x:row r="61" ht="19" customHeight="1">
      <x:c r="A61" s="7" t="str">
        <x:v>Women's health</x:v>
      </x:c>
      <x:c r="B61" s="7" t="str">
        <x:v>Sun Pharma</x:v>
      </x:c>
      <x:c r="C61" s="7" t="str">
        <x:v>India</x:v>
      </x:c>
      <x:c r="D61" s="7" t="str">
        <x:v>D3: sales proxy</x:v>
      </x:c>
      <x:c r="E61" s="8" t="str">
        <x:v>n.d.</x:v>
      </x:c>
      <x:c r="F61" s="8" t="n">
        <x:f>'Therapy sales'!F48/'Therapy sales'!E48-1</x:f>
        <x:v>-0.20040088406103773</x:v>
      </x:c>
      <x:c r="G61" s="8" t="n">
        <x:f>'Therapy sales'!G48/'Therapy sales'!F48-1</x:f>
        <x:v>0.09455197712286156</x:v>
      </x:c>
      <x:c r="H61" s="8" t="str">
        <x:v>n.c.</x:v>
      </x:c>
      <x:c r="I61" s="8" t="n">
        <x:f>'Therapy sales'!I48/'Therapy sales'!H48-1</x:f>
        <x:v>0.13989245405660955</x:v>
      </x:c>
      <x:c r="J61" s="8" t="str">
        <x:v>n.c.</x:v>
      </x:c>
      <x:c r="K61" s="7" t="str">
        <x:v>FY25 mix changes sharply versus FY24 with no bridge in reviewed report; FY25 growth and four-year CAGR suppressed as n.c. Raw sales proxies retained. FY24 mix cites AIOCD-AWACS; allocation is not audited therapy revenue. India revenue includes part of consumer health.</x:v>
      </x:c>
    </x:row>
    <x:row r="62" ht="19" customHeight="1">
      <x:c r="A62" s="7" t="str">
        <x:v>Women's health</x:v>
      </x:c>
      <x:c r="B62" s="7" t="str">
        <x:v>Torrent Pharma</x:v>
      </x:c>
      <x:c r="C62" s="7" t="str">
        <x:v>India</x:v>
      </x:c>
      <x:c r="D62" s="7" t="str">
        <x:v>D3: sales proxy</x:v>
      </x:c>
      <x:c r="E62" s="8" t="str">
        <x:v>n.d.</x:v>
      </x:c>
      <x:c r="F62" s="8" t="str">
        <x:v>n.d.</x:v>
      </x:c>
      <x:c r="G62" s="8" t="n">
        <x:f>'Therapy sales'!G35/'Therapy sales'!F35-1</x:f>
        <x:v>0.1368378812199036</x:v>
      </x:c>
      <x:c r="H62" s="8" t="n">
        <x:f>'Therapy sales'!H35/'Therapy sales'!G35-1</x:f>
        <x:v>0.13970627560461635</x:v>
      </x:c>
      <x:c r="I62" s="8" t="n">
        <x:f>'Therapy sales'!I35/'Therapy sales'!H35-1</x:f>
        <x:v>0.18388080713280175</x:v>
      </x:c>
      <x:c r="J62" s="8" t="str">
        <x:v>n.c.</x:v>
      </x:c>
      <x:c r="K62" s="7" t="str">
        <x:v>FY26 includes JB from 21 Jan 2026 and changes portfolio mix; no organic bridge. FY22 derma/gynae are in Other; FY26 ophthal/urology newly separated. FY25 disclosed rounded mix sums to 99%; normalized to 100% for sales allocation.</x:v>
      </x:c>
    </x:row>
    <x:row r="63" ht="19" customHeight="1">
      <x:c r="A63" s="7" t="str">
        <x:v>Transplant</x:v>
      </x:c>
      <x:c r="B63" s="7" t="str">
        <x:v>Novartis India</x:v>
      </x:c>
      <x:c r="C63" s="7" t="str">
        <x:v>MNC</x:v>
      </x:c>
      <x:c r="D63" s="7" t="str">
        <x:v>R: portfolio</x:v>
      </x:c>
      <x:c r="E63" s="8" t="str">
        <x:v>n.d.</x:v>
      </x:c>
      <x:c r="F63" s="8" t="str">
        <x:v>n.d.</x:v>
      </x:c>
      <x:c r="G63" s="8" t="str">
        <x:v>n.d.</x:v>
      </x:c>
      <x:c r="H63" s="8" t="n">
        <x:f>'Inputs and sources'!H111</x:f>
        <x:v>0.14</x:v>
      </x:c>
      <x:c r="I63" s="8" t="n">
        <x:f>'Inputs and sources'!I111</x:f>
        <x:v>0.05</x:v>
      </x:c>
      <x:c r="J63" s="8" t="str">
        <x:v>n.d.</x:v>
      </x:c>
      <x:c r="K63" s="7" t="str">
        <x:v>Reported transplant portfolio growth; absolute sales not disclosed. Source: novartis25 / novartis26.</x:v>
      </x:c>
    </x:row>
    <x:row r="64" ht="19" customHeight="1">
      <x:c r="A64" s="7" t="str">
        <x:v>Vitamins / calcium</x:v>
      </x:c>
      <x:c r="B64" s="7" t="str">
        <x:v>Novartis India</x:v>
      </x:c>
      <x:c r="C64" s="7" t="str">
        <x:v>MNC</x:v>
      </x:c>
      <x:c r="D64" s="7" t="str">
        <x:v>R: portfolio</x:v>
      </x:c>
      <x:c r="E64" s="8" t="str">
        <x:v>n.d.</x:v>
      </x:c>
      <x:c r="F64" s="8" t="str">
        <x:v>n.d.</x:v>
      </x:c>
      <x:c r="G64" s="8" t="str">
        <x:v>n.d.</x:v>
      </x:c>
      <x:c r="H64" s="8" t="str">
        <x:v>n.d.</x:v>
      </x:c>
      <x:c r="I64" s="8" t="n">
        <x:f>'Inputs and sources'!I112</x:f>
        <x:v>0.12</x:v>
      </x:c>
      <x:c r="J64" s="8" t="str">
        <x:v>n.d.</x:v>
      </x:c>
      <x:c r="K64" s="7" t="str">
        <x:v>Reported calcium portfolio growth; not all vitamins. Source: novartis25 / novartis26.</x:v>
      </x:c>
    </x:row>
    <x:row r="65" ht="19" customHeight="1">
      <x:c r="A65" s="7" t="str">
        <x:v>Pain</x:v>
      </x:c>
      <x:c r="B65" s="7" t="str">
        <x:v>Novartis India</x:v>
      </x:c>
      <x:c r="C65" s="7" t="str">
        <x:v>MNC</x:v>
      </x:c>
      <x:c r="D65" s="7" t="str">
        <x:v>R: portfolio</x:v>
      </x:c>
      <x:c r="E65" s="8" t="str">
        <x:v>n.d.</x:v>
      </x:c>
      <x:c r="F65" s="8" t="str">
        <x:v>n.d.</x:v>
      </x:c>
      <x:c r="G65" s="8" t="str">
        <x:v>n.d.</x:v>
      </x:c>
      <x:c r="H65" s="8" t="n">
        <x:f>'Inputs and sources'!H113</x:f>
        <x:v>0.06</x:v>
      </x:c>
      <x:c r="I65" s="8" t="str">
        <x:v>n.d.</x:v>
      </x:c>
      <x:c r="J65" s="8" t="str">
        <x:v>n.d.</x:v>
      </x:c>
      <x:c r="K65" s="7" t="str">
        <x:v>FY25 Voveran portfolio growth; FY26 not quantified in reviewed report. Source: novartis25 / novartis26.</x:v>
      </x:c>
    </x:row>
    <x:row r="66" ht="19" customHeight="1">
      <x:c r="A66" s="7" t="str">
        <x:v>Therapy history unavailable</x:v>
      </x:c>
      <x:c r="B66" s="7" t="str">
        <x:v>Abbott India</x:v>
      </x:c>
      <x:c r="C66" s="7" t="str">
        <x:v>MNC</x:v>
      </x:c>
      <x:c r="D66" s="7" t="str">
        <x:v>n.d.</x:v>
      </x:c>
      <x:c r="E66" s="8" t="str">
        <x:v>n.d.</x:v>
      </x:c>
      <x:c r="F66" s="8" t="str">
        <x:v>n.d.</x:v>
      </x:c>
      <x:c r="G66" s="8" t="str">
        <x:v>n.d.</x:v>
      </x:c>
      <x:c r="H66" s="8" t="str">
        <x:v>n.d.</x:v>
      </x:c>
      <x:c r="I66" s="8" t="str">
        <x:v>n.d.</x:v>
      </x:c>
      <x:c r="J66" s="8" t="str">
        <x:v>n.d.</x:v>
      </x:c>
      <x:c r="K66" s="7" t="str">
        <x:v>No full numerical therapy history found in reviewed reports. See separately labelled neutral allocation estimates; no therapy ranking inferred.</x:v>
      </x:c>
    </x:row>
    <x:row r="67" ht="19" customHeight="1">
      <x:c r="A67" s="7" t="str">
        <x:v>Therapy history unavailable</x:v>
      </x:c>
      <x:c r="B67" s="7" t="str">
        <x:v>Pfizer India</x:v>
      </x:c>
      <x:c r="C67" s="7" t="str">
        <x:v>MNC</x:v>
      </x:c>
      <x:c r="D67" s="7" t="str">
        <x:v>n.d.</x:v>
      </x:c>
      <x:c r="E67" s="8" t="str">
        <x:v>n.d.</x:v>
      </x:c>
      <x:c r="F67" s="8" t="str">
        <x:v>n.d.</x:v>
      </x:c>
      <x:c r="G67" s="8" t="str">
        <x:v>n.d.</x:v>
      </x:c>
      <x:c r="H67" s="8" t="str">
        <x:v>n.d.</x:v>
      </x:c>
      <x:c r="I67" s="8" t="str">
        <x:v>n.d.</x:v>
      </x:c>
      <x:c r="J67" s="8" t="str">
        <x:v>n.d.</x:v>
      </x:c>
      <x:c r="K67" s="7" t="str">
        <x:v>No full numerical therapy history found in reviewed reports. See separately labelled neutral allocation estimates; no therapy ranking inferred.</x:v>
      </x:c>
    </x:row>
    <x:row r="68" ht="19" customHeight="1">
      <x:c r="A68" s="7" t="str">
        <x:v>Therapy history unavailable</x:v>
      </x:c>
      <x:c r="B68" s="7" t="str">
        <x:v>Sanofi India</x:v>
      </x:c>
      <x:c r="C68" s="7" t="str">
        <x:v>MNC</x:v>
      </x:c>
      <x:c r="D68" s="7" t="str">
        <x:v>n.d.</x:v>
      </x:c>
      <x:c r="E68" s="8" t="str">
        <x:v>n.d.</x:v>
      </x:c>
      <x:c r="F68" s="8" t="str">
        <x:v>n.d.</x:v>
      </x:c>
      <x:c r="G68" s="8" t="str">
        <x:v>n.d.</x:v>
      </x:c>
      <x:c r="H68" s="8" t="str">
        <x:v>n.d.</x:v>
      </x:c>
      <x:c r="I68" s="8" t="str">
        <x:v>n.d.</x:v>
      </x:c>
      <x:c r="J68" s="8" t="str">
        <x:v>n.d.</x:v>
      </x:c>
      <x:c r="K68" s="7" t="str">
        <x:v>No full numerical therapy history found in reviewed reports. See separately labelled neutral allocation estimates; no therapy ranking inferred.</x:v>
      </x:c>
    </x:row>
    <x:row r="69" ht="19" customHeight="1">
      <x:c r="A69" s="7"/>
      <x:c r="B69" s="7"/>
      <x:c r="C69" s="7"/>
      <x:c r="D69" s="7"/>
      <x:c r="E69" s="7"/>
      <x:c r="F69" s="7"/>
      <x:c r="G69" s="7"/>
      <x:c r="H69" s="7"/>
      <x:c r="I69" s="7"/>
      <x:c r="J69" s="7"/>
      <x:c r="K69" s="7"/>
    </x:row>
    <x:row r="70" ht="19" customHeight="1">
      <x:c r="A70" s="7"/>
      <x:c r="B70" s="7"/>
      <x:c r="C70" s="7"/>
      <x:c r="D70" s="7"/>
      <x:c r="E70" s="7"/>
      <x:c r="F70" s="7"/>
      <x:c r="G70" s="7"/>
      <x:c r="H70" s="7"/>
      <x:c r="I70" s="7"/>
      <x:c r="J70" s="7"/>
      <x:c r="K70" s="7"/>
    </x:row>
  </x:sheetData>
  <x:pageMargins left="0.7" right="0.7" top="0.75" bottom="0.75" header="0.3" footer="0.3"/>
</x:worksheet>
</file>

<file path=xl/worksheets/sheet2.xml><?xml version="1.0" encoding="utf-8"?>
<x:worksheet xmlns:x="http://schemas.openxmlformats.org/spreadsheetml/2006/main">
  <x:sheetViews>
    <x:sheetView showGridLines="1" workbookViewId="0">
      <x:pane xSplit="2" ySplit="8" topLeftCell="C9" activePane="bottomRight" state="frozen"/>
    </x:sheetView>
  </x:sheetViews>
  <x:sheetFormatPr defaultRowHeight="15"/>
  <x:cols>
    <x:col min="1" max="1" width="28" hidden="0" customWidth="1"/>
    <x:col min="2" max="2" width="23" hidden="0" customWidth="1"/>
    <x:col min="3" max="3" width="54"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00" hidden="0" customWidth="1"/>
  </x:cols>
  <x:sheetData>
    <x:row r="1" ht="19" customHeight="1">
      <x:c r="A1" s="7"/>
      <x:c r="B1" s="7"/>
      <x:c r="C1" s="7"/>
      <x:c r="D1" s="7"/>
      <x:c r="E1" s="7"/>
      <x:c r="F1" s="7"/>
      <x:c r="G1" s="7"/>
      <x:c r="H1" s="7"/>
      <x:c r="I1" s="7"/>
      <x:c r="J1" s="7"/>
      <x:c r="K1" s="7"/>
      <x:c r="L1" s="7"/>
      <x:c r="M1" s="7"/>
      <x:c r="N1" s="7"/>
      <x:c r="O1" s="7"/>
      <x:c r="P1" s="7"/>
      <x:c r="Q1" s="7"/>
      <x:c r="R1" s="7"/>
      <x:c r="S1" s="7"/>
      <x:c r="T1" s="7"/>
      <x:c r="U1" s="7"/>
      <x:c r="V1" s="7"/>
    </x:row>
    <x:row r="2" ht="19" customHeight="1">
      <x:c r="A2" s="10" t="str">
        <x:v>Therapy sales — disclosed-mix estimates (₹ crore)</x:v>
      </x:c>
      <x:c r="B2" s="7"/>
      <x:c r="C2" s="7"/>
      <x:c r="D2" s="7"/>
      <x:c r="E2" s="7"/>
      <x:c r="F2" s="7"/>
      <x:c r="G2" s="7"/>
      <x:c r="H2" s="7"/>
      <x:c r="I2" s="7"/>
      <x:c r="J2" s="7"/>
      <x:c r="K2" s="7"/>
      <x:c r="L2" s="7"/>
      <x:c r="M2" s="7"/>
      <x:c r="N2" s="7"/>
      <x:c r="O2" s="7"/>
      <x:c r="P2" s="7"/>
      <x:c r="Q2" s="7"/>
      <x:c r="R2" s="7"/>
      <x:c r="S2" s="7"/>
      <x:c r="T2" s="7"/>
      <x:c r="U2" s="7"/>
      <x:c r="V2" s="7"/>
    </x:row>
    <x:row r="3" ht="19" customHeight="1">
      <x:c r="A3" s="7"/>
      <x:c r="B3" s="7"/>
      <x:c r="C3" s="7"/>
      <x:c r="D3" s="7"/>
      <x:c r="E3" s="7"/>
      <x:c r="F3" s="7"/>
      <x:c r="G3" s="7"/>
      <x:c r="H3" s="7"/>
      <x:c r="I3" s="7"/>
      <x:c r="J3" s="7"/>
      <x:c r="K3" s="7"/>
      <x:c r="L3" s="7"/>
      <x:c r="M3" s="7"/>
      <x:c r="N3" s="7"/>
      <x:c r="O3" s="7"/>
      <x:c r="P3" s="7"/>
      <x:c r="Q3" s="7"/>
      <x:c r="R3" s="7"/>
      <x:c r="S3" s="7"/>
      <x:c r="T3" s="7"/>
      <x:c r="U3" s="7"/>
      <x:c r="V3" s="7"/>
    </x:row>
    <x:row r="4" ht="19" customHeight="1">
      <x:c r="A4" s="7" t="str">
        <x:v>D1: audited product revenue x mix; D2: broad mix x revenue; D3: domestic revenue allocated using market/disclosed mix.</x:v>
      </x:c>
      <x:c r="B4" s="7"/>
      <x:c r="C4" s="7"/>
      <x:c r="D4" s="7"/>
      <x:c r="E4" s="7"/>
      <x:c r="F4" s="7"/>
      <x:c r="G4" s="7"/>
      <x:c r="H4" s="7"/>
      <x:c r="I4" s="7"/>
      <x:c r="J4" s="7"/>
      <x:c r="K4" s="7"/>
      <x:c r="L4" s="7"/>
      <x:c r="M4" s="7"/>
      <x:c r="N4" s="7"/>
      <x:c r="O4" s="7"/>
      <x:c r="P4" s="7"/>
      <x:c r="Q4" s="7"/>
      <x:c r="R4" s="7"/>
      <x:c r="S4" s="7"/>
      <x:c r="T4" s="7"/>
      <x:c r="U4" s="7"/>
      <x:c r="V4" s="7"/>
    </x:row>
    <x:row r="5" ht="19" customHeight="1">
      <x:c r="A5" s="7" t="str">
        <x:v>These are calculated estimates, not audited absolute therapy sales. Share inputs and source links are on Inputs and sources.</x:v>
      </x:c>
      <x:c r="B5" s="7"/>
      <x:c r="C5" s="7"/>
      <x:c r="D5" s="7"/>
      <x:c r="E5" s="7"/>
      <x:c r="F5" s="7"/>
      <x:c r="G5" s="7"/>
      <x:c r="H5" s="7"/>
      <x:c r="I5" s="7"/>
      <x:c r="J5" s="7"/>
      <x:c r="K5" s="7"/>
      <x:c r="L5" s="7"/>
      <x:c r="M5" s="7"/>
      <x:c r="N5" s="7"/>
      <x:c r="O5" s="7"/>
      <x:c r="P5" s="7"/>
      <x:c r="Q5" s="7"/>
      <x:c r="R5" s="7"/>
      <x:c r="S5" s="7"/>
      <x:c r="T5" s="7"/>
      <x:c r="U5" s="7"/>
      <x:c r="V5" s="7"/>
    </x:row>
    <x:row r="6" ht="19" customHeight="1">
      <x:c r="A6" s="7" t="str">
        <x:v>Unrounded calculations retained. FY21 is a supporting base; n.d. denotes missing disclosure.</x:v>
      </x:c>
      <x:c r="B6" s="7"/>
      <x:c r="C6" s="7"/>
      <x:c r="D6" s="7"/>
      <x:c r="E6" s="7"/>
      <x:c r="F6" s="7"/>
      <x:c r="G6" s="7"/>
      <x:c r="H6" s="7"/>
      <x:c r="I6" s="7"/>
      <x:c r="J6" s="7"/>
      <x:c r="K6" s="7"/>
      <x:c r="L6" s="7"/>
      <x:c r="M6" s="7"/>
      <x:c r="N6" s="7"/>
      <x:c r="O6" s="7"/>
      <x:c r="P6" s="7"/>
      <x:c r="Q6" s="7"/>
      <x:c r="R6" s="7"/>
      <x:c r="S6" s="7"/>
      <x:c r="T6" s="7"/>
      <x:c r="U6" s="7"/>
      <x:c r="V6" s="7"/>
    </x:row>
    <x:row r="7" ht="19" customHeight="1">
      <x:c r="A7" s="7"/>
      <x:c r="B7" s="7"/>
      <x:c r="C7" s="7"/>
      <x:c r="D7" s="7"/>
      <x:c r="E7" s="7"/>
      <x:c r="F7" s="7"/>
      <x:c r="G7" s="7"/>
      <x:c r="H7" s="7"/>
      <x:c r="I7" s="7"/>
      <x:c r="J7" s="7"/>
      <x:c r="K7" s="7"/>
      <x:c r="L7" s="7"/>
      <x:c r="M7" s="7"/>
      <x:c r="N7" s="7"/>
      <x:c r="O7" s="7"/>
      <x:c r="P7" s="7"/>
      <x:c r="Q7" s="7"/>
      <x:c r="R7" s="7"/>
      <x:c r="S7" s="7"/>
      <x:c r="T7" s="7"/>
      <x:c r="U7" s="7"/>
      <x:c r="V7" s="7"/>
    </x:row>
    <x:row r="8" ht="27" customHeight="1">
      <x:c r="A8" s="9" t="str">
        <x:v>Therapy</x:v>
      </x:c>
      <x:c r="B8" s="9" t="str">
        <x:v>Company</x:v>
      </x:c>
      <x:c r="C8" s="9" t="str">
        <x:v>Basis</x:v>
      </x:c>
      <x:c r="D8" s="9" t="str">
        <x:v>FY21</x:v>
      </x:c>
      <x:c r="E8" s="9" t="str">
        <x:v>FY22</x:v>
      </x:c>
      <x:c r="F8" s="9" t="str">
        <x:v>FY23</x:v>
      </x:c>
      <x:c r="G8" s="9" t="str">
        <x:v>FY24</x:v>
      </x:c>
      <x:c r="H8" s="9" t="str">
        <x:v>FY25</x:v>
      </x:c>
      <x:c r="I8" s="9" t="str">
        <x:v>FY26</x:v>
      </x:c>
      <x:c r="J8" s="9" t="str">
        <x:v>FY21 mix</x:v>
      </x:c>
      <x:c r="K8" s="9" t="str">
        <x:v>FY22 mix</x:v>
      </x:c>
      <x:c r="L8" s="9" t="str">
        <x:v>FY23 mix</x:v>
      </x:c>
      <x:c r="M8" s="9" t="str">
        <x:v>FY24 mix</x:v>
      </x:c>
      <x:c r="N8" s="9" t="str">
        <x:v>FY25 mix</x:v>
      </x:c>
      <x:c r="O8" s="9" t="str">
        <x:v>FY26 mix</x:v>
      </x:c>
      <x:c r="P8" s="9" t="str">
        <x:v>Revenue FY21</x:v>
      </x:c>
      <x:c r="Q8" s="9" t="str">
        <x:v>Revenue FY22</x:v>
      </x:c>
      <x:c r="R8" s="9" t="str">
        <x:v>Revenue FY23</x:v>
      </x:c>
      <x:c r="S8" s="9" t="str">
        <x:v>Revenue FY24</x:v>
      </x:c>
      <x:c r="T8" s="9" t="str">
        <x:v>Revenue FY25</x:v>
      </x:c>
      <x:c r="U8" s="9" t="str">
        <x:v>Revenue FY26</x:v>
      </x:c>
      <x:c r="V8" s="9" t="str">
        <x:v>Source IDs / note</x:v>
      </x:c>
    </x:row>
    <x:row r="9" ht="19" customHeight="1">
      <x:c r="A9" s="7" t="str">
        <x:v>Cardiac</x:v>
      </x:c>
      <x:c r="B9" s="7" t="str">
        <x:v>AstraZeneca India</x:v>
      </x:c>
      <x:c r="C9" s="7" t="str">
        <x:v>D1: audited product revenue x disclosed therapy mix</x:v>
      </x:c>
      <x:c r="D9" s="15" t="n">
        <x:f>J9*P9</x:f>
        <x:v>212.84045999999995</x:v>
      </x:c>
      <x:c r="E9" s="15" t="n">
        <x:f>K9*Q9</x:f>
        <x:v>216.24327999999997</x:v>
      </x:c>
      <x:c r="F9" s="15" t="n">
        <x:f>L9*R9</x:f>
        <x:v>254.2725</x:v>
      </x:c>
      <x:c r="G9" s="15" t="n">
        <x:f>M9*S9</x:f>
        <x:v>294.17616000000004</x:v>
      </x:c>
      <x:c r="H9" s="15" t="n">
        <x:f>N9*T9</x:f>
        <x:v>321.68600000000004</x:v>
      </x:c>
      <x:c r="I9" s="15" t="n">
        <x:f>O9*U9</x:f>
        <x:v>347.09668000000005</x:v>
      </x:c>
      <x:c r="J9" s="8" t="n">
        <x:f>'Inputs and sources'!D21</x:f>
        <x:v>0.27399999999999997</x:v>
      </x:c>
      <x:c r="K9" s="8" t="n">
        <x:f>'Inputs and sources'!E21</x:f>
        <x:v>0.284</x:v>
      </x:c>
      <x:c r="L9" s="8" t="n">
        <x:f>'Inputs and sources'!F21</x:f>
        <x:v>0.27</x:v>
      </x:c>
      <x:c r="M9" s="8" t="n">
        <x:f>'Inputs and sources'!G21</x:f>
        <x:v>0.244</x:v>
      </x:c>
      <x:c r="N9" s="8" t="n">
        <x:f>'Inputs and sources'!H21</x:f>
        <x:v>0.2</x:v>
      </x:c>
      <x:c r="O9" s="8" t="n">
        <x:f>'Inputs and sources'!I21</x:f>
        <x:v>0.161</x:v>
      </x:c>
      <x:c r="P9" s="15" t="n">
        <x:f>'Inputs and sources'!D20</x:f>
        <x:v>776.79</x:v>
      </x:c>
      <x:c r="Q9" s="15" t="n">
        <x:f>'Inputs and sources'!E20</x:f>
        <x:v>761.42</x:v>
      </x:c>
      <x:c r="R9" s="15" t="n">
        <x:f>'Inputs and sources'!F20</x:f>
        <x:v>941.75</x:v>
      </x:c>
      <x:c r="S9" s="15" t="n">
        <x:f>'Inputs and sources'!G20</x:f>
        <x:v>1205.64</x:v>
      </x:c>
      <x:c r="T9" s="15" t="n">
        <x:f>'Inputs and sources'!H20</x:f>
        <x:v>1608.43</x:v>
      </x:c>
      <x:c r="U9" s="15" t="n">
        <x:f>'Inputs and sources'!I20</x:f>
        <x:v>2155.88</x:v>
      </x:c>
      <x:c r="V9" s="7" t="str">
        <x:v>astr22; astr22; astr23; astr24; astr26; astr26 | Includes product exports; excludes clinical services and distribution fees. Respiratory includes rare disease from FY24. Mix rounded to 0.1pp; derived growth is approximate.</x:v>
      </x:c>
    </x:row>
    <x:row r="10" ht="19" customHeight="1">
      <x:c r="A10" s="7" t="str">
        <x:v>Diabetes</x:v>
      </x:c>
      <x:c r="B10" s="7" t="str">
        <x:v>AstraZeneca India</x:v>
      </x:c>
      <x:c r="C10" s="7" t="str">
        <x:v>D1: audited product revenue x disclosed therapy mix</x:v>
      </x:c>
      <x:c r="D10" s="15" t="n">
        <x:f>J10*P10</x:f>
        <x:v>314.59995</x:v>
      </x:c>
      <x:c r="E10" s="15" t="n">
        <x:f>K10*Q10</x:f>
        <x:v>169.03524</x:v>
      </x:c>
      <x:c r="F10" s="15" t="n">
        <x:f>L10*R10</x:f>
        <x:v>129.01975</x:v>
      </x:c>
      <x:c r="G10" s="15" t="n">
        <x:f>M10*S10</x:f>
        <x:v>118.15272000000002</x:v>
      </x:c>
      <x:c r="H10" s="15" t="n">
        <x:f>N10*T10</x:f>
        <x:v>98.11423</x:v>
      </x:c>
      <x:c r="I10" s="15" t="n">
        <x:f>O10*U10</x:f>
        <x:v>79.76756000000002</x:v>
      </x:c>
      <x:c r="J10" s="8" t="n">
        <x:f>'Inputs and sources'!D22</x:f>
        <x:v>0.405</x:v>
      </x:c>
      <x:c r="K10" s="8" t="n">
        <x:f>'Inputs and sources'!E22</x:f>
        <x:v>0.222</x:v>
      </x:c>
      <x:c r="L10" s="8" t="n">
        <x:f>'Inputs and sources'!F22</x:f>
        <x:v>0.13699999999999998</x:v>
      </x:c>
      <x:c r="M10" s="8" t="n">
        <x:f>'Inputs and sources'!G22</x:f>
        <x:v>0.098</x:v>
      </x:c>
      <x:c r="N10" s="8" t="n">
        <x:f>'Inputs and sources'!H22</x:f>
        <x:v>0.061</x:v>
      </x:c>
      <x:c r="O10" s="8" t="n">
        <x:f>'Inputs and sources'!I22</x:f>
        <x:v>0.037000000000000005</x:v>
      </x:c>
      <x:c r="P10" s="15" t="n">
        <x:f>'Inputs and sources'!D20</x:f>
        <x:v>776.79</x:v>
      </x:c>
      <x:c r="Q10" s="15" t="n">
        <x:f>'Inputs and sources'!E20</x:f>
        <x:v>761.42</x:v>
      </x:c>
      <x:c r="R10" s="15" t="n">
        <x:f>'Inputs and sources'!F20</x:f>
        <x:v>941.75</x:v>
      </x:c>
      <x:c r="S10" s="15" t="n">
        <x:f>'Inputs and sources'!G20</x:f>
        <x:v>1205.64</x:v>
      </x:c>
      <x:c r="T10" s="15" t="n">
        <x:f>'Inputs and sources'!H20</x:f>
        <x:v>1608.43</x:v>
      </x:c>
      <x:c r="U10" s="15" t="n">
        <x:f>'Inputs and sources'!I20</x:f>
        <x:v>2155.88</x:v>
      </x:c>
      <x:c r="V10" s="7" t="str">
        <x:v>astr22; astr22; astr23; astr24; astr26; astr26 | Includes product exports; excludes clinical services and distribution fees. Respiratory includes rare disease from FY24. Mix rounded to 0.1pp; derived growth is approximate.</x:v>
      </x:c>
    </x:row>
    <x:row r="11" ht="19" customHeight="1">
      <x:c r="A11" s="7" t="str">
        <x:v>Oncology</x:v>
      </x:c>
      <x:c r="B11" s="7" t="str">
        <x:v>AstraZeneca India</x:v>
      </x:c>
      <x:c r="C11" s="7" t="str">
        <x:v>D1: audited product revenue x disclosed therapy mix</x:v>
      </x:c>
      <x:c r="D11" s="15" t="n">
        <x:f>J11*P11</x:f>
        <x:v>237.69773999999998</x:v>
      </x:c>
      <x:c r="E11" s="15" t="n">
        <x:f>K11*Q11</x:f>
        <x:v>354.82172</x:v>
      </x:c>
      <x:c r="F11" s="15" t="n">
        <x:f>L11*R11</x:f>
        <x:v>525.4965</x:v>
      </x:c>
      <x:c r="G11" s="15" t="n">
        <x:f>M11*S11</x:f>
        <x:v>751.1137200000001</x:v>
      </x:c>
      <x:c r="H11" s="15" t="n">
        <x:f>N11*T11</x:f>
        <x:v>1117.85885</x:v>
      </x:c>
      <x:c r="I11" s="15" t="n">
        <x:f>O11*U11</x:f>
        <x:v>1610.44236</x:v>
      </x:c>
      <x:c r="J11" s="8" t="n">
        <x:f>'Inputs and sources'!D23</x:f>
        <x:v>0.306</x:v>
      </x:c>
      <x:c r="K11" s="8" t="n">
        <x:f>'Inputs and sources'!E23</x:f>
        <x:v>0.466</x:v>
      </x:c>
      <x:c r="L11" s="8" t="n">
        <x:f>'Inputs and sources'!F23</x:f>
        <x:v>0.5579999999999999</x:v>
      </x:c>
      <x:c r="M11" s="8" t="n">
        <x:f>'Inputs and sources'!G23</x:f>
        <x:v>0.623</x:v>
      </x:c>
      <x:c r="N11" s="8" t="n">
        <x:f>'Inputs and sources'!H23</x:f>
        <x:v>0.695</x:v>
      </x:c>
      <x:c r="O11" s="8" t="n">
        <x:f>'Inputs and sources'!I23</x:f>
        <x:v>0.747</x:v>
      </x:c>
      <x:c r="P11" s="15" t="n">
        <x:f>'Inputs and sources'!D20</x:f>
        <x:v>776.79</x:v>
      </x:c>
      <x:c r="Q11" s="15" t="n">
        <x:f>'Inputs and sources'!E20</x:f>
        <x:v>761.42</x:v>
      </x:c>
      <x:c r="R11" s="15" t="n">
        <x:f>'Inputs and sources'!F20</x:f>
        <x:v>941.75</x:v>
      </x:c>
      <x:c r="S11" s="15" t="n">
        <x:f>'Inputs and sources'!G20</x:f>
        <x:v>1205.64</x:v>
      </x:c>
      <x:c r="T11" s="15" t="n">
        <x:f>'Inputs and sources'!H20</x:f>
        <x:v>1608.43</x:v>
      </x:c>
      <x:c r="U11" s="15" t="n">
        <x:f>'Inputs and sources'!I20</x:f>
        <x:v>2155.88</x:v>
      </x:c>
      <x:c r="V11" s="7" t="str">
        <x:v>astr22; astr22; astr23; astr24; astr26; astr26 | Includes product exports; excludes clinical services and distribution fees. Respiratory includes rare disease from FY24. Mix rounded to 0.1pp; derived growth is approximate.</x:v>
      </x:c>
    </x:row>
    <x:row r="12" ht="19" customHeight="1">
      <x:c r="A12" s="7" t="str">
        <x:v>Respiratory / rare disease</x:v>
      </x:c>
      <x:c r="B12" s="7" t="str">
        <x:v>AstraZeneca India</x:v>
      </x:c>
      <x:c r="C12" s="7" t="str">
        <x:v>D1: audited product revenue x disclosed therapy mix</x:v>
      </x:c>
      <x:c r="D12" s="15" t="n">
        <x:f>J12*P12</x:f>
        <x:v>11.65185</x:v>
      </x:c>
      <x:c r="E12" s="15" t="n">
        <x:f>K12*Q12</x:f>
        <x:v>21.319759999999995</x:v>
      </x:c>
      <x:c r="F12" s="15" t="n">
        <x:f>L12*R12</x:f>
        <x:v>32.96125</x:v>
      </x:c>
      <x:c r="G12" s="15" t="n">
        <x:f>M12*S12</x:f>
        <x:v>42.19740000000001</x:v>
      </x:c>
      <x:c r="H12" s="15" t="n">
        <x:f>N12*T12</x:f>
        <x:v>70.77092</x:v>
      </x:c>
      <x:c r="I12" s="15" t="n">
        <x:f>O12*U12</x:f>
        <x:v>118.5734</x:v>
      </x:c>
      <x:c r="J12" s="8" t="n">
        <x:f>'Inputs and sources'!D24</x:f>
        <x:v>0.015</x:v>
      </x:c>
      <x:c r="K12" s="8" t="n">
        <x:f>'Inputs and sources'!E24</x:f>
        <x:v>0.027999999999999997</x:v>
      </x:c>
      <x:c r="L12" s="8" t="n">
        <x:f>'Inputs and sources'!F24</x:f>
        <x:v>0.035</x:v>
      </x:c>
      <x:c r="M12" s="8" t="n">
        <x:f>'Inputs and sources'!G24</x:f>
        <x:v>0.035</x:v>
      </x:c>
      <x:c r="N12" s="8" t="n">
        <x:f>'Inputs and sources'!H24</x:f>
        <x:v>0.044000000000000004</x:v>
      </x:c>
      <x:c r="O12" s="8" t="n">
        <x:f>'Inputs and sources'!I24</x:f>
        <x:v>0.055</x:v>
      </x:c>
      <x:c r="P12" s="15" t="n">
        <x:f>'Inputs and sources'!D20</x:f>
        <x:v>776.79</x:v>
      </x:c>
      <x:c r="Q12" s="15" t="n">
        <x:f>'Inputs and sources'!E20</x:f>
        <x:v>761.42</x:v>
      </x:c>
      <x:c r="R12" s="15" t="n">
        <x:f>'Inputs and sources'!F20</x:f>
        <x:v>941.75</x:v>
      </x:c>
      <x:c r="S12" s="15" t="n">
        <x:f>'Inputs and sources'!G20</x:f>
        <x:v>1205.64</x:v>
      </x:c>
      <x:c r="T12" s="15" t="n">
        <x:f>'Inputs and sources'!H20</x:f>
        <x:v>1608.43</x:v>
      </x:c>
      <x:c r="U12" s="15" t="n">
        <x:f>'Inputs and sources'!I20</x:f>
        <x:v>2155.88</x:v>
      </x:c>
      <x:c r="V12" s="7" t="str">
        <x:v>astr22; astr22; astr23; astr24; astr26; astr26 | Includes product exports; excludes clinical services and distribution fees. Respiratory includes rare disease from FY24. Mix rounded to 0.1pp; derived growth is approximate.</x:v>
      </x:c>
    </x:row>
    <x:row r="13" ht="19" customHeight="1">
      <x:c r="A13" s="7" t="str">
        <x:v>Pharmaceuticals (broad)</x:v>
      </x:c>
      <x:c r="B13" s="7" t="str">
        <x:v>GSK India</x:v>
      </x:c>
      <x:c r="C13" s="7" t="str">
        <x:v>D2: revenue x broad business mix</x:v>
      </x:c>
      <x:c r="D13" s="15" t="str">
        <x:v>n.d.</x:v>
      </x:c>
      <x:c r="E13" s="15" t="str">
        <x:v>n.d.</x:v>
      </x:c>
      <x:c r="F13" s="15" t="str">
        <x:v>n.d.</x:v>
      </x:c>
      <x:c r="G13" s="15" t="n">
        <x:f>M13*S13</x:f>
        <x:v>2759.8725000000004</x:v>
      </x:c>
      <x:c r="H13" s="15" t="n">
        <x:f>N13*T13</x:f>
        <x:v>3053.2617999999998</x:v>
      </x:c>
      <x:c r="I13" s="15" t="n">
        <x:f>O13*U13</x:f>
        <x:v>3047.3208</x:v>
      </x:c>
      <x:c r="J13" s="8" t="str">
        <x:v>n.d.</x:v>
      </x:c>
      <x:c r="K13" s="8" t="str">
        <x:v>n.d.</x:v>
      </x:c>
      <x:c r="L13" s="8" t="str">
        <x:v>n.d.</x:v>
      </x:c>
      <x:c r="M13" s="8" t="n">
        <x:f>'Inputs and sources'!G26</x:f>
        <x:v>0.81</x:v>
      </x:c>
      <x:c r="N13" s="8" t="n">
        <x:f>'Inputs and sources'!H26</x:f>
        <x:v>0.82</x:v>
      </x:c>
      <x:c r="O13" s="8" t="n">
        <x:f>'Inputs and sources'!I26</x:f>
        <x:v>0.804</x:v>
      </x:c>
      <x:c r="P13" s="15" t="n">
        <x:f>'Inputs and sources'!D25</x:f>
        <x:v>2920.48</x:v>
      </x:c>
      <x:c r="Q13" s="15" t="n">
        <x:f>'Inputs and sources'!E25</x:f>
        <x:v>3217.51</x:v>
      </x:c>
      <x:c r="R13" s="15" t="n">
        <x:f>'Inputs and sources'!F25</x:f>
        <x:v>3216.34</x:v>
      </x:c>
      <x:c r="S13" s="15" t="n">
        <x:f>'Inputs and sources'!G25</x:f>
        <x:v>3407.25</x:v>
      </x:c>
      <x:c r="T13" s="15" t="n">
        <x:f>'Inputs and sources'!H25</x:f>
        <x:v>3723.49</x:v>
      </x:c>
      <x:c r="U13" s="15" t="n">
        <x:f>'Inputs and sources'!I25</x:f>
        <x:v>3790.2</x:v>
      </x:c>
      <x:c r="V13" s="7" t="str">
        <x:v>gsk23; gsk23; gsk23; gsk24; gsk25; gsk26 | Broad classes only; Pharmaceuticals is not a single therapy. FY24 specialty is folded into pharma in FY25; specialty/oncology growth is not comparable. Management reports vaccine growth of 12% in FY25 and 11% in FY26.</x:v>
      </x:c>
    </x:row>
    <x:row r="14" ht="19" customHeight="1">
      <x:c r="A14" s="7" t="str">
        <x:v>Vaccines</x:v>
      </x:c>
      <x:c r="B14" s="7" t="str">
        <x:v>GSK India</x:v>
      </x:c>
      <x:c r="C14" s="7" t="str">
        <x:v>D2: revenue x broad business mix</x:v>
      </x:c>
      <x:c r="D14" s="15" t="str">
        <x:v>n.d.</x:v>
      </x:c>
      <x:c r="E14" s="15" t="str">
        <x:v>n.d.</x:v>
      </x:c>
      <x:c r="F14" s="15" t="str">
        <x:v>n.d.</x:v>
      </x:c>
      <x:c r="G14" s="15" t="n">
        <x:f>M14*S14</x:f>
        <x:v>613.305</x:v>
      </x:c>
      <x:c r="H14" s="15" t="n">
        <x:f>N14*T14</x:f>
        <x:v>670.2281999999999</x:v>
      </x:c>
      <x:c r="I14" s="15" t="n">
        <x:f>O14*U14</x:f>
        <x:v>731.5086</x:v>
      </x:c>
      <x:c r="J14" s="8" t="str">
        <x:v>n.d.</x:v>
      </x:c>
      <x:c r="K14" s="8" t="str">
        <x:v>n.d.</x:v>
      </x:c>
      <x:c r="L14" s="8" t="str">
        <x:v>n.d.</x:v>
      </x:c>
      <x:c r="M14" s="8" t="n">
        <x:f>'Inputs and sources'!G27</x:f>
        <x:v>0.18</x:v>
      </x:c>
      <x:c r="N14" s="8" t="n">
        <x:f>'Inputs and sources'!H27</x:f>
        <x:v>0.18</x:v>
      </x:c>
      <x:c r="O14" s="8" t="n">
        <x:f>'Inputs and sources'!I27</x:f>
        <x:v>0.193</x:v>
      </x:c>
      <x:c r="P14" s="15" t="n">
        <x:f>'Inputs and sources'!D25</x:f>
        <x:v>2920.48</x:v>
      </x:c>
      <x:c r="Q14" s="15" t="n">
        <x:f>'Inputs and sources'!E25</x:f>
        <x:v>3217.51</x:v>
      </x:c>
      <x:c r="R14" s="15" t="n">
        <x:f>'Inputs and sources'!F25</x:f>
        <x:v>3216.34</x:v>
      </x:c>
      <x:c r="S14" s="15" t="n">
        <x:f>'Inputs and sources'!G25</x:f>
        <x:v>3407.25</x:v>
      </x:c>
      <x:c r="T14" s="15" t="n">
        <x:f>'Inputs and sources'!H25</x:f>
        <x:v>3723.49</x:v>
      </x:c>
      <x:c r="U14" s="15" t="n">
        <x:f>'Inputs and sources'!I25</x:f>
        <x:v>3790.2</x:v>
      </x:c>
      <x:c r="V14" s="7" t="str">
        <x:v>gsk23; gsk23; gsk23; gsk24; gsk25; gsk26 | Broad classes only; Pharmaceuticals is not a single therapy. FY24 specialty is folded into pharma in FY25; specialty/oncology growth is not comparable. Management reports vaccine growth of 12% in FY25 and 11% in FY26.</x:v>
      </x:c>
    </x:row>
    <x:row r="15" ht="19" customHeight="1">
      <x:c r="A15" s="7" t="str">
        <x:v>Specialty / oncology</x:v>
      </x:c>
      <x:c r="B15" s="7" t="str">
        <x:v>GSK India</x:v>
      </x:c>
      <x:c r="C15" s="7" t="str">
        <x:v>D2: revenue x broad business mix</x:v>
      </x:c>
      <x:c r="D15" s="15" t="str">
        <x:v>n.d.</x:v>
      </x:c>
      <x:c r="E15" s="15" t="str">
        <x:v>n.d.</x:v>
      </x:c>
      <x:c r="F15" s="15" t="str">
        <x:v>n.d.</x:v>
      </x:c>
      <x:c r="G15" s="15" t="n">
        <x:f>M15*S15</x:f>
        <x:v>34.0725</x:v>
      </x:c>
      <x:c r="H15" s="15" t="str">
        <x:v>n.d.</x:v>
      </x:c>
      <x:c r="I15" s="15" t="n">
        <x:f>O15*U15</x:f>
        <x:v>11.3706</x:v>
      </x:c>
      <x:c r="J15" s="8" t="str">
        <x:v>n.d.</x:v>
      </x:c>
      <x:c r="K15" s="8" t="str">
        <x:v>n.d.</x:v>
      </x:c>
      <x:c r="L15" s="8" t="str">
        <x:v>n.d.</x:v>
      </x:c>
      <x:c r="M15" s="8" t="n">
        <x:f>'Inputs and sources'!G28</x:f>
        <x:v>0.01</x:v>
      </x:c>
      <x:c r="N15" s="8" t="str">
        <x:v>n.d.</x:v>
      </x:c>
      <x:c r="O15" s="8" t="n">
        <x:f>'Inputs and sources'!I28</x:f>
        <x:v>0.003</x:v>
      </x:c>
      <x:c r="P15" s="15" t="n">
        <x:f>'Inputs and sources'!D25</x:f>
        <x:v>2920.48</x:v>
      </x:c>
      <x:c r="Q15" s="15" t="n">
        <x:f>'Inputs and sources'!E25</x:f>
        <x:v>3217.51</x:v>
      </x:c>
      <x:c r="R15" s="15" t="n">
        <x:f>'Inputs and sources'!F25</x:f>
        <x:v>3216.34</x:v>
      </x:c>
      <x:c r="S15" s="15" t="n">
        <x:f>'Inputs and sources'!G25</x:f>
        <x:v>3407.25</x:v>
      </x:c>
      <x:c r="T15" s="15" t="n">
        <x:f>'Inputs and sources'!H25</x:f>
        <x:v>3723.49</x:v>
      </x:c>
      <x:c r="U15" s="15" t="n">
        <x:f>'Inputs and sources'!I25</x:f>
        <x:v>3790.2</x:v>
      </x:c>
      <x:c r="V15" s="7" t="str">
        <x:v>gsk23; gsk23; gsk23; gsk24; gsk25; gsk26 | Broad classes only; Pharmaceuticals is not a single therapy. FY24 specialty is folded into pharma in FY25; specialty/oncology growth is not comparable. Management reports vaccine growth of 12% in FY25 and 11% in FY26.</x:v>
      </x:c>
    </x:row>
    <x:row r="16" ht="19" customHeight="1">
      <x:c r="A16" s="7" t="str">
        <x:v>Cardiac</x:v>
      </x:c>
      <x:c r="B16" s="7" t="str">
        <x:v>Mankind Pharma</x:v>
      </x:c>
      <x:c r="C16" s="7" t="str">
        <x:v>D3: domestic primary revenue x IQVIA mix (proxy)</x:v>
      </x:c>
      <x:c r="D16" s="15" t="n">
        <x:f>J16*P16</x:f>
        <x:v>759.528</x:v>
      </x:c>
      <x:c r="E16" s="15" t="n">
        <x:f>K16*Q16</x:f>
        <x:v>918.995</x:v>
      </x:c>
      <x:c r="F16" s="15" t="n">
        <x:f>L16*R16</x:f>
        <x:v>1081.984</x:v>
      </x:c>
      <x:c r="G16" s="15" t="n">
        <x:f>M16*S16</x:f>
        <x:v>1313.133</x:v>
      </x:c>
      <x:c r="H16" s="15" t="n">
        <x:f>N16*T16</x:f>
        <x:v>1558.55</x:v>
      </x:c>
      <x:c r="I16" s="15" t="n">
        <x:f>O16*U16</x:f>
        <x:v>1905.852</x:v>
      </x:c>
      <x:c r="J16" s="8" t="n">
        <x:f>'Inputs and sources'!D31</x:f>
        <x:v>0.126</x:v>
      </x:c>
      <x:c r="K16" s="8" t="n">
        <x:f>'Inputs and sources'!E31</x:f>
        <x:v>0.121</x:v>
      </x:c>
      <x:c r="L16" s="8" t="n">
        <x:f>'Inputs and sources'!F31</x:f>
        <x:v>0.128</x:v>
      </x:c>
      <x:c r="M16" s="8" t="n">
        <x:f>'Inputs and sources'!G31</x:f>
        <x:v>0.139</x:v>
      </x:c>
      <x:c r="N16" s="8" t="n">
        <x:f>'Inputs and sources'!H31</x:f>
        <x:v>0.146</x:v>
      </x:c>
      <x:c r="O16" s="8" t="n">
        <x:f>'Inputs and sources'!I31</x:f>
        <x:v>0.156</x:v>
      </x:c>
      <x:c r="P16" s="15" t="n">
        <x:f>'Inputs and sources'!D30</x:f>
        <x:v>6028</x:v>
      </x:c>
      <x:c r="Q16" s="15" t="n">
        <x:f>'Inputs and sources'!E30</x:f>
        <x:v>7595</x:v>
      </x:c>
      <x:c r="R16" s="15" t="n">
        <x:f>'Inputs and sources'!F30</x:f>
        <x:v>8453</x:v>
      </x:c>
      <x:c r="S16" s="15" t="n">
        <x:f>'Inputs and sources'!G30</x:f>
        <x:v>9447</x:v>
      </x:c>
      <x:c r="T16" s="15" t="n">
        <x:f>'Inputs and sources'!H30</x:f>
        <x:v>10675</x:v>
      </x:c>
      <x:c r="U16" s="15" t="n">
        <x:f>'Inputs and sources'!I30</x:f>
        <x:v>12217</x:v>
      </x:c>
      <x:c r="V16" s="7" t="str">
        <x:v>mankind26; mankind26; mankind26; mankind26; mankind26; mankind26 | IQVIA therapy mix is secondary market data; allocation to domestic primary revenue is an estimate, not audited therapy sales. Includes consumer health. BSV acquisition raises FY25/FY26 growth; FY24 onward continuing scope differs from early history.</x:v>
      </x:c>
    </x:row>
    <x:row r="17" ht="19" customHeight="1">
      <x:c r="A17" s="7" t="str">
        <x:v>Anti-infectives</x:v>
      </x:c>
      <x:c r="B17" s="7" t="str">
        <x:v>Mankind Pharma</x:v>
      </x:c>
      <x:c r="C17" s="7" t="str">
        <x:v>D3: domestic primary revenue x IQVIA mix (proxy)</x:v>
      </x:c>
      <x:c r="D17" s="15" t="n">
        <x:f>J17*P17</x:f>
        <x:v>795.696</x:v>
      </x:c>
      <x:c r="E17" s="15" t="n">
        <x:f>K17*Q17</x:f>
        <x:v>1116.465</x:v>
      </x:c>
      <x:c r="F17" s="15" t="n">
        <x:f>L17*R17</x:f>
        <x:v>1267.95</x:v>
      </x:c>
      <x:c r="G17" s="15" t="n">
        <x:f>M17*S17</x:f>
        <x:v>1445.391</x:v>
      </x:c>
      <x:c r="H17" s="15" t="n">
        <x:f>N17*T17</x:f>
        <x:v>1462.475</x:v>
      </x:c>
      <x:c r="I17" s="15" t="n">
        <x:f>O17*U17</x:f>
        <x:v>1588.21</x:v>
      </x:c>
      <x:c r="J17" s="8" t="n">
        <x:f>'Inputs and sources'!D32</x:f>
        <x:v>0.132</x:v>
      </x:c>
      <x:c r="K17" s="8" t="n">
        <x:f>'Inputs and sources'!E32</x:f>
        <x:v>0.147</x:v>
      </x:c>
      <x:c r="L17" s="8" t="n">
        <x:f>'Inputs and sources'!F32</x:f>
        <x:v>0.15</x:v>
      </x:c>
      <x:c r="M17" s="8" t="n">
        <x:f>'Inputs and sources'!G32</x:f>
        <x:v>0.153</x:v>
      </x:c>
      <x:c r="N17" s="8" t="n">
        <x:f>'Inputs and sources'!H32</x:f>
        <x:v>0.13699999999999998</x:v>
      </x:c>
      <x:c r="O17" s="8" t="n">
        <x:f>'Inputs and sources'!I32</x:f>
        <x:v>0.13</x:v>
      </x:c>
      <x:c r="P17" s="15" t="n">
        <x:f>'Inputs and sources'!D30</x:f>
        <x:v>6028</x:v>
      </x:c>
      <x:c r="Q17" s="15" t="n">
        <x:f>'Inputs and sources'!E30</x:f>
        <x:v>7595</x:v>
      </x:c>
      <x:c r="R17" s="15" t="n">
        <x:f>'Inputs and sources'!F30</x:f>
        <x:v>8453</x:v>
      </x:c>
      <x:c r="S17" s="15" t="n">
        <x:f>'Inputs and sources'!G30</x:f>
        <x:v>9447</x:v>
      </x:c>
      <x:c r="T17" s="15" t="n">
        <x:f>'Inputs and sources'!H30</x:f>
        <x:v>10675</x:v>
      </x:c>
      <x:c r="U17" s="15" t="n">
        <x:f>'Inputs and sources'!I30</x:f>
        <x:v>12217</x:v>
      </x:c>
      <x:c r="V17" s="7" t="str">
        <x:v>mankind26; mankind26; mankind26; mankind26; mankind26; mankind26 | IQVIA therapy mix is secondary market data; allocation to domestic primary revenue is an estimate, not audited therapy sales. Includes consumer health. BSV acquisition raises FY25/FY26 growth; FY24 onward continuing scope differs from early history.</x:v>
      </x:c>
    </x:row>
    <x:row r="18" ht="19" customHeight="1">
      <x:c r="A18" s="7" t="str">
        <x:v>Women's health</x:v>
      </x:c>
      <x:c r="B18" s="7" t="str">
        <x:v>Mankind Pharma</x:v>
      </x:c>
      <x:c r="C18" s="7" t="str">
        <x:v>D3: domestic primary revenue x IQVIA mix (proxy)</x:v>
      </x:c>
      <x:c r="D18" s="15" t="n">
        <x:f>J18*P18</x:f>
        <x:v>391.82</x:v>
      </x:c>
      <x:c r="E18" s="15" t="n">
        <x:f>K18*Q18</x:f>
        <x:v>508.865</x:v>
      </x:c>
      <x:c r="F18" s="15" t="n">
        <x:f>L18*R18</x:f>
        <x:v>650.881</x:v>
      </x:c>
      <x:c r="G18" s="15" t="n">
        <x:f>M18*S18</x:f>
        <x:v>717.972</x:v>
      </x:c>
      <x:c r="H18" s="15" t="n">
        <x:f>N18*T18</x:f>
        <x:v>1120.875</x:v>
      </x:c>
      <x:c r="I18" s="15" t="n">
        <x:f>O18*U18</x:f>
        <x:v>1282.7849999999999</x:v>
      </x:c>
      <x:c r="J18" s="8" t="n">
        <x:f>'Inputs and sources'!D33</x:f>
        <x:v>0.065</x:v>
      </x:c>
      <x:c r="K18" s="8" t="n">
        <x:f>'Inputs and sources'!E33</x:f>
        <x:v>0.067</x:v>
      </x:c>
      <x:c r="L18" s="8" t="n">
        <x:f>'Inputs and sources'!F33</x:f>
        <x:v>0.077</x:v>
      </x:c>
      <x:c r="M18" s="8" t="n">
        <x:f>'Inputs and sources'!G33</x:f>
        <x:v>0.076</x:v>
      </x:c>
      <x:c r="N18" s="8" t="n">
        <x:f>'Inputs and sources'!H33</x:f>
        <x:v>0.105</x:v>
      </x:c>
      <x:c r="O18" s="8" t="n">
        <x:f>'Inputs and sources'!I33</x:f>
        <x:v>0.105</x:v>
      </x:c>
      <x:c r="P18" s="15" t="n">
        <x:f>'Inputs and sources'!D30</x:f>
        <x:v>6028</x:v>
      </x:c>
      <x:c r="Q18" s="15" t="n">
        <x:f>'Inputs and sources'!E30</x:f>
        <x:v>7595</x:v>
      </x:c>
      <x:c r="R18" s="15" t="n">
        <x:f>'Inputs and sources'!F30</x:f>
        <x:v>8453</x:v>
      </x:c>
      <x:c r="S18" s="15" t="n">
        <x:f>'Inputs and sources'!G30</x:f>
        <x:v>9447</x:v>
      </x:c>
      <x:c r="T18" s="15" t="n">
        <x:f>'Inputs and sources'!H30</x:f>
        <x:v>10675</x:v>
      </x:c>
      <x:c r="U18" s="15" t="n">
        <x:f>'Inputs and sources'!I30</x:f>
        <x:v>12217</x:v>
      </x:c>
      <x:c r="V18" s="7" t="str">
        <x:v>mankind26; mankind26; mankind26; mankind26; mankind26; mankind26 | IQVIA therapy mix is secondary market data; allocation to domestic primary revenue is an estimate, not audited therapy sales. Includes consumer health. BSV acquisition raises FY25/FY26 growth; FY24 onward continuing scope differs from early history.</x:v>
      </x:c>
    </x:row>
    <x:row r="19" ht="19" customHeight="1">
      <x:c r="A19" s="7" t="str">
        <x:v>Gastrointestinal</x:v>
      </x:c>
      <x:c r="B19" s="7" t="str">
        <x:v>Mankind Pharma</x:v>
      </x:c>
      <x:c r="C19" s="7" t="str">
        <x:v>D3: domestic primary revenue x IQVIA mix (proxy)</x:v>
      </x:c>
      <x:c r="D19" s="15" t="n">
        <x:f>J19*P19</x:f>
        <x:v>681.164</x:v>
      </x:c>
      <x:c r="E19" s="15" t="n">
        <x:f>K19*Q19</x:f>
        <x:v>827.855</x:v>
      </x:c>
      <x:c r="F19" s="15" t="n">
        <x:f>L19*R19</x:f>
        <x:v>912.9240000000001</x:v>
      </x:c>
      <x:c r="G19" s="15" t="n">
        <x:f>M19*S19</x:f>
        <x:v>991.935</x:v>
      </x:c>
      <x:c r="H19" s="15" t="n">
        <x:f>N19*T19</x:f>
        <x:v>1088.85</x:v>
      </x:c>
      <x:c r="I19" s="15" t="n">
        <x:f>O19*U19</x:f>
        <x:v>1148.398</x:v>
      </x:c>
      <x:c r="J19" s="8" t="n">
        <x:f>'Inputs and sources'!D34</x:f>
        <x:v>0.113</x:v>
      </x:c>
      <x:c r="K19" s="8" t="n">
        <x:f>'Inputs and sources'!E34</x:f>
        <x:v>0.109</x:v>
      </x:c>
      <x:c r="L19" s="8" t="n">
        <x:f>'Inputs and sources'!F34</x:f>
        <x:v>0.10800000000000001</x:v>
      </x:c>
      <x:c r="M19" s="8" t="n">
        <x:f>'Inputs and sources'!G34</x:f>
        <x:v>0.105</x:v>
      </x:c>
      <x:c r="N19" s="8" t="n">
        <x:f>'Inputs and sources'!H34</x:f>
        <x:v>0.102</x:v>
      </x:c>
      <x:c r="O19" s="8" t="n">
        <x:f>'Inputs and sources'!I34</x:f>
        <x:v>0.094</x:v>
      </x:c>
      <x:c r="P19" s="15" t="n">
        <x:f>'Inputs and sources'!D30</x:f>
        <x:v>6028</x:v>
      </x:c>
      <x:c r="Q19" s="15" t="n">
        <x:f>'Inputs and sources'!E30</x:f>
        <x:v>7595</x:v>
      </x:c>
      <x:c r="R19" s="15" t="n">
        <x:f>'Inputs and sources'!F30</x:f>
        <x:v>8453</x:v>
      </x:c>
      <x:c r="S19" s="15" t="n">
        <x:f>'Inputs and sources'!G30</x:f>
        <x:v>9447</x:v>
      </x:c>
      <x:c r="T19" s="15" t="n">
        <x:f>'Inputs and sources'!H30</x:f>
        <x:v>10675</x:v>
      </x:c>
      <x:c r="U19" s="15" t="n">
        <x:f>'Inputs and sources'!I30</x:f>
        <x:v>12217</x:v>
      </x:c>
      <x:c r="V19" s="7" t="str">
        <x:v>mankind26; mankind26; mankind26; mankind26; mankind26; mankind26 | IQVIA therapy mix is secondary market data; allocation to domestic primary revenue is an estimate, not audited therapy sales. Includes consumer health. BSV acquisition raises FY25/FY26 growth; FY24 onward continuing scope differs from early history.</x:v>
      </x:c>
    </x:row>
    <x:row r="20" ht="19" customHeight="1">
      <x:c r="A20" s="7" t="str">
        <x:v>Diabetes</x:v>
      </x:c>
      <x:c r="B20" s="7" t="str">
        <x:v>Mankind Pharma</x:v>
      </x:c>
      <x:c r="C20" s="7" t="str">
        <x:v>D3: domestic primary revenue x IQVIA mix (proxy)</x:v>
      </x:c>
      <x:c r="D20" s="15" t="n">
        <x:f>J20*P20</x:f>
        <x:v>524.4359999999999</x:v>
      </x:c>
      <x:c r="E20" s="15" t="n">
        <x:f>K20*Q20</x:f>
        <x:v>630.385</x:v>
      </x:c>
      <x:c r="F20" s="15" t="n">
        <x:f>L20*R20</x:f>
        <x:v>693.146</x:v>
      </x:c>
      <x:c r="G20" s="15" t="n">
        <x:f>M20*S20</x:f>
        <x:v>812.4419999999999</x:v>
      </x:c>
      <x:c r="H20" s="15" t="n">
        <x:f>N20*T20</x:f>
        <x:v>875.3499999999999</x:v>
      </x:c>
      <x:c r="I20" s="15" t="n">
        <x:f>O20*U20</x:f>
        <x:v>1050.6619999999998</x:v>
      </x:c>
      <x:c r="J20" s="8" t="n">
        <x:f>'Inputs and sources'!D35</x:f>
        <x:v>0.087</x:v>
      </x:c>
      <x:c r="K20" s="8" t="n">
        <x:f>'Inputs and sources'!E35</x:f>
        <x:v>0.083</x:v>
      </x:c>
      <x:c r="L20" s="8" t="n">
        <x:f>'Inputs and sources'!F35</x:f>
        <x:v>0.08199999999999999</x:v>
      </x:c>
      <x:c r="M20" s="8" t="n">
        <x:f>'Inputs and sources'!G35</x:f>
        <x:v>0.086</x:v>
      </x:c>
      <x:c r="N20" s="8" t="n">
        <x:f>'Inputs and sources'!H35</x:f>
        <x:v>0.08199999999999999</x:v>
      </x:c>
      <x:c r="O20" s="8" t="n">
        <x:f>'Inputs and sources'!I35</x:f>
        <x:v>0.086</x:v>
      </x:c>
      <x:c r="P20" s="15" t="n">
        <x:f>'Inputs and sources'!D30</x:f>
        <x:v>6028</x:v>
      </x:c>
      <x:c r="Q20" s="15" t="n">
        <x:f>'Inputs and sources'!E30</x:f>
        <x:v>7595</x:v>
      </x:c>
      <x:c r="R20" s="15" t="n">
        <x:f>'Inputs and sources'!F30</x:f>
        <x:v>8453</x:v>
      </x:c>
      <x:c r="S20" s="15" t="n">
        <x:f>'Inputs and sources'!G30</x:f>
        <x:v>9447</x:v>
      </x:c>
      <x:c r="T20" s="15" t="n">
        <x:f>'Inputs and sources'!H30</x:f>
        <x:v>10675</x:v>
      </x:c>
      <x:c r="U20" s="15" t="n">
        <x:f>'Inputs and sources'!I30</x:f>
        <x:v>12217</x:v>
      </x:c>
      <x:c r="V20" s="7" t="str">
        <x:v>mankind26; mankind26; mankind26; mankind26; mankind26; mankind26 | IQVIA therapy mix is secondary market data; allocation to domestic primary revenue is an estimate, not audited therapy sales. Includes consumer health. BSV acquisition raises FY25/FY26 growth; FY24 onward continuing scope differs from early history.</x:v>
      </x:c>
    </x:row>
    <x:row r="21" ht="19" customHeight="1">
      <x:c r="A21" s="7" t="str">
        <x:v>Vitamins / minerals</x:v>
      </x:c>
      <x:c r="B21" s="7" t="str">
        <x:v>Mankind Pharma</x:v>
      </x:c>
      <x:c r="C21" s="7" t="str">
        <x:v>D3: domestic primary revenue x IQVIA mix (proxy)</x:v>
      </x:c>
      <x:c r="D21" s="15" t="n">
        <x:f>J21*P21</x:f>
        <x:v>620.884</x:v>
      </x:c>
      <x:c r="E21" s="15" t="n">
        <x:f>K21*Q21</x:f>
        <x:v>721.525</x:v>
      </x:c>
      <x:c r="F21" s="15" t="n">
        <x:f>L21*R21</x:f>
        <x:v>718.505</x:v>
      </x:c>
      <x:c r="G21" s="15" t="n">
        <x:f>M21*S21</x:f>
        <x:v>793.548</x:v>
      </x:c>
      <x:c r="H21" s="15" t="n">
        <x:f>N21*T21</x:f>
        <x:v>875.3499999999999</x:v>
      </x:c>
      <x:c r="I21" s="15" t="n">
        <x:f>O21*U21</x:f>
        <x:v>1038.4450000000002</x:v>
      </x:c>
      <x:c r="J21" s="8" t="n">
        <x:f>'Inputs and sources'!D36</x:f>
        <x:v>0.10300000000000001</x:v>
      </x:c>
      <x:c r="K21" s="8" t="n">
        <x:f>'Inputs and sources'!E36</x:f>
        <x:v>0.095</x:v>
      </x:c>
      <x:c r="L21" s="8" t="n">
        <x:f>'Inputs and sources'!F36</x:f>
        <x:v>0.085</x:v>
      </x:c>
      <x:c r="M21" s="8" t="n">
        <x:f>'Inputs and sources'!G36</x:f>
        <x:v>0.084</x:v>
      </x:c>
      <x:c r="N21" s="8" t="n">
        <x:f>'Inputs and sources'!H36</x:f>
        <x:v>0.08199999999999999</x:v>
      </x:c>
      <x:c r="O21" s="8" t="n">
        <x:f>'Inputs and sources'!I36</x:f>
        <x:v>0.085</x:v>
      </x:c>
      <x:c r="P21" s="15" t="n">
        <x:f>'Inputs and sources'!D30</x:f>
        <x:v>6028</x:v>
      </x:c>
      <x:c r="Q21" s="15" t="n">
        <x:f>'Inputs and sources'!E30</x:f>
        <x:v>7595</x:v>
      </x:c>
      <x:c r="R21" s="15" t="n">
        <x:f>'Inputs and sources'!F30</x:f>
        <x:v>8453</x:v>
      </x:c>
      <x:c r="S21" s="15" t="n">
        <x:f>'Inputs and sources'!G30</x:f>
        <x:v>9447</x:v>
      </x:c>
      <x:c r="T21" s="15" t="n">
        <x:f>'Inputs and sources'!H30</x:f>
        <x:v>10675</x:v>
      </x:c>
      <x:c r="U21" s="15" t="n">
        <x:f>'Inputs and sources'!I30</x:f>
        <x:v>12217</x:v>
      </x:c>
      <x:c r="V21" s="7" t="str">
        <x:v>mankind26; mankind26; mankind26; mankind26; mankind26; mankind26 | IQVIA therapy mix is secondary market data; allocation to domestic primary revenue is an estimate, not audited therapy sales. Includes consumer health. BSV acquisition raises FY25/FY26 growth; FY24 onward continuing scope differs from early history.</x:v>
      </x:c>
    </x:row>
    <x:row r="22" ht="19" customHeight="1">
      <x:c r="A22" s="7" t="str">
        <x:v>Respiratory</x:v>
      </x:c>
      <x:c r="B22" s="7" t="str">
        <x:v>Mankind Pharma</x:v>
      </x:c>
      <x:c r="C22" s="7" t="str">
        <x:v>D3: domestic primary revenue x IQVIA mix (proxy)</x:v>
      </x:c>
      <x:c r="D22" s="15" t="n">
        <x:f>J22*P22</x:f>
        <x:v>434.0160000000001</x:v>
      </x:c>
      <x:c r="E22" s="15" t="n">
        <x:f>K22*Q22</x:f>
        <x:v>736.7149999999999</x:v>
      </x:c>
      <x:c r="F22" s="15" t="n">
        <x:f>L22*R22</x:f>
        <x:v>803.035</x:v>
      </x:c>
      <x:c r="G22" s="15" t="n">
        <x:f>M22*S22</x:f>
        <x:v>802.995</x:v>
      </x:c>
      <x:c r="H22" s="15" t="n">
        <x:f>N22*T22</x:f>
        <x:v>800.625</x:v>
      </x:c>
      <x:c r="I22" s="15" t="n">
        <x:f>O22*U22</x:f>
        <x:v>940.709</x:v>
      </x:c>
      <x:c r="J22" s="8" t="n">
        <x:f>'Inputs and sources'!D37</x:f>
        <x:v>0.07200000000000001</x:v>
      </x:c>
      <x:c r="K22" s="8" t="n">
        <x:f>'Inputs and sources'!E37</x:f>
        <x:v>0.09699999999999999</x:v>
      </x:c>
      <x:c r="L22" s="8" t="n">
        <x:f>'Inputs and sources'!F37</x:f>
        <x:v>0.095</x:v>
      </x:c>
      <x:c r="M22" s="8" t="n">
        <x:f>'Inputs and sources'!G37</x:f>
        <x:v>0.085</x:v>
      </x:c>
      <x:c r="N22" s="8" t="n">
        <x:f>'Inputs and sources'!H37</x:f>
        <x:v>0.075</x:v>
      </x:c>
      <x:c r="O22" s="8" t="n">
        <x:f>'Inputs and sources'!I37</x:f>
        <x:v>0.077</x:v>
      </x:c>
      <x:c r="P22" s="15" t="n">
        <x:f>'Inputs and sources'!D30</x:f>
        <x:v>6028</x:v>
      </x:c>
      <x:c r="Q22" s="15" t="n">
        <x:f>'Inputs and sources'!E30</x:f>
        <x:v>7595</x:v>
      </x:c>
      <x:c r="R22" s="15" t="n">
        <x:f>'Inputs and sources'!F30</x:f>
        <x:v>8453</x:v>
      </x:c>
      <x:c r="S22" s="15" t="n">
        <x:f>'Inputs and sources'!G30</x:f>
        <x:v>9447</x:v>
      </x:c>
      <x:c r="T22" s="15" t="n">
        <x:f>'Inputs and sources'!H30</x:f>
        <x:v>10675</x:v>
      </x:c>
      <x:c r="U22" s="15" t="n">
        <x:f>'Inputs and sources'!I30</x:f>
        <x:v>12217</x:v>
      </x:c>
      <x:c r="V22" s="7" t="str">
        <x:v>mankind26; mankind26; mankind26; mankind26; mankind26; mankind26 | IQVIA therapy mix is secondary market data; allocation to domestic primary revenue is an estimate, not audited therapy sales. Includes consumer health. BSV acquisition raises FY25/FY26 growth; FY24 onward continuing scope differs from early history.</x:v>
      </x:c>
    </x:row>
    <x:row r="23" ht="19" customHeight="1">
      <x:c r="A23" s="7" t="str">
        <x:v>Dermatology</x:v>
      </x:c>
      <x:c r="B23" s="7" t="str">
        <x:v>Mankind Pharma</x:v>
      </x:c>
      <x:c r="C23" s="7" t="str">
        <x:v>D3: domestic primary revenue x IQVIA mix (proxy)</x:v>
      </x:c>
      <x:c r="D23" s="15" t="n">
        <x:f>J23*P23</x:f>
        <x:v>518.4079999999999</x:v>
      </x:c>
      <x:c r="E23" s="15" t="n">
        <x:f>K23*Q23</x:f>
        <x:v>562.0300000000001</x:v>
      </x:c>
      <x:c r="F23" s="15" t="n">
        <x:f>L23*R23</x:f>
        <x:v>515.633</x:v>
      </x:c>
      <x:c r="G23" s="15" t="n">
        <x:f>M23*S23</x:f>
        <x:v>547.9259999999999</x:v>
      </x:c>
      <x:c r="H23" s="15" t="n">
        <x:f>N23*T23</x:f>
        <x:v>555.1</x:v>
      </x:c>
      <x:c r="I23" s="15" t="n">
        <x:f>O23*U23</x:f>
        <x:v>586.416</x:v>
      </x:c>
      <x:c r="J23" s="8" t="n">
        <x:f>'Inputs and sources'!D38</x:f>
        <x:v>0.086</x:v>
      </x:c>
      <x:c r="K23" s="8" t="n">
        <x:f>'Inputs and sources'!E38</x:f>
        <x:v>0.07400000000000001</x:v>
      </x:c>
      <x:c r="L23" s="8" t="n">
        <x:f>'Inputs and sources'!F38</x:f>
        <x:v>0.061</x:v>
      </x:c>
      <x:c r="M23" s="8" t="n">
        <x:f>'Inputs and sources'!G38</x:f>
        <x:v>0.057999999999999996</x:v>
      </x:c>
      <x:c r="N23" s="8" t="n">
        <x:f>'Inputs and sources'!H38</x:f>
        <x:v>0.052000000000000005</x:v>
      </x:c>
      <x:c r="O23" s="8" t="n">
        <x:f>'Inputs and sources'!I38</x:f>
        <x:v>0.048</x:v>
      </x:c>
      <x:c r="P23" s="15" t="n">
        <x:f>'Inputs and sources'!D30</x:f>
        <x:v>6028</x:v>
      </x:c>
      <x:c r="Q23" s="15" t="n">
        <x:f>'Inputs and sources'!E30</x:f>
        <x:v>7595</x:v>
      </x:c>
      <x:c r="R23" s="15" t="n">
        <x:f>'Inputs and sources'!F30</x:f>
        <x:v>8453</x:v>
      </x:c>
      <x:c r="S23" s="15" t="n">
        <x:f>'Inputs and sources'!G30</x:f>
        <x:v>9447</x:v>
      </x:c>
      <x:c r="T23" s="15" t="n">
        <x:f>'Inputs and sources'!H30</x:f>
        <x:v>10675</x:v>
      </x:c>
      <x:c r="U23" s="15" t="n">
        <x:f>'Inputs and sources'!I30</x:f>
        <x:v>12217</x:v>
      </x:c>
      <x:c r="V23" s="7" t="str">
        <x:v>mankind26; mankind26; mankind26; mankind26; mankind26; mankind26 | IQVIA therapy mix is secondary market data; allocation to domestic primary revenue is an estimate, not audited therapy sales. Includes consumer health. BSV acquisition raises FY25/FY26 growth; FY24 onward continuing scope differs from early history.</x:v>
      </x:c>
    </x:row>
    <x:row r="24" ht="19" customHeight="1">
      <x:c r="A24" s="7" t="str">
        <x:v>Pain</x:v>
      </x:c>
      <x:c r="B24" s="7" t="str">
        <x:v>Mankind Pharma</x:v>
      </x:c>
      <x:c r="C24" s="7" t="str">
        <x:v>D3: domestic primary revenue x IQVIA mix (proxy)</x:v>
      </x:c>
      <x:c r="D24" s="15" t="n">
        <x:f>J24*P24</x:f>
        <x:v>325.51200000000006</x:v>
      </x:c>
      <x:c r="E24" s="15" t="n">
        <x:f>K24*Q24</x:f>
        <x:v>410.13000000000005</x:v>
      </x:c>
      <x:c r="F24" s="15" t="n">
        <x:f>L24*R24</x:f>
        <x:v>422.65000000000003</x:v>
      </x:c>
      <x:c r="G24" s="15" t="n">
        <x:f>M24*S24</x:f>
        <x:v>444.009</x:v>
      </x:c>
      <x:c r="H24" s="15" t="n">
        <x:f>N24*T24</x:f>
        <x:v>459.025</x:v>
      </x:c>
      <x:c r="I24" s="15" t="n">
        <x:f>O24*U24</x:f>
        <x:v>464.246</x:v>
      </x:c>
      <x:c r="J24" s="8" t="n">
        <x:f>'Inputs and sources'!D39</x:f>
        <x:v>0.054000000000000006</x:v>
      </x:c>
      <x:c r="K24" s="8" t="n">
        <x:f>'Inputs and sources'!E39</x:f>
        <x:v>0.054000000000000006</x:v>
      </x:c>
      <x:c r="L24" s="8" t="n">
        <x:f>'Inputs and sources'!F39</x:f>
        <x:v>0.05</x:v>
      </x:c>
      <x:c r="M24" s="8" t="n">
        <x:f>'Inputs and sources'!G39</x:f>
        <x:v>0.047</x:v>
      </x:c>
      <x:c r="N24" s="8" t="n">
        <x:f>'Inputs and sources'!H39</x:f>
        <x:v>0.043</x:v>
      </x:c>
      <x:c r="O24" s="8" t="n">
        <x:f>'Inputs and sources'!I39</x:f>
        <x:v>0.038</x:v>
      </x:c>
      <x:c r="P24" s="15" t="n">
        <x:f>'Inputs and sources'!D30</x:f>
        <x:v>6028</x:v>
      </x:c>
      <x:c r="Q24" s="15" t="n">
        <x:f>'Inputs and sources'!E30</x:f>
        <x:v>7595</x:v>
      </x:c>
      <x:c r="R24" s="15" t="n">
        <x:f>'Inputs and sources'!F30</x:f>
        <x:v>8453</x:v>
      </x:c>
      <x:c r="S24" s="15" t="n">
        <x:f>'Inputs and sources'!G30</x:f>
        <x:v>9447</x:v>
      </x:c>
      <x:c r="T24" s="15" t="n">
        <x:f>'Inputs and sources'!H30</x:f>
        <x:v>10675</x:v>
      </x:c>
      <x:c r="U24" s="15" t="n">
        <x:f>'Inputs and sources'!I30</x:f>
        <x:v>12217</x:v>
      </x:c>
      <x:c r="V24" s="7" t="str">
        <x:v>mankind26; mankind26; mankind26; mankind26; mankind26; mankind26 | IQVIA therapy mix is secondary market data; allocation to domestic primary revenue is an estimate, not audited therapy sales. Includes consumer health. BSV acquisition raises FY25/FY26 growth; FY24 onward continuing scope differs from early history.</x:v>
      </x:c>
    </x:row>
    <x:row r="25" ht="19" customHeight="1">
      <x:c r="A25" s="7" t="str">
        <x:v>CNS</x:v>
      </x:c>
      <x:c r="B25" s="7" t="str">
        <x:v>Mankind Pharma</x:v>
      </x:c>
      <x:c r="C25" s="7" t="str">
        <x:v>D3: domestic primary revenue x IQVIA mix (proxy)</x:v>
      </x:c>
      <x:c r="D25" s="15" t="n">
        <x:f>J25*P25</x:f>
        <x:v>192.89600000000002</x:v>
      </x:c>
      <x:c r="E25" s="15" t="n">
        <x:f>K25*Q25</x:f>
        <x:v>220.255</x:v>
      </x:c>
      <x:c r="F25" s="15" t="n">
        <x:f>L25*R25</x:f>
        <x:v>219.77800000000002</x:v>
      </x:c>
      <x:c r="G25" s="15" t="n">
        <x:f>M25*S25</x:f>
        <x:v>245.622</x:v>
      </x:c>
      <x:c r="H25" s="15" t="n">
        <x:f>N25*T25</x:f>
        <x:v>256.2</x:v>
      </x:c>
      <x:c r="I25" s="15" t="n">
        <x:f>O25*U25</x:f>
        <x:v>293.208</x:v>
      </x:c>
      <x:c r="J25" s="8" t="n">
        <x:f>'Inputs and sources'!D40</x:f>
        <x:v>0.032</x:v>
      </x:c>
      <x:c r="K25" s="8" t="n">
        <x:f>'Inputs and sources'!E40</x:f>
        <x:v>0.028999999999999998</x:v>
      </x:c>
      <x:c r="L25" s="8" t="n">
        <x:f>'Inputs and sources'!F40</x:f>
        <x:v>0.026000000000000002</x:v>
      </x:c>
      <x:c r="M25" s="8" t="n">
        <x:f>'Inputs and sources'!G40</x:f>
        <x:v>0.026000000000000002</x:v>
      </x:c>
      <x:c r="N25" s="8" t="n">
        <x:f>'Inputs and sources'!H40</x:f>
        <x:v>0.024</x:v>
      </x:c>
      <x:c r="O25" s="8" t="n">
        <x:f>'Inputs and sources'!I40</x:f>
        <x:v>0.024</x:v>
      </x:c>
      <x:c r="P25" s="15" t="n">
        <x:f>'Inputs and sources'!D30</x:f>
        <x:v>6028</x:v>
      </x:c>
      <x:c r="Q25" s="15" t="n">
        <x:f>'Inputs and sources'!E30</x:f>
        <x:v>7595</x:v>
      </x:c>
      <x:c r="R25" s="15" t="n">
        <x:f>'Inputs and sources'!F30</x:f>
        <x:v>8453</x:v>
      </x:c>
      <x:c r="S25" s="15" t="n">
        <x:f>'Inputs and sources'!G30</x:f>
        <x:v>9447</x:v>
      </x:c>
      <x:c r="T25" s="15" t="n">
        <x:f>'Inputs and sources'!H30</x:f>
        <x:v>10675</x:v>
      </x:c>
      <x:c r="U25" s="15" t="n">
        <x:f>'Inputs and sources'!I30</x:f>
        <x:v>12217</x:v>
      </x:c>
      <x:c r="V25" s="7" t="str">
        <x:v>mankind26; mankind26; mankind26; mankind26; mankind26; mankind26 | IQVIA therapy mix is secondary market data; allocation to domestic primary revenue is an estimate, not audited therapy sales. Includes consumer health. BSV acquisition raises FY25/FY26 growth; FY24 onward continuing scope differs from early history.</x:v>
      </x:c>
    </x:row>
    <x:row r="26" ht="19" customHeight="1">
      <x:c r="A26" s="7" t="str">
        <x:v>Other</x:v>
      </x:c>
      <x:c r="B26" s="7" t="str">
        <x:v>Mankind Pharma</x:v>
      </x:c>
      <x:c r="C26" s="7" t="str">
        <x:v>D3: domestic primary revenue x IQVIA mix (proxy)</x:v>
      </x:c>
      <x:c r="D26" s="15" t="n">
        <x:f>J26*P26</x:f>
        <x:v>783.64</x:v>
      </x:c>
      <x:c r="E26" s="15" t="n">
        <x:f>K26*Q26</x:f>
        <x:v>941.78</x:v>
      </x:c>
      <x:c r="F26" s="15" t="n">
        <x:f>L26*R26</x:f>
        <x:v>1166.5139999999992</x:v>
      </x:c>
      <x:c r="G26" s="15" t="n">
        <x:f>M26*S26</x:f>
        <x:v>1332.0269999999991</x:v>
      </x:c>
      <x:c r="H26" s="15" t="n">
        <x:f>N26*T26</x:f>
        <x:v>1622.6000000000004</x:v>
      </x:c>
      <x:c r="I26" s="15" t="n">
        <x:f>O26*U26</x:f>
        <x:v>1918.0690000000004</x:v>
      </x:c>
      <x:c r="J26" s="8" t="n">
        <x:f>1-SUM(J16,J17,J18,J19,J20,J21,J22,J23,J24,J25)</x:f>
        <x:v>0.13</x:v>
      </x:c>
      <x:c r="K26" s="8" t="n">
        <x:f>1-SUM(K16,K17,K18,K19,K20,K21,K22,K23,K24,K25)</x:f>
        <x:v>0.124</x:v>
      </x:c>
      <x:c r="L26" s="8" t="n">
        <x:f>1-SUM(L16,L17,L18,L19,L20,L21,L22,L23,L24,L25)</x:f>
        <x:v>0.1379999999999999</x:v>
      </x:c>
      <x:c r="M26" s="8" t="n">
        <x:f>1-SUM(M16,M17,M18,M19,M20,M21,M22,M23,M24,M25)</x:f>
        <x:v>0.1409999999999999</x:v>
      </x:c>
      <x:c r="N26" s="8" t="n">
        <x:f>1-SUM(N16,N17,N18,N19,N20,N21,N22,N23,N24,N25)</x:f>
        <x:v>0.15200000000000002</x:v>
      </x:c>
      <x:c r="O26" s="8" t="n">
        <x:f>1-SUM(O16,O17,O18,O19,O20,O21,O22,O23,O24,O25)</x:f>
        <x:v>0.15700000000000003</x:v>
      </x:c>
      <x:c r="P26" s="15" t="n">
        <x:f>'Inputs and sources'!D30</x:f>
        <x:v>6028</x:v>
      </x:c>
      <x:c r="Q26" s="15" t="n">
        <x:f>'Inputs and sources'!E30</x:f>
        <x:v>7595</x:v>
      </x:c>
      <x:c r="R26" s="15" t="n">
        <x:f>'Inputs and sources'!F30</x:f>
        <x:v>8453</x:v>
      </x:c>
      <x:c r="S26" s="15" t="n">
        <x:f>'Inputs and sources'!G30</x:f>
        <x:v>9447</x:v>
      </x:c>
      <x:c r="T26" s="15" t="n">
        <x:f>'Inputs and sources'!H30</x:f>
        <x:v>10675</x:v>
      </x:c>
      <x:c r="U26" s="15" t="n">
        <x:f>'Inputs and sources'!I30</x:f>
        <x:v>12217</x:v>
      </x:c>
      <x:c r="V26" s="7" t="str">
        <x:v>mankind26; mankind26; mankind26; mankind26; mankind26; mankind26 | IQVIA therapy mix is secondary market data; allocation to domestic primary revenue is an estimate, not audited therapy sales. Includes consumer health. BSV acquisition raises FY25/FY26 growth; FY24 onward continuing scope differs from early history.</x:v>
      </x:c>
    </x:row>
    <x:row r="27" ht="19" customHeight="1">
      <x:c r="A27" s="7" t="str">
        <x:v>Cardiac</x:v>
      </x:c>
      <x:c r="B27" s="7" t="str">
        <x:v>Torrent Pharma</x:v>
      </x:c>
      <x:c r="C27" s="7" t="str">
        <x:v>D3: domestic primary revenue x disclosed mix (proxy)</x:v>
      </x:c>
      <x:c r="D27" s="15" t="str">
        <x:v>n.d.</x:v>
      </x:c>
      <x:c r="E27" s="15" t="n">
        <x:f>K27*Q27</x:f>
        <x:v>1242.9399999999998</x:v>
      </x:c>
      <x:c r="F27" s="15" t="n">
        <x:f>L27*R27</x:f>
        <x:v>1345.68</x:v>
      </x:c>
      <x:c r="G27" s="15" t="n">
        <x:f>M27*S27</x:f>
        <x:v>1473.16</x:v>
      </x:c>
      <x:c r="H27" s="15" t="n">
        <x:f>N27*T27</x:f>
        <x:v>1614.393939393939</x:v>
      </x:c>
      <x:c r="I27" s="15" t="n">
        <x:f>O27*U27</x:f>
        <x:v>2369.95</x:v>
      </x:c>
      <x:c r="J27" s="8" t="str">
        <x:v>n.d.</x:v>
      </x:c>
      <x:c r="K27" s="8" t="n">
        <x:f>'Inputs and sources'!E42</x:f>
        <x:v>0.29</x:v>
      </x:c>
      <x:c r="L27" s="8" t="n">
        <x:f>'Inputs and sources'!F42</x:f>
        <x:v>0.27</x:v>
      </x:c>
      <x:c r="M27" s="8" t="n">
        <x:f>'Inputs and sources'!G42</x:f>
        <x:v>0.26</x:v>
      </x:c>
      <x:c r="N27" s="8" t="n">
        <x:f>'Inputs and sources'!H42/SUM('Inputs and sources'!H42,'Inputs and sources'!H43,'Inputs and sources'!H44,'Inputs and sources'!H45,'Inputs and sources'!H46,'Inputs and sources'!H47,'Inputs and sources'!H48,'Inputs and sources'!H49,'Inputs and sources'!H50,'Inputs and sources'!H51,'Inputs and sources'!H52,'Inputs and sources'!H53)</x:f>
        <x:v>0.2525252525252525</x:v>
      </x:c>
      <x:c r="O27" s="8" t="n">
        <x:f>'Inputs and sources'!I42</x:f>
        <x:v>0.31</x:v>
      </x:c>
      <x:c r="P27" s="15" t="str">
        <x:v>n.d.</x:v>
      </x:c>
      <x:c r="Q27" s="15" t="n">
        <x:f>'Inputs and sources'!E41</x:f>
        <x:v>4286</x:v>
      </x:c>
      <x:c r="R27" s="15" t="n">
        <x:f>'Inputs and sources'!F41</x:f>
        <x:v>4984</x:v>
      </x:c>
      <x:c r="S27" s="15" t="n">
        <x:f>'Inputs and sources'!G41</x:f>
        <x:v>5666</x:v>
      </x:c>
      <x:c r="T27" s="15" t="n">
        <x:f>'Inputs and sources'!H41</x:f>
        <x:v>6393</x:v>
      </x:c>
      <x:c r="U27" s="15" t="n">
        <x:f>'Inputs and sources'!I41</x:f>
        <x:v>7645</x:v>
      </x:c>
      <x:c r="V27"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28" ht="19" customHeight="1">
      <x:c r="A28" s="7" t="str">
        <x:v>Gastrointestinal</x:v>
      </x:c>
      <x:c r="B28" s="7" t="str">
        <x:v>Torrent Pharma</x:v>
      </x:c>
      <x:c r="C28" s="7" t="str">
        <x:v>D3: domestic primary revenue x disclosed mix (proxy)</x:v>
      </x:c>
      <x:c r="D28" s="15" t="str">
        <x:v>n.d.</x:v>
      </x:c>
      <x:c r="E28" s="15" t="n">
        <x:f>K28*Q28</x:f>
        <x:v>771.48</x:v>
      </x:c>
      <x:c r="F28" s="15" t="n">
        <x:f>L28*R28</x:f>
        <x:v>847.2800000000001</x:v>
      </x:c>
      <x:c r="G28" s="15" t="n">
        <x:f>M28*S28</x:f>
        <x:v>963.22</x:v>
      </x:c>
      <x:c r="H28" s="15" t="n">
        <x:f>N28*T28</x:f>
        <x:v>1097.7878787878788</x:v>
      </x:c>
      <x:c r="I28" s="15" t="n">
        <x:f>O28*U28</x:f>
        <x:v>1605.45</x:v>
      </x:c>
      <x:c r="J28" s="8" t="str">
        <x:v>n.d.</x:v>
      </x:c>
      <x:c r="K28" s="8" t="n">
        <x:f>'Inputs and sources'!E43</x:f>
        <x:v>0.18</x:v>
      </x:c>
      <x:c r="L28" s="8" t="n">
        <x:f>'Inputs and sources'!F43</x:f>
        <x:v>0.17</x:v>
      </x:c>
      <x:c r="M28" s="8" t="n">
        <x:f>'Inputs and sources'!G43</x:f>
        <x:v>0.17</x:v>
      </x:c>
      <x:c r="N28" s="8" t="n">
        <x:f>'Inputs and sources'!H43/SUM('Inputs and sources'!H42,'Inputs and sources'!H43,'Inputs and sources'!H44,'Inputs and sources'!H45,'Inputs and sources'!H46,'Inputs and sources'!H47,'Inputs and sources'!H48,'Inputs and sources'!H49,'Inputs and sources'!H50,'Inputs and sources'!H51,'Inputs and sources'!H52,'Inputs and sources'!H53)</x:f>
        <x:v>0.1717171717171717</x:v>
      </x:c>
      <x:c r="O28" s="8" t="n">
        <x:f>'Inputs and sources'!I43</x:f>
        <x:v>0.21</x:v>
      </x:c>
      <x:c r="P28" s="15" t="str">
        <x:v>n.d.</x:v>
      </x:c>
      <x:c r="Q28" s="15" t="n">
        <x:f>'Inputs and sources'!E41</x:f>
        <x:v>4286</x:v>
      </x:c>
      <x:c r="R28" s="15" t="n">
        <x:f>'Inputs and sources'!F41</x:f>
        <x:v>4984</x:v>
      </x:c>
      <x:c r="S28" s="15" t="n">
        <x:f>'Inputs and sources'!G41</x:f>
        <x:v>5666</x:v>
      </x:c>
      <x:c r="T28" s="15" t="n">
        <x:f>'Inputs and sources'!H41</x:f>
        <x:v>6393</x:v>
      </x:c>
      <x:c r="U28" s="15" t="n">
        <x:f>'Inputs and sources'!I41</x:f>
        <x:v>7645</x:v>
      </x:c>
      <x:c r="V28"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29" ht="19" customHeight="1">
      <x:c r="A29" s="7" t="str">
        <x:v>CNS</x:v>
      </x:c>
      <x:c r="B29" s="7" t="str">
        <x:v>Torrent Pharma</x:v>
      </x:c>
      <x:c r="C29" s="7" t="str">
        <x:v>D3: domestic primary revenue x disclosed mix (proxy)</x:v>
      </x:c>
      <x:c r="D29" s="15" t="str">
        <x:v>n.d.</x:v>
      </x:c>
      <x:c r="E29" s="15" t="n">
        <x:f>K29*Q29</x:f>
        <x:v>642.9</x:v>
      </x:c>
      <x:c r="F29" s="15" t="n">
        <x:f>L29*R29</x:f>
        <x:v>747.6</x:v>
      </x:c>
      <x:c r="G29" s="15" t="n">
        <x:f>M29*S29</x:f>
        <x:v>849.9</x:v>
      </x:c>
      <x:c r="H29" s="15" t="n">
        <x:f>N29*T29</x:f>
        <x:v>968.6363636363635</x:v>
      </x:c>
      <x:c r="I29" s="15" t="n">
        <x:f>O29*U29</x:f>
        <x:v>917.4</x:v>
      </x:c>
      <x:c r="J29" s="8" t="str">
        <x:v>n.d.</x:v>
      </x:c>
      <x:c r="K29" s="8" t="n">
        <x:f>'Inputs and sources'!E44</x:f>
        <x:v>0.15</x:v>
      </x:c>
      <x:c r="L29" s="8" t="n">
        <x:f>'Inputs and sources'!F44</x:f>
        <x:v>0.15</x:v>
      </x:c>
      <x:c r="M29" s="8" t="n">
        <x:f>'Inputs and sources'!G44</x:f>
        <x:v>0.15</x:v>
      </x:c>
      <x:c r="N29" s="8" t="n">
        <x:f>'Inputs and sources'!H44/SUM('Inputs and sources'!H42,'Inputs and sources'!H43,'Inputs and sources'!H44,'Inputs and sources'!H45,'Inputs and sources'!H46,'Inputs and sources'!H47,'Inputs and sources'!H48,'Inputs and sources'!H49,'Inputs and sources'!H50,'Inputs and sources'!H51,'Inputs and sources'!H52,'Inputs and sources'!H53)</x:f>
        <x:v>0.1515151515151515</x:v>
      </x:c>
      <x:c r="O29" s="8" t="n">
        <x:f>'Inputs and sources'!I44</x:f>
        <x:v>0.12</x:v>
      </x:c>
      <x:c r="P29" s="15" t="str">
        <x:v>n.d.</x:v>
      </x:c>
      <x:c r="Q29" s="15" t="n">
        <x:f>'Inputs and sources'!E41</x:f>
        <x:v>4286</x:v>
      </x:c>
      <x:c r="R29" s="15" t="n">
        <x:f>'Inputs and sources'!F41</x:f>
        <x:v>4984</x:v>
      </x:c>
      <x:c r="S29" s="15" t="n">
        <x:f>'Inputs and sources'!G41</x:f>
        <x:v>5666</x:v>
      </x:c>
      <x:c r="T29" s="15" t="n">
        <x:f>'Inputs and sources'!H41</x:f>
        <x:v>6393</x:v>
      </x:c>
      <x:c r="U29" s="15" t="n">
        <x:f>'Inputs and sources'!I41</x:f>
        <x:v>7645</x:v>
      </x:c>
      <x:c r="V29"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30" ht="19" customHeight="1">
      <x:c r="A30" s="7" t="str">
        <x:v>Vitamins / minerals</x:v>
      </x:c>
      <x:c r="B30" s="7" t="str">
        <x:v>Torrent Pharma</x:v>
      </x:c>
      <x:c r="C30" s="7" t="str">
        <x:v>D3: domestic primary revenue x disclosed mix (proxy)</x:v>
      </x:c>
      <x:c r="D30" s="15" t="str">
        <x:v>n.d.</x:v>
      </x:c>
      <x:c r="E30" s="15" t="n">
        <x:f>K30*Q30</x:f>
        <x:v>557.1800000000001</x:v>
      </x:c>
      <x:c r="F30" s="15" t="n">
        <x:f>L30*R30</x:f>
        <x:v>598.0799999999999</x:v>
      </x:c>
      <x:c r="G30" s="15" t="n">
        <x:f>M30*S30</x:f>
        <x:v>679.92</x:v>
      </x:c>
      <x:c r="H30" s="15" t="n">
        <x:f>N30*T30</x:f>
        <x:v>710.3333333333333</x:v>
      </x:c>
      <x:c r="I30" s="15" t="n">
        <x:f>O30*U30</x:f>
        <x:v>688.05</x:v>
      </x:c>
      <x:c r="J30" s="8" t="str">
        <x:v>n.d.</x:v>
      </x:c>
      <x:c r="K30" s="8" t="n">
        <x:f>'Inputs and sources'!E45</x:f>
        <x:v>0.13</x:v>
      </x:c>
      <x:c r="L30" s="8" t="n">
        <x:f>'Inputs and sources'!F45</x:f>
        <x:v>0.12</x:v>
      </x:c>
      <x:c r="M30" s="8" t="n">
        <x:f>'Inputs and sources'!G45</x:f>
        <x:v>0.12</x:v>
      </x:c>
      <x:c r="N30" s="8" t="n">
        <x:f>'Inputs and sources'!H45/SUM('Inputs and sources'!H42,'Inputs and sources'!H43,'Inputs and sources'!H44,'Inputs and sources'!H45,'Inputs and sources'!H46,'Inputs and sources'!H47,'Inputs and sources'!H48,'Inputs and sources'!H49,'Inputs and sources'!H50,'Inputs and sources'!H51,'Inputs and sources'!H52,'Inputs and sources'!H53)</x:f>
        <x:v>0.1111111111111111</x:v>
      </x:c>
      <x:c r="O30" s="8" t="n">
        <x:f>'Inputs and sources'!I45</x:f>
        <x:v>0.09</x:v>
      </x:c>
      <x:c r="P30" s="15" t="str">
        <x:v>n.d.</x:v>
      </x:c>
      <x:c r="Q30" s="15" t="n">
        <x:f>'Inputs and sources'!E41</x:f>
        <x:v>4286</x:v>
      </x:c>
      <x:c r="R30" s="15" t="n">
        <x:f>'Inputs and sources'!F41</x:f>
        <x:v>4984</x:v>
      </x:c>
      <x:c r="S30" s="15" t="n">
        <x:f>'Inputs and sources'!G41</x:f>
        <x:v>5666</x:v>
      </x:c>
      <x:c r="T30" s="15" t="n">
        <x:f>'Inputs and sources'!H41</x:f>
        <x:v>6393</x:v>
      </x:c>
      <x:c r="U30" s="15" t="n">
        <x:f>'Inputs and sources'!I41</x:f>
        <x:v>7645</x:v>
      </x:c>
      <x:c r="V30"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31" ht="19" customHeight="1">
      <x:c r="A31" s="7" t="str">
        <x:v>Diabetes</x:v>
      </x:c>
      <x:c r="B31" s="7" t="str">
        <x:v>Torrent Pharma</x:v>
      </x:c>
      <x:c r="C31" s="7" t="str">
        <x:v>D3: domestic primary revenue x disclosed mix (proxy)</x:v>
      </x:c>
      <x:c r="D31" s="15" t="str">
        <x:v>n.d.</x:v>
      </x:c>
      <x:c r="E31" s="15" t="n">
        <x:f>K31*Q31</x:f>
        <x:v>385.74</x:v>
      </x:c>
      <x:c r="F31" s="15" t="n">
        <x:f>L31*R31</x:f>
        <x:v>448.56</x:v>
      </x:c>
      <x:c r="G31" s="15" t="n">
        <x:f>M31*S31</x:f>
        <x:v>509.94</x:v>
      </x:c>
      <x:c r="H31" s="15" t="n">
        <x:f>N31*T31</x:f>
        <x:v>645.7575757575758</x:v>
      </x:c>
      <x:c r="I31" s="15" t="n">
        <x:f>O31*U31</x:f>
        <x:v>535.1500000000001</x:v>
      </x:c>
      <x:c r="J31" s="8" t="str">
        <x:v>n.d.</x:v>
      </x:c>
      <x:c r="K31" s="8" t="n">
        <x:f>'Inputs and sources'!E46</x:f>
        <x:v>0.09</x:v>
      </x:c>
      <x:c r="L31" s="8" t="n">
        <x:f>'Inputs and sources'!F46</x:f>
        <x:v>0.09</x:v>
      </x:c>
      <x:c r="M31" s="8" t="n">
        <x:f>'Inputs and sources'!G46</x:f>
        <x:v>0.09</x:v>
      </x:c>
      <x:c r="N31" s="8" t="n">
        <x:f>'Inputs and sources'!H46/SUM('Inputs and sources'!H42,'Inputs and sources'!H43,'Inputs and sources'!H44,'Inputs and sources'!H45,'Inputs and sources'!H46,'Inputs and sources'!H47,'Inputs and sources'!H48,'Inputs and sources'!H49,'Inputs and sources'!H50,'Inputs and sources'!H51,'Inputs and sources'!H52,'Inputs and sources'!H53)</x:f>
        <x:v>0.10101010101010101</x:v>
      </x:c>
      <x:c r="O31" s="8" t="n">
        <x:f>'Inputs and sources'!I46</x:f>
        <x:v>0.07</x:v>
      </x:c>
      <x:c r="P31" s="15" t="str">
        <x:v>n.d.</x:v>
      </x:c>
      <x:c r="Q31" s="15" t="n">
        <x:f>'Inputs and sources'!E41</x:f>
        <x:v>4286</x:v>
      </x:c>
      <x:c r="R31" s="15" t="n">
        <x:f>'Inputs and sources'!F41</x:f>
        <x:v>4984</x:v>
      </x:c>
      <x:c r="S31" s="15" t="n">
        <x:f>'Inputs and sources'!G41</x:f>
        <x:v>5666</x:v>
      </x:c>
      <x:c r="T31" s="15" t="n">
        <x:f>'Inputs and sources'!H41</x:f>
        <x:v>6393</x:v>
      </x:c>
      <x:c r="U31" s="15" t="n">
        <x:f>'Inputs and sources'!I41</x:f>
        <x:v>7645</x:v>
      </x:c>
      <x:c r="V31"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32" ht="19" customHeight="1">
      <x:c r="A32" s="7" t="str">
        <x:v>Pain</x:v>
      </x:c>
      <x:c r="B32" s="7" t="str">
        <x:v>Torrent Pharma</x:v>
      </x:c>
      <x:c r="C32" s="7" t="str">
        <x:v>D3: domestic primary revenue x disclosed mix (proxy)</x:v>
      </x:c>
      <x:c r="D32" s="15" t="str">
        <x:v>n.d.</x:v>
      </x:c>
      <x:c r="E32" s="15" t="n">
        <x:f>K32*Q32</x:f>
        <x:v>257.15999999999997</x:v>
      </x:c>
      <x:c r="F32" s="15" t="n">
        <x:f>L32*R32</x:f>
        <x:v>299.03999999999996</x:v>
      </x:c>
      <x:c r="G32" s="15" t="n">
        <x:f>M32*S32</x:f>
        <x:v>396.62000000000006</x:v>
      </x:c>
      <x:c r="H32" s="15" t="n">
        <x:f>N32*T32</x:f>
        <x:v>452.030303030303</x:v>
      </x:c>
      <x:c r="I32" s="15" t="n">
        <x:f>O32*U32</x:f>
        <x:v>382.25</x:v>
      </x:c>
      <x:c r="J32" s="8" t="str">
        <x:v>n.d.</x:v>
      </x:c>
      <x:c r="K32" s="8" t="n">
        <x:f>'Inputs and sources'!E47</x:f>
        <x:v>0.06</x:v>
      </x:c>
      <x:c r="L32" s="8" t="n">
        <x:f>'Inputs and sources'!F47</x:f>
        <x:v>0.06</x:v>
      </x:c>
      <x:c r="M32" s="8" t="n">
        <x:f>'Inputs and sources'!G47</x:f>
        <x:v>0.07</x:v>
      </x:c>
      <x:c r="N32" s="8" t="n">
        <x:f>'Inputs and sources'!H47/SUM('Inputs and sources'!H42,'Inputs and sources'!H43,'Inputs and sources'!H44,'Inputs and sources'!H45,'Inputs and sources'!H46,'Inputs and sources'!H47,'Inputs and sources'!H48,'Inputs and sources'!H49,'Inputs and sources'!H50,'Inputs and sources'!H51,'Inputs and sources'!H52,'Inputs and sources'!H53)</x:f>
        <x:v>0.0707070707070707</x:v>
      </x:c>
      <x:c r="O32" s="8" t="n">
        <x:f>'Inputs and sources'!I47</x:f>
        <x:v>0.05</x:v>
      </x:c>
      <x:c r="P32" s="15" t="str">
        <x:v>n.d.</x:v>
      </x:c>
      <x:c r="Q32" s="15" t="n">
        <x:f>'Inputs and sources'!E41</x:f>
        <x:v>4286</x:v>
      </x:c>
      <x:c r="R32" s="15" t="n">
        <x:f>'Inputs and sources'!F41</x:f>
        <x:v>4984</x:v>
      </x:c>
      <x:c r="S32" s="15" t="n">
        <x:f>'Inputs and sources'!G41</x:f>
        <x:v>5666</x:v>
      </x:c>
      <x:c r="T32" s="15" t="n">
        <x:f>'Inputs and sources'!H41</x:f>
        <x:v>6393</x:v>
      </x:c>
      <x:c r="U32" s="15" t="n">
        <x:f>'Inputs and sources'!I41</x:f>
        <x:v>7645</x:v>
      </x:c>
      <x:c r="V32"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33" ht="19" customHeight="1">
      <x:c r="A33" s="7" t="str">
        <x:v>Anti-infectives</x:v>
      </x:c>
      <x:c r="B33" s="7" t="str">
        <x:v>Torrent Pharma</x:v>
      </x:c>
      <x:c r="C33" s="7" t="str">
        <x:v>D3: domestic primary revenue x disclosed mix (proxy)</x:v>
      </x:c>
      <x:c r="D33" s="15" t="str">
        <x:v>n.d.</x:v>
      </x:c>
      <x:c r="E33" s="15" t="n">
        <x:f>K33*Q33</x:f>
        <x:v>171.44</x:v>
      </x:c>
      <x:c r="F33" s="15" t="n">
        <x:f>L33*R33</x:f>
        <x:v>149.51999999999998</x:v>
      </x:c>
      <x:c r="G33" s="15" t="n">
        <x:f>M33*S33</x:f>
        <x:v>169.98</x:v>
      </x:c>
      <x:c r="H33" s="15" t="n">
        <x:f>N33*T33</x:f>
        <x:v>129.15151515151513</x:v>
      </x:c>
      <x:c r="I33" s="15" t="n">
        <x:f>O33*U33</x:f>
        <x:v>152.9</x:v>
      </x:c>
      <x:c r="J33" s="8" t="str">
        <x:v>n.d.</x:v>
      </x:c>
      <x:c r="K33" s="8" t="n">
        <x:f>'Inputs and sources'!E48</x:f>
        <x:v>0.04</x:v>
      </x:c>
      <x:c r="L33" s="8" t="n">
        <x:f>'Inputs and sources'!F48</x:f>
        <x:v>0.03</x:v>
      </x:c>
      <x:c r="M33" s="8" t="n">
        <x:f>'Inputs and sources'!G48</x:f>
        <x:v>0.03</x:v>
      </x:c>
      <x:c r="N33" s="8" t="n">
        <x:f>'Inputs and sources'!H48/SUM('Inputs and sources'!H42,'Inputs and sources'!H43,'Inputs and sources'!H44,'Inputs and sources'!H45,'Inputs and sources'!H46,'Inputs and sources'!H47,'Inputs and sources'!H48,'Inputs and sources'!H49,'Inputs and sources'!H50,'Inputs and sources'!H51,'Inputs and sources'!H52,'Inputs and sources'!H53)</x:f>
        <x:v>0.0202020202020202</x:v>
      </x:c>
      <x:c r="O33" s="8" t="n">
        <x:f>'Inputs and sources'!I48</x:f>
        <x:v>0.02</x:v>
      </x:c>
      <x:c r="P33" s="15" t="str">
        <x:v>n.d.</x:v>
      </x:c>
      <x:c r="Q33" s="15" t="n">
        <x:f>'Inputs and sources'!E41</x:f>
        <x:v>4286</x:v>
      </x:c>
      <x:c r="R33" s="15" t="n">
        <x:f>'Inputs and sources'!F41</x:f>
        <x:v>4984</x:v>
      </x:c>
      <x:c r="S33" s="15" t="n">
        <x:f>'Inputs and sources'!G41</x:f>
        <x:v>5666</x:v>
      </x:c>
      <x:c r="T33" s="15" t="n">
        <x:f>'Inputs and sources'!H41</x:f>
        <x:v>6393</x:v>
      </x:c>
      <x:c r="U33" s="15" t="n">
        <x:f>'Inputs and sources'!I41</x:f>
        <x:v>7645</x:v>
      </x:c>
      <x:c r="V33"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34" ht="19" customHeight="1">
      <x:c r="A34" s="7" t="str">
        <x:v>Dermatology</x:v>
      </x:c>
      <x:c r="B34" s="7" t="str">
        <x:v>Torrent Pharma</x:v>
      </x:c>
      <x:c r="C34" s="7" t="str">
        <x:v>D3: domestic primary revenue x disclosed mix (proxy)</x:v>
      </x:c>
      <x:c r="D34" s="15" t="str">
        <x:v>n.d.</x:v>
      </x:c>
      <x:c r="E34" s="15" t="str">
        <x:v>n.d.</x:v>
      </x:c>
      <x:c r="F34" s="15" t="n">
        <x:f>L34*R34</x:f>
        <x:v>348.88000000000005</x:v>
      </x:c>
      <x:c r="G34" s="15" t="n">
        <x:f>M34*S34</x:f>
        <x:v>396.62000000000006</x:v>
      </x:c>
      <x:c r="H34" s="15" t="n">
        <x:f>N34*T34</x:f>
        <x:v>516.6060606060605</x:v>
      </x:c>
      <x:c r="I34" s="15" t="n">
        <x:f>O34*U34</x:f>
        <x:v>535.1500000000001</x:v>
      </x:c>
      <x:c r="J34" s="8" t="str">
        <x:v>n.d.</x:v>
      </x:c>
      <x:c r="K34" s="8" t="str">
        <x:v>n.d.</x:v>
      </x:c>
      <x:c r="L34" s="8" t="n">
        <x:f>'Inputs and sources'!F49</x:f>
        <x:v>0.07</x:v>
      </x:c>
      <x:c r="M34" s="8" t="n">
        <x:f>'Inputs and sources'!G49</x:f>
        <x:v>0.07</x:v>
      </x:c>
      <x:c r="N34" s="8" t="n">
        <x:f>'Inputs and sources'!H49/SUM('Inputs and sources'!H42,'Inputs and sources'!H43,'Inputs and sources'!H44,'Inputs and sources'!H45,'Inputs and sources'!H46,'Inputs and sources'!H47,'Inputs and sources'!H48,'Inputs and sources'!H49,'Inputs and sources'!H50,'Inputs and sources'!H51,'Inputs and sources'!H52,'Inputs and sources'!H53)</x:f>
        <x:v>0.0808080808080808</x:v>
      </x:c>
      <x:c r="O34" s="8" t="n">
        <x:f>'Inputs and sources'!I49</x:f>
        <x:v>0.07</x:v>
      </x:c>
      <x:c r="P34" s="15" t="str">
        <x:v>n.d.</x:v>
      </x:c>
      <x:c r="Q34" s="15" t="n">
        <x:f>'Inputs and sources'!E41</x:f>
        <x:v>4286</x:v>
      </x:c>
      <x:c r="R34" s="15" t="n">
        <x:f>'Inputs and sources'!F41</x:f>
        <x:v>4984</x:v>
      </x:c>
      <x:c r="S34" s="15" t="n">
        <x:f>'Inputs and sources'!G41</x:f>
        <x:v>5666</x:v>
      </x:c>
      <x:c r="T34" s="15" t="n">
        <x:f>'Inputs and sources'!H41</x:f>
        <x:v>6393</x:v>
      </x:c>
      <x:c r="U34" s="15" t="n">
        <x:f>'Inputs and sources'!I41</x:f>
        <x:v>7645</x:v>
      </x:c>
      <x:c r="V34"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35" ht="19" customHeight="1">
      <x:c r="A35" s="7" t="str">
        <x:v>Women's health</x:v>
      </x:c>
      <x:c r="B35" s="7" t="str">
        <x:v>Torrent Pharma</x:v>
      </x:c>
      <x:c r="C35" s="7" t="str">
        <x:v>D3: domestic primary revenue x disclosed mix (proxy)</x:v>
      </x:c>
      <x:c r="D35" s="15" t="str">
        <x:v>n.d.</x:v>
      </x:c>
      <x:c r="E35" s="15" t="str">
        <x:v>n.d.</x:v>
      </x:c>
      <x:c r="F35" s="15" t="n">
        <x:f>L35*R35</x:f>
        <x:v>99.68</x:v>
      </x:c>
      <x:c r="G35" s="15" t="n">
        <x:f>M35*S35</x:f>
        <x:v>113.32000000000001</x:v>
      </x:c>
      <x:c r="H35" s="15" t="n">
        <x:f>N35*T35</x:f>
        <x:v>129.15151515151513</x:v>
      </x:c>
      <x:c r="I35" s="15" t="n">
        <x:f>O35*U35</x:f>
        <x:v>152.9</x:v>
      </x:c>
      <x:c r="J35" s="8" t="str">
        <x:v>n.d.</x:v>
      </x:c>
      <x:c r="K35" s="8" t="str">
        <x:v>n.d.</x:v>
      </x:c>
      <x:c r="L35" s="8" t="n">
        <x:f>'Inputs and sources'!F50</x:f>
        <x:v>0.02</x:v>
      </x:c>
      <x:c r="M35" s="8" t="n">
        <x:f>'Inputs and sources'!G50</x:f>
        <x:v>0.02</x:v>
      </x:c>
      <x:c r="N35" s="8" t="n">
        <x:f>'Inputs and sources'!H50/SUM('Inputs and sources'!H42,'Inputs and sources'!H43,'Inputs and sources'!H44,'Inputs and sources'!H45,'Inputs and sources'!H46,'Inputs and sources'!H47,'Inputs and sources'!H48,'Inputs and sources'!H49,'Inputs and sources'!H50,'Inputs and sources'!H51,'Inputs and sources'!H52,'Inputs and sources'!H53)</x:f>
        <x:v>0.0202020202020202</x:v>
      </x:c>
      <x:c r="O35" s="8" t="n">
        <x:f>'Inputs and sources'!I50</x:f>
        <x:v>0.02</x:v>
      </x:c>
      <x:c r="P35" s="15" t="str">
        <x:v>n.d.</x:v>
      </x:c>
      <x:c r="Q35" s="15" t="n">
        <x:f>'Inputs and sources'!E41</x:f>
        <x:v>4286</x:v>
      </x:c>
      <x:c r="R35" s="15" t="n">
        <x:f>'Inputs and sources'!F41</x:f>
        <x:v>4984</x:v>
      </x:c>
      <x:c r="S35" s="15" t="n">
        <x:f>'Inputs and sources'!G41</x:f>
        <x:v>5666</x:v>
      </x:c>
      <x:c r="T35" s="15" t="n">
        <x:f>'Inputs and sources'!H41</x:f>
        <x:v>6393</x:v>
      </x:c>
      <x:c r="U35" s="15" t="n">
        <x:f>'Inputs and sources'!I41</x:f>
        <x:v>7645</x:v>
      </x:c>
      <x:c r="V35"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36" ht="19" customHeight="1">
      <x:c r="A36" s="7" t="str">
        <x:v>Ophthalmology</x:v>
      </x:c>
      <x:c r="B36" s="7" t="str">
        <x:v>Torrent Pharma</x:v>
      </x:c>
      <x:c r="C36" s="7" t="str">
        <x:v>D3: domestic primary revenue x disclosed mix (proxy)</x:v>
      </x:c>
      <x:c r="D36" s="15" t="str">
        <x:v>n.d.</x:v>
      </x:c>
      <x:c r="E36" s="15" t="str">
        <x:v>n.d.</x:v>
      </x:c>
      <x:c r="F36" s="15" t="str">
        <x:v>n.d.</x:v>
      </x:c>
      <x:c r="G36" s="15" t="str">
        <x:v>n.d.</x:v>
      </x:c>
      <x:c r="H36" s="15" t="str">
        <x:v>n.d.</x:v>
      </x:c>
      <x:c r="I36" s="15" t="n">
        <x:f>O36*U36</x:f>
        <x:v>76.45</x:v>
      </x:c>
      <x:c r="J36" s="8" t="str">
        <x:v>n.d.</x:v>
      </x:c>
      <x:c r="K36" s="8" t="str">
        <x:v>n.d.</x:v>
      </x:c>
      <x:c r="L36" s="8" t="str">
        <x:v>n.d.</x:v>
      </x:c>
      <x:c r="M36" s="8" t="str">
        <x:v>n.d.</x:v>
      </x:c>
      <x:c r="N36" s="8" t="str">
        <x:v>n.d.</x:v>
      </x:c>
      <x:c r="O36" s="8" t="n">
        <x:f>'Inputs and sources'!I51</x:f>
        <x:v>0.01</x:v>
      </x:c>
      <x:c r="P36" s="15" t="str">
        <x:v>n.d.</x:v>
      </x:c>
      <x:c r="Q36" s="15" t="n">
        <x:f>'Inputs and sources'!E41</x:f>
        <x:v>4286</x:v>
      </x:c>
      <x:c r="R36" s="15" t="n">
        <x:f>'Inputs and sources'!F41</x:f>
        <x:v>4984</x:v>
      </x:c>
      <x:c r="S36" s="15" t="n">
        <x:f>'Inputs and sources'!G41</x:f>
        <x:v>5666</x:v>
      </x:c>
      <x:c r="T36" s="15" t="n">
        <x:f>'Inputs and sources'!H41</x:f>
        <x:v>6393</x:v>
      </x:c>
      <x:c r="U36" s="15" t="n">
        <x:f>'Inputs and sources'!I41</x:f>
        <x:v>7645</x:v>
      </x:c>
      <x:c r="V36"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37" ht="19" customHeight="1">
      <x:c r="A37" s="7" t="str">
        <x:v>Urology</x:v>
      </x:c>
      <x:c r="B37" s="7" t="str">
        <x:v>Torrent Pharma</x:v>
      </x:c>
      <x:c r="C37" s="7" t="str">
        <x:v>D3: domestic primary revenue x disclosed mix (proxy)</x:v>
      </x:c>
      <x:c r="D37" s="15" t="str">
        <x:v>n.d.</x:v>
      </x:c>
      <x:c r="E37" s="15" t="str">
        <x:v>n.d.</x:v>
      </x:c>
      <x:c r="F37" s="15" t="str">
        <x:v>n.d.</x:v>
      </x:c>
      <x:c r="G37" s="15" t="str">
        <x:v>n.d.</x:v>
      </x:c>
      <x:c r="H37" s="15" t="str">
        <x:v>n.d.</x:v>
      </x:c>
      <x:c r="I37" s="15" t="n">
        <x:f>O37*U37</x:f>
        <x:v>76.45</x:v>
      </x:c>
      <x:c r="J37" s="8" t="str">
        <x:v>n.d.</x:v>
      </x:c>
      <x:c r="K37" s="8" t="str">
        <x:v>n.d.</x:v>
      </x:c>
      <x:c r="L37" s="8" t="str">
        <x:v>n.d.</x:v>
      </x:c>
      <x:c r="M37" s="8" t="str">
        <x:v>n.d.</x:v>
      </x:c>
      <x:c r="N37" s="8" t="str">
        <x:v>n.d.</x:v>
      </x:c>
      <x:c r="O37" s="8" t="n">
        <x:f>'Inputs and sources'!I52</x:f>
        <x:v>0.01</x:v>
      </x:c>
      <x:c r="P37" s="15" t="str">
        <x:v>n.d.</x:v>
      </x:c>
      <x:c r="Q37" s="15" t="n">
        <x:f>'Inputs and sources'!E41</x:f>
        <x:v>4286</x:v>
      </x:c>
      <x:c r="R37" s="15" t="n">
        <x:f>'Inputs and sources'!F41</x:f>
        <x:v>4984</x:v>
      </x:c>
      <x:c r="S37" s="15" t="n">
        <x:f>'Inputs and sources'!G41</x:f>
        <x:v>5666</x:v>
      </x:c>
      <x:c r="T37" s="15" t="n">
        <x:f>'Inputs and sources'!H41</x:f>
        <x:v>6393</x:v>
      </x:c>
      <x:c r="U37" s="15" t="n">
        <x:f>'Inputs and sources'!I41</x:f>
        <x:v>7645</x:v>
      </x:c>
      <x:c r="V37"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38" ht="19" customHeight="1">
      <x:c r="A38" s="7" t="str">
        <x:v>Other</x:v>
      </x:c>
      <x:c r="B38" s="7" t="str">
        <x:v>Torrent Pharma</x:v>
      </x:c>
      <x:c r="C38" s="7" t="str">
        <x:v>D3: domestic primary revenue x disclosed mix (proxy)</x:v>
      </x:c>
      <x:c r="D38" s="15" t="str">
        <x:v>n.d.</x:v>
      </x:c>
      <x:c r="E38" s="15" t="n">
        <x:f>K38*Q38</x:f>
        <x:v>257.15999999999997</x:v>
      </x:c>
      <x:c r="F38" s="15" t="n">
        <x:f>L38*R38</x:f>
        <x:v>99.68</x:v>
      </x:c>
      <x:c r="G38" s="15" t="n">
        <x:f>M38*S38</x:f>
        <x:v>113.32000000000001</x:v>
      </x:c>
      <x:c r="H38" s="15" t="n">
        <x:f>N38*T38</x:f>
        <x:v>129.15151515151513</x:v>
      </x:c>
      <x:c r="I38" s="15" t="n">
        <x:f>O38*U38</x:f>
        <x:v>152.9</x:v>
      </x:c>
      <x:c r="J38" s="8" t="str">
        <x:v>n.d.</x:v>
      </x:c>
      <x:c r="K38" s="8" t="n">
        <x:f>'Inputs and sources'!E53</x:f>
        <x:v>0.06</x:v>
      </x:c>
      <x:c r="L38" s="8" t="n">
        <x:f>'Inputs and sources'!F53</x:f>
        <x:v>0.02</x:v>
      </x:c>
      <x:c r="M38" s="8" t="n">
        <x:f>'Inputs and sources'!G53</x:f>
        <x:v>0.02</x:v>
      </x:c>
      <x:c r="N38" s="8" t="n">
        <x:f>'Inputs and sources'!H53/SUM('Inputs and sources'!H42,'Inputs and sources'!H43,'Inputs and sources'!H44,'Inputs and sources'!H45,'Inputs and sources'!H46,'Inputs and sources'!H47,'Inputs and sources'!H48,'Inputs and sources'!H49,'Inputs and sources'!H50,'Inputs and sources'!H51,'Inputs and sources'!H52,'Inputs and sources'!H53)</x:f>
        <x:v>0.0202020202020202</x:v>
      </x:c>
      <x:c r="O38" s="8" t="n">
        <x:f>'Inputs and sources'!I53</x:f>
        <x:v>0.02</x:v>
      </x:c>
      <x:c r="P38" s="15" t="str">
        <x:v>n.d.</x:v>
      </x:c>
      <x:c r="Q38" s="15" t="n">
        <x:f>'Inputs and sources'!E41</x:f>
        <x:v>4286</x:v>
      </x:c>
      <x:c r="R38" s="15" t="n">
        <x:f>'Inputs and sources'!F41</x:f>
        <x:v>4984</x:v>
      </x:c>
      <x:c r="S38" s="15" t="n">
        <x:f>'Inputs and sources'!G41</x:f>
        <x:v>5666</x:v>
      </x:c>
      <x:c r="T38" s="15" t="n">
        <x:f>'Inputs and sources'!H41</x:f>
        <x:v>6393</x:v>
      </x:c>
      <x:c r="U38" s="15" t="n">
        <x:f>'Inputs and sources'!I41</x:f>
        <x:v>7645</x:v>
      </x:c>
      <x:c r="V38" s="7" t="str">
        <x:v>torrent22; torrent22; torrent23; torrent24; torrent25; torrent26 | FY26 includes JB from 21 Jan 2026 and changes portfolio mix; no organic bridge. FY22 derma/gynae are in Other; FY26 ophthal/urology newly separated. FY25 disclosed rounded mix sums to 99%; normalized to 100% for sales allocation.</x:v>
      </x:c>
    </x:row>
    <x:row r="39" ht="19" customHeight="1">
      <x:c r="A39" s="7" t="str">
        <x:v>Cardiac</x:v>
      </x:c>
      <x:c r="B39" s="7" t="str">
        <x:v>Sun Pharma</x:v>
      </x:c>
      <x:c r="C39" s="7" t="str">
        <x:v>D3: India revenue x disclosed mix (proxy)</x:v>
      </x:c>
      <x:c r="D39" s="15" t="str">
        <x:v>n.d.</x:v>
      </x:c>
      <x:c r="E39" s="15" t="n">
        <x:f>K39*Q39</x:f>
        <x:v>2169.081</x:v>
      </x:c>
      <x:c r="F39" s="15" t="n">
        <x:f>L39*R39</x:f>
        <x:v>2448.558</x:v>
      </x:c>
      <x:c r="G39" s="15" t="n">
        <x:f>M39*S39</x:f>
        <x:v>2531.181</x:v>
      </x:c>
      <x:c r="H39" s="15" t="n">
        <x:f>N39*T39</x:f>
        <x:v>2876.9100000000003</x:v>
      </x:c>
      <x:c r="I39" s="15" t="n">
        <x:f>O39*U39</x:f>
        <x:v>3279.3680000000004</x:v>
      </x:c>
      <x:c r="J39" s="8" t="str">
        <x:v>n.d.</x:v>
      </x:c>
      <x:c r="K39" s="8" t="n">
        <x:f>'Inputs and sources'!E55</x:f>
        <x:v>0.17</x:v>
      </x:c>
      <x:c r="L39" s="8" t="n">
        <x:f>'Inputs and sources'!F55</x:f>
        <x:v>0.18</x:v>
      </x:c>
      <x:c r="M39" s="8" t="n">
        <x:f>'Inputs and sources'!G55</x:f>
        <x:v>0.17</x:v>
      </x:c>
      <x:c r="N39" s="8" t="n">
        <x:f>'Inputs and sources'!H55</x:f>
        <x:v>0.17</x:v>
      </x:c>
      <x:c r="O39" s="8" t="n">
        <x:f>'Inputs and sources'!I55</x:f>
        <x:v>0.17</x:v>
      </x:c>
      <x:c r="P39" s="15" t="str">
        <x:v>n.d.</x:v>
      </x:c>
      <x:c r="Q39" s="15" t="n">
        <x:f>'Inputs and sources'!E54</x:f>
        <x:v>12759.3</x:v>
      </x:c>
      <x:c r="R39" s="15" t="n">
        <x:f>'Inputs and sources'!F54</x:f>
        <x:v>13603.1</x:v>
      </x:c>
      <x:c r="S39" s="15" t="n">
        <x:f>'Inputs and sources'!G54</x:f>
        <x:v>14889.3</x:v>
      </x:c>
      <x:c r="T39" s="15" t="n">
        <x:f>'Inputs and sources'!H54</x:f>
        <x:v>16923</x:v>
      </x:c>
      <x:c r="U39" s="15" t="n">
        <x:f>'Inputs and sources'!I54</x:f>
        <x:v>19290.4</x:v>
      </x:c>
      <x:c r="V39"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40" ht="19" customHeight="1">
      <x:c r="A40" s="7" t="str">
        <x:v>CNS</x:v>
      </x:c>
      <x:c r="B40" s="7" t="str">
        <x:v>Sun Pharma</x:v>
      </x:c>
      <x:c r="C40" s="7" t="str">
        <x:v>D3: India revenue x disclosed mix (proxy)</x:v>
      </x:c>
      <x:c r="D40" s="15" t="str">
        <x:v>n.d.</x:v>
      </x:c>
      <x:c r="E40" s="15" t="n">
        <x:f>K40*Q40</x:f>
        <x:v>2041.4879999999998</x:v>
      </x:c>
      <x:c r="F40" s="15" t="n">
        <x:f>L40*R40</x:f>
        <x:v>2176.496</x:v>
      </x:c>
      <x:c r="G40" s="15" t="n">
        <x:f>M40*S40</x:f>
        <x:v>2382.288</x:v>
      </x:c>
      <x:c r="H40" s="15" t="n">
        <x:f>N40*T40</x:f>
        <x:v>3384.6000000000004</x:v>
      </x:c>
      <x:c r="I40" s="15" t="n">
        <x:f>O40*U40</x:f>
        <x:v>3665.1760000000004</x:v>
      </x:c>
      <x:c r="J40" s="8" t="str">
        <x:v>n.d.</x:v>
      </x:c>
      <x:c r="K40" s="8" t="n">
        <x:f>'Inputs and sources'!E56</x:f>
        <x:v>0.16</x:v>
      </x:c>
      <x:c r="L40" s="8" t="n">
        <x:f>'Inputs and sources'!F56</x:f>
        <x:v>0.16</x:v>
      </x:c>
      <x:c r="M40" s="8" t="n">
        <x:f>'Inputs and sources'!G56</x:f>
        <x:v>0.16</x:v>
      </x:c>
      <x:c r="N40" s="8" t="n">
        <x:f>'Inputs and sources'!H56</x:f>
        <x:v>0.2</x:v>
      </x:c>
      <x:c r="O40" s="8" t="n">
        <x:f>'Inputs and sources'!I56</x:f>
        <x:v>0.19</x:v>
      </x:c>
      <x:c r="P40" s="15" t="str">
        <x:v>n.d.</x:v>
      </x:c>
      <x:c r="Q40" s="15" t="n">
        <x:f>'Inputs and sources'!E54</x:f>
        <x:v>12759.3</x:v>
      </x:c>
      <x:c r="R40" s="15" t="n">
        <x:f>'Inputs and sources'!F54</x:f>
        <x:v>13603.1</x:v>
      </x:c>
      <x:c r="S40" s="15" t="n">
        <x:f>'Inputs and sources'!G54</x:f>
        <x:v>14889.3</x:v>
      </x:c>
      <x:c r="T40" s="15" t="n">
        <x:f>'Inputs and sources'!H54</x:f>
        <x:v>16923</x:v>
      </x:c>
      <x:c r="U40" s="15" t="n">
        <x:f>'Inputs and sources'!I54</x:f>
        <x:v>19290.4</x:v>
      </x:c>
      <x:c r="V40"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41" ht="19" customHeight="1">
      <x:c r="A41" s="7" t="str">
        <x:v>Gastrointestinal</x:v>
      </x:c>
      <x:c r="B41" s="7" t="str">
        <x:v>Sun Pharma</x:v>
      </x:c>
      <x:c r="C41" s="7" t="str">
        <x:v>D3: India revenue x disclosed mix (proxy)</x:v>
      </x:c>
      <x:c r="D41" s="15" t="str">
        <x:v>n.d.</x:v>
      </x:c>
      <x:c r="E41" s="15" t="n">
        <x:f>K41*Q41</x:f>
        <x:v>1531.1159999999998</x:v>
      </x:c>
      <x:c r="F41" s="15" t="n">
        <x:f>L41*R41</x:f>
        <x:v>1632.372</x:v>
      </x:c>
      <x:c r="G41" s="15" t="n">
        <x:f>M41*S41</x:f>
        <x:v>1786.716</x:v>
      </x:c>
      <x:c r="H41" s="15" t="n">
        <x:f>N41*T41</x:f>
        <x:v>2369.2200000000003</x:v>
      </x:c>
      <x:c r="I41" s="15" t="n">
        <x:f>O41*U41</x:f>
        <x:v>2700.6560000000004</x:v>
      </x:c>
      <x:c r="J41" s="8" t="str">
        <x:v>n.d.</x:v>
      </x:c>
      <x:c r="K41" s="8" t="n">
        <x:f>'Inputs and sources'!E57</x:f>
        <x:v>0.12</x:v>
      </x:c>
      <x:c r="L41" s="8" t="n">
        <x:f>'Inputs and sources'!F57</x:f>
        <x:v>0.12</x:v>
      </x:c>
      <x:c r="M41" s="8" t="n">
        <x:f>'Inputs and sources'!G57</x:f>
        <x:v>0.12</x:v>
      </x:c>
      <x:c r="N41" s="8" t="n">
        <x:f>'Inputs and sources'!H57</x:f>
        <x:v>0.14</x:v>
      </x:c>
      <x:c r="O41" s="8" t="n">
        <x:f>'Inputs and sources'!I57</x:f>
        <x:v>0.14</x:v>
      </x:c>
      <x:c r="P41" s="15" t="str">
        <x:v>n.d.</x:v>
      </x:c>
      <x:c r="Q41" s="15" t="n">
        <x:f>'Inputs and sources'!E54</x:f>
        <x:v>12759.3</x:v>
      </x:c>
      <x:c r="R41" s="15" t="n">
        <x:f>'Inputs and sources'!F54</x:f>
        <x:v>13603.1</x:v>
      </x:c>
      <x:c r="S41" s="15" t="n">
        <x:f>'Inputs and sources'!G54</x:f>
        <x:v>14889.3</x:v>
      </x:c>
      <x:c r="T41" s="15" t="n">
        <x:f>'Inputs and sources'!H54</x:f>
        <x:v>16923</x:v>
      </x:c>
      <x:c r="U41" s="15" t="n">
        <x:f>'Inputs and sources'!I54</x:f>
        <x:v>19290.4</x:v>
      </x:c>
      <x:c r="V41"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42" ht="19" customHeight="1">
      <x:c r="A42" s="7" t="str">
        <x:v>Anti-infectives</x:v>
      </x:c>
      <x:c r="B42" s="7" t="str">
        <x:v>Sun Pharma</x:v>
      </x:c>
      <x:c r="C42" s="7" t="str">
        <x:v>D3: India revenue x disclosed mix (proxy)</x:v>
      </x:c>
      <x:c r="D42" s="15" t="str">
        <x:v>n.d.</x:v>
      </x:c>
      <x:c r="E42" s="15" t="n">
        <x:f>K42*Q42</x:f>
        <x:v>1403.523</x:v>
      </x:c>
      <x:c r="F42" s="15" t="n">
        <x:f>L42*R42</x:f>
        <x:v>1496.3410000000001</x:v>
      </x:c>
      <x:c r="G42" s="15" t="n">
        <x:f>M42*S42</x:f>
        <x:v>1637.8229999999999</x:v>
      </x:c>
      <x:c r="H42" s="15" t="n">
        <x:f>N42*T42</x:f>
        <x:v>1015.38</x:v>
      </x:c>
      <x:c r="I42" s="15" t="n">
        <x:f>O42*U42</x:f>
        <x:v>1157.424</x:v>
      </x:c>
      <x:c r="J42" s="8" t="str">
        <x:v>n.d.</x:v>
      </x:c>
      <x:c r="K42" s="8" t="n">
        <x:f>'Inputs and sources'!E58</x:f>
        <x:v>0.11</x:v>
      </x:c>
      <x:c r="L42" s="8" t="n">
        <x:f>'Inputs and sources'!F58</x:f>
        <x:v>0.11</x:v>
      </x:c>
      <x:c r="M42" s="8" t="n">
        <x:f>'Inputs and sources'!G58</x:f>
        <x:v>0.11</x:v>
      </x:c>
      <x:c r="N42" s="8" t="n">
        <x:f>'Inputs and sources'!H58</x:f>
        <x:v>0.06</x:v>
      </x:c>
      <x:c r="O42" s="8" t="n">
        <x:f>'Inputs and sources'!I58</x:f>
        <x:v>0.06</x:v>
      </x:c>
      <x:c r="P42" s="15" t="str">
        <x:v>n.d.</x:v>
      </x:c>
      <x:c r="Q42" s="15" t="n">
        <x:f>'Inputs and sources'!E54</x:f>
        <x:v>12759.3</x:v>
      </x:c>
      <x:c r="R42" s="15" t="n">
        <x:f>'Inputs and sources'!F54</x:f>
        <x:v>13603.1</x:v>
      </x:c>
      <x:c r="S42" s="15" t="n">
        <x:f>'Inputs and sources'!G54</x:f>
        <x:v>14889.3</x:v>
      </x:c>
      <x:c r="T42" s="15" t="n">
        <x:f>'Inputs and sources'!H54</x:f>
        <x:v>16923</x:v>
      </x:c>
      <x:c r="U42" s="15" t="n">
        <x:f>'Inputs and sources'!I54</x:f>
        <x:v>19290.4</x:v>
      </x:c>
      <x:c r="V42"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43" ht="19" customHeight="1">
      <x:c r="A43" s="7" t="str">
        <x:v>Diabetes</x:v>
      </x:c>
      <x:c r="B43" s="7" t="str">
        <x:v>Sun Pharma</x:v>
      </x:c>
      <x:c r="C43" s="7" t="str">
        <x:v>D3: India revenue x disclosed mix (proxy)</x:v>
      </x:c>
      <x:c r="D43" s="15" t="str">
        <x:v>n.d.</x:v>
      </x:c>
      <x:c r="E43" s="15" t="n">
        <x:f>K43*Q43</x:f>
        <x:v>1020.7439999999999</x:v>
      </x:c>
      <x:c r="F43" s="15" t="n">
        <x:f>L43*R43</x:f>
        <x:v>952.2170000000001</x:v>
      </x:c>
      <x:c r="G43" s="15" t="n">
        <x:f>M43*S43</x:f>
        <x:v>1042.251</x:v>
      </x:c>
      <x:c r="H43" s="15" t="n">
        <x:f>N43*T43</x:f>
        <x:v>1353.84</x:v>
      </x:c>
      <x:c r="I43" s="15" t="n">
        <x:f>O43*U43</x:f>
        <x:v>1736.136</x:v>
      </x:c>
      <x:c r="J43" s="8" t="str">
        <x:v>n.d.</x:v>
      </x:c>
      <x:c r="K43" s="8" t="n">
        <x:f>'Inputs and sources'!E59</x:f>
        <x:v>0.08</x:v>
      </x:c>
      <x:c r="L43" s="8" t="n">
        <x:f>'Inputs and sources'!F59</x:f>
        <x:v>0.07</x:v>
      </x:c>
      <x:c r="M43" s="8" t="n">
        <x:f>'Inputs and sources'!G59</x:f>
        <x:v>0.07</x:v>
      </x:c>
      <x:c r="N43" s="8" t="n">
        <x:f>'Inputs and sources'!H59</x:f>
        <x:v>0.08</x:v>
      </x:c>
      <x:c r="O43" s="8" t="n">
        <x:f>'Inputs and sources'!I59</x:f>
        <x:v>0.09</x:v>
      </x:c>
      <x:c r="P43" s="15" t="str">
        <x:v>n.d.</x:v>
      </x:c>
      <x:c r="Q43" s="15" t="n">
        <x:f>'Inputs and sources'!E54</x:f>
        <x:v>12759.3</x:v>
      </x:c>
      <x:c r="R43" s="15" t="n">
        <x:f>'Inputs and sources'!F54</x:f>
        <x:v>13603.1</x:v>
      </x:c>
      <x:c r="S43" s="15" t="n">
        <x:f>'Inputs and sources'!G54</x:f>
        <x:v>14889.3</x:v>
      </x:c>
      <x:c r="T43" s="15" t="n">
        <x:f>'Inputs and sources'!H54</x:f>
        <x:v>16923</x:v>
      </x:c>
      <x:c r="U43" s="15" t="n">
        <x:f>'Inputs and sources'!I54</x:f>
        <x:v>19290.4</x:v>
      </x:c>
      <x:c r="V43"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44" ht="19" customHeight="1">
      <x:c r="A44" s="7" t="str">
        <x:v>Pain</x:v>
      </x:c>
      <x:c r="B44" s="7" t="str">
        <x:v>Sun Pharma</x:v>
      </x:c>
      <x:c r="C44" s="7" t="str">
        <x:v>D3: India revenue x disclosed mix (proxy)</x:v>
      </x:c>
      <x:c r="D44" s="15" t="str">
        <x:v>n.d.</x:v>
      </x:c>
      <x:c r="E44" s="15" t="n">
        <x:f>K44*Q44</x:f>
        <x:v>893.1510000000001</x:v>
      </x:c>
      <x:c r="F44" s="15" t="n">
        <x:f>L44*R44</x:f>
        <x:v>952.2170000000001</x:v>
      </x:c>
      <x:c r="G44" s="15" t="n">
        <x:f>M44*S44</x:f>
        <x:v>1191.144</x:v>
      </x:c>
      <x:c r="H44" s="15" t="n">
        <x:f>N44*T44</x:f>
        <x:v>1184.6100000000001</x:v>
      </x:c>
      <x:c r="I44" s="15" t="n">
        <x:f>O44*U44</x:f>
        <x:v>1350.3280000000002</x:v>
      </x:c>
      <x:c r="J44" s="8" t="str">
        <x:v>n.d.</x:v>
      </x:c>
      <x:c r="K44" s="8" t="n">
        <x:f>'Inputs and sources'!E60</x:f>
        <x:v>0.07</x:v>
      </x:c>
      <x:c r="L44" s="8" t="n">
        <x:f>'Inputs and sources'!F60</x:f>
        <x:v>0.07</x:v>
      </x:c>
      <x:c r="M44" s="8" t="n">
        <x:f>'Inputs and sources'!G60</x:f>
        <x:v>0.08</x:v>
      </x:c>
      <x:c r="N44" s="8" t="n">
        <x:f>'Inputs and sources'!H60</x:f>
        <x:v>0.07</x:v>
      </x:c>
      <x:c r="O44" s="8" t="n">
        <x:f>'Inputs and sources'!I60</x:f>
        <x:v>0.07</x:v>
      </x:c>
      <x:c r="P44" s="15" t="str">
        <x:v>n.d.</x:v>
      </x:c>
      <x:c r="Q44" s="15" t="n">
        <x:f>'Inputs and sources'!E54</x:f>
        <x:v>12759.3</x:v>
      </x:c>
      <x:c r="R44" s="15" t="n">
        <x:f>'Inputs and sources'!F54</x:f>
        <x:v>13603.1</x:v>
      </x:c>
      <x:c r="S44" s="15" t="n">
        <x:f>'Inputs and sources'!G54</x:f>
        <x:v>14889.3</x:v>
      </x:c>
      <x:c r="T44" s="15" t="n">
        <x:f>'Inputs and sources'!H54</x:f>
        <x:v>16923</x:v>
      </x:c>
      <x:c r="U44" s="15" t="n">
        <x:f>'Inputs and sources'!I54</x:f>
        <x:v>19290.4</x:v>
      </x:c>
      <x:c r="V44"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45" ht="19" customHeight="1">
      <x:c r="A45" s="7" t="str">
        <x:v>Dermatology</x:v>
      </x:c>
      <x:c r="B45" s="7" t="str">
        <x:v>Sun Pharma</x:v>
      </x:c>
      <x:c r="C45" s="7" t="str">
        <x:v>D3: India revenue x disclosed mix (proxy)</x:v>
      </x:c>
      <x:c r="D45" s="15" t="str">
        <x:v>n.d.</x:v>
      </x:c>
      <x:c r="E45" s="15" t="n">
        <x:f>K45*Q45</x:f>
        <x:v>765.5579999999999</x:v>
      </x:c>
      <x:c r="F45" s="15" t="n">
        <x:f>L45*R45</x:f>
        <x:v>816.186</x:v>
      </x:c>
      <x:c r="G45" s="15" t="n">
        <x:f>M45*S45</x:f>
        <x:v>893.358</x:v>
      </x:c>
      <x:c r="H45" s="15" t="n">
        <x:f>N45*T45</x:f>
        <x:v>676.92</x:v>
      </x:c>
      <x:c r="I45" s="15" t="n">
        <x:f>O45*U45</x:f>
        <x:v>771.6160000000001</x:v>
      </x:c>
      <x:c r="J45" s="8" t="str">
        <x:v>n.d.</x:v>
      </x:c>
      <x:c r="K45" s="8" t="n">
        <x:f>'Inputs and sources'!E61</x:f>
        <x:v>0.06</x:v>
      </x:c>
      <x:c r="L45" s="8" t="n">
        <x:f>'Inputs and sources'!F61</x:f>
        <x:v>0.06</x:v>
      </x:c>
      <x:c r="M45" s="8" t="n">
        <x:f>'Inputs and sources'!G61</x:f>
        <x:v>0.06</x:v>
      </x:c>
      <x:c r="N45" s="8" t="n">
        <x:f>'Inputs and sources'!H61</x:f>
        <x:v>0.04</x:v>
      </x:c>
      <x:c r="O45" s="8" t="n">
        <x:f>'Inputs and sources'!I61</x:f>
        <x:v>0.04</x:v>
      </x:c>
      <x:c r="P45" s="15" t="str">
        <x:v>n.d.</x:v>
      </x:c>
      <x:c r="Q45" s="15" t="n">
        <x:f>'Inputs and sources'!E54</x:f>
        <x:v>12759.3</x:v>
      </x:c>
      <x:c r="R45" s="15" t="n">
        <x:f>'Inputs and sources'!F54</x:f>
        <x:v>13603.1</x:v>
      </x:c>
      <x:c r="S45" s="15" t="n">
        <x:f>'Inputs and sources'!G54</x:f>
        <x:v>14889.3</x:v>
      </x:c>
      <x:c r="T45" s="15" t="n">
        <x:f>'Inputs and sources'!H54</x:f>
        <x:v>16923</x:v>
      </x:c>
      <x:c r="U45" s="15" t="n">
        <x:f>'Inputs and sources'!I54</x:f>
        <x:v>19290.4</x:v>
      </x:c>
      <x:c r="V45"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46" ht="19" customHeight="1">
      <x:c r="A46" s="7" t="str">
        <x:v>Respiratory</x:v>
      </x:c>
      <x:c r="B46" s="7" t="str">
        <x:v>Sun Pharma</x:v>
      </x:c>
      <x:c r="C46" s="7" t="str">
        <x:v>D3: India revenue x disclosed mix (proxy)</x:v>
      </x:c>
      <x:c r="D46" s="15" t="str">
        <x:v>n.d.</x:v>
      </x:c>
      <x:c r="E46" s="15" t="n">
        <x:f>K46*Q46</x:f>
        <x:v>637.965</x:v>
      </x:c>
      <x:c r="F46" s="15" t="n">
        <x:f>L46*R46</x:f>
        <x:v>680.1550000000001</x:v>
      </x:c>
      <x:c r="G46" s="15" t="n">
        <x:f>M46*S46</x:f>
        <x:v>744.465</x:v>
      </x:c>
      <x:c r="H46" s="15" t="n">
        <x:f>N46*T46</x:f>
        <x:v>846.1500000000001</x:v>
      </x:c>
      <x:c r="I46" s="15" t="n">
        <x:f>O46*U46</x:f>
        <x:v>964.5200000000001</x:v>
      </x:c>
      <x:c r="J46" s="8" t="str">
        <x:v>n.d.</x:v>
      </x:c>
      <x:c r="K46" s="8" t="n">
        <x:f>'Inputs and sources'!E62</x:f>
        <x:v>0.05</x:v>
      </x:c>
      <x:c r="L46" s="8" t="n">
        <x:f>'Inputs and sources'!F62</x:f>
        <x:v>0.05</x:v>
      </x:c>
      <x:c r="M46" s="8" t="n">
        <x:f>'Inputs and sources'!G62</x:f>
        <x:v>0.05</x:v>
      </x:c>
      <x:c r="N46" s="8" t="n">
        <x:f>'Inputs and sources'!H62</x:f>
        <x:v>0.05</x:v>
      </x:c>
      <x:c r="O46" s="8" t="n">
        <x:f>'Inputs and sources'!I62</x:f>
        <x:v>0.05</x:v>
      </x:c>
      <x:c r="P46" s="15" t="str">
        <x:v>n.d.</x:v>
      </x:c>
      <x:c r="Q46" s="15" t="n">
        <x:f>'Inputs and sources'!E54</x:f>
        <x:v>12759.3</x:v>
      </x:c>
      <x:c r="R46" s="15" t="n">
        <x:f>'Inputs and sources'!F54</x:f>
        <x:v>13603.1</x:v>
      </x:c>
      <x:c r="S46" s="15" t="n">
        <x:f>'Inputs and sources'!G54</x:f>
        <x:v>14889.3</x:v>
      </x:c>
      <x:c r="T46" s="15" t="n">
        <x:f>'Inputs and sources'!H54</x:f>
        <x:v>16923</x:v>
      </x:c>
      <x:c r="U46" s="15" t="n">
        <x:f>'Inputs and sources'!I54</x:f>
        <x:v>19290.4</x:v>
      </x:c>
      <x:c r="V46"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47" ht="19" customHeight="1">
      <x:c r="A47" s="7" t="str">
        <x:v>Vitamins / minerals</x:v>
      </x:c>
      <x:c r="B47" s="7" t="str">
        <x:v>Sun Pharma</x:v>
      </x:c>
      <x:c r="C47" s="7" t="str">
        <x:v>D3: India revenue x disclosed mix (proxy)</x:v>
      </x:c>
      <x:c r="D47" s="15" t="str">
        <x:v>n.d.</x:v>
      </x:c>
      <x:c r="E47" s="15" t="n">
        <x:f>K47*Q47</x:f>
        <x:v>637.965</x:v>
      </x:c>
      <x:c r="F47" s="15" t="n">
        <x:f>L47*R47</x:f>
        <x:v>680.1550000000001</x:v>
      </x:c>
      <x:c r="G47" s="15" t="n">
        <x:f>M47*S47</x:f>
        <x:v>744.465</x:v>
      </x:c>
      <x:c r="H47" s="15" t="n">
        <x:f>N47*T47</x:f>
        <x:v>846.1500000000001</x:v>
      </x:c>
      <x:c r="I47" s="15" t="n">
        <x:f>O47*U47</x:f>
        <x:v>964.5200000000001</x:v>
      </x:c>
      <x:c r="J47" s="8" t="str">
        <x:v>n.d.</x:v>
      </x:c>
      <x:c r="K47" s="8" t="n">
        <x:f>'Inputs and sources'!E63</x:f>
        <x:v>0.05</x:v>
      </x:c>
      <x:c r="L47" s="8" t="n">
        <x:f>'Inputs and sources'!F63</x:f>
        <x:v>0.05</x:v>
      </x:c>
      <x:c r="M47" s="8" t="n">
        <x:f>'Inputs and sources'!G63</x:f>
        <x:v>0.05</x:v>
      </x:c>
      <x:c r="N47" s="8" t="n">
        <x:f>'Inputs and sources'!H63</x:f>
        <x:v>0.05</x:v>
      </x:c>
      <x:c r="O47" s="8" t="n">
        <x:f>'Inputs and sources'!I63</x:f>
        <x:v>0.05</x:v>
      </x:c>
      <x:c r="P47" s="15" t="str">
        <x:v>n.d.</x:v>
      </x:c>
      <x:c r="Q47" s="15" t="n">
        <x:f>'Inputs and sources'!E54</x:f>
        <x:v>12759.3</x:v>
      </x:c>
      <x:c r="R47" s="15" t="n">
        <x:f>'Inputs and sources'!F54</x:f>
        <x:v>13603.1</x:v>
      </x:c>
      <x:c r="S47" s="15" t="n">
        <x:f>'Inputs and sources'!G54</x:f>
        <x:v>14889.3</x:v>
      </x:c>
      <x:c r="T47" s="15" t="n">
        <x:f>'Inputs and sources'!H54</x:f>
        <x:v>16923</x:v>
      </x:c>
      <x:c r="U47" s="15" t="n">
        <x:f>'Inputs and sources'!I54</x:f>
        <x:v>19290.4</x:v>
      </x:c>
      <x:c r="V47"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48" ht="19" customHeight="1">
      <x:c r="A48" s="7" t="str">
        <x:v>Women's health</x:v>
      </x:c>
      <x:c r="B48" s="7" t="str">
        <x:v>Sun Pharma</x:v>
      </x:c>
      <x:c r="C48" s="7" t="str">
        <x:v>D3: India revenue x disclosed mix (proxy)</x:v>
      </x:c>
      <x:c r="D48" s="15" t="str">
        <x:v>n.d.</x:v>
      </x:c>
      <x:c r="E48" s="15" t="n">
        <x:f>K48*Q48</x:f>
        <x:v>510.37199999999996</x:v>
      </x:c>
      <x:c r="F48" s="15" t="n">
        <x:f>L48*R48</x:f>
        <x:v>408.093</x:v>
      </x:c>
      <x:c r="G48" s="15" t="n">
        <x:f>M48*S48</x:f>
        <x:v>446.679</x:v>
      </x:c>
      <x:c r="H48" s="15" t="n">
        <x:f>N48*T48</x:f>
        <x:v>676.92</x:v>
      </x:c>
      <x:c r="I48" s="15" t="n">
        <x:f>O48*U48</x:f>
        <x:v>771.6160000000001</x:v>
      </x:c>
      <x:c r="J48" s="8" t="str">
        <x:v>n.d.</x:v>
      </x:c>
      <x:c r="K48" s="8" t="n">
        <x:f>'Inputs and sources'!E64</x:f>
        <x:v>0.04</x:v>
      </x:c>
      <x:c r="L48" s="8" t="n">
        <x:f>'Inputs and sources'!F64</x:f>
        <x:v>0.03</x:v>
      </x:c>
      <x:c r="M48" s="8" t="n">
        <x:f>'Inputs and sources'!G64</x:f>
        <x:v>0.03</x:v>
      </x:c>
      <x:c r="N48" s="8" t="n">
        <x:f>'Inputs and sources'!H64</x:f>
        <x:v>0.04</x:v>
      </x:c>
      <x:c r="O48" s="8" t="n">
        <x:f>'Inputs and sources'!I64</x:f>
        <x:v>0.04</x:v>
      </x:c>
      <x:c r="P48" s="15" t="str">
        <x:v>n.d.</x:v>
      </x:c>
      <x:c r="Q48" s="15" t="n">
        <x:f>'Inputs and sources'!E54</x:f>
        <x:v>12759.3</x:v>
      </x:c>
      <x:c r="R48" s="15" t="n">
        <x:f>'Inputs and sources'!F54</x:f>
        <x:v>13603.1</x:v>
      </x:c>
      <x:c r="S48" s="15" t="n">
        <x:f>'Inputs and sources'!G54</x:f>
        <x:v>14889.3</x:v>
      </x:c>
      <x:c r="T48" s="15" t="n">
        <x:f>'Inputs and sources'!H54</x:f>
        <x:v>16923</x:v>
      </x:c>
      <x:c r="U48" s="15" t="n">
        <x:f>'Inputs and sources'!I54</x:f>
        <x:v>19290.4</x:v>
      </x:c>
      <x:c r="V48"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49" ht="19" customHeight="1">
      <x:c r="A49" s="7" t="str">
        <x:v>Urology</x:v>
      </x:c>
      <x:c r="B49" s="7" t="str">
        <x:v>Sun Pharma</x:v>
      </x:c>
      <x:c r="C49" s="7" t="str">
        <x:v>D3: India revenue x disclosed mix (proxy)</x:v>
      </x:c>
      <x:c r="D49" s="15" t="str">
        <x:v>n.d.</x:v>
      </x:c>
      <x:c r="E49" s="15" t="n">
        <x:f>K49*Q49</x:f>
        <x:v>382.77899999999994</x:v>
      </x:c>
      <x:c r="F49" s="15" t="n">
        <x:f>L49*R49</x:f>
        <x:v>544.124</x:v>
      </x:c>
      <x:c r="G49" s="15" t="n">
        <x:f>M49*S49</x:f>
        <x:v>595.572</x:v>
      </x:c>
      <x:c r="H49" s="15" t="n">
        <x:f>N49*T49</x:f>
        <x:v>507.69</x:v>
      </x:c>
      <x:c r="I49" s="15" t="n">
        <x:f>O49*U49</x:f>
        <x:v>578.712</x:v>
      </x:c>
      <x:c r="J49" s="8" t="str">
        <x:v>n.d.</x:v>
      </x:c>
      <x:c r="K49" s="8" t="n">
        <x:f>'Inputs and sources'!E65</x:f>
        <x:v>0.03</x:v>
      </x:c>
      <x:c r="L49" s="8" t="n">
        <x:f>'Inputs and sources'!F65</x:f>
        <x:v>0.04</x:v>
      </x:c>
      <x:c r="M49" s="8" t="n">
        <x:f>'Inputs and sources'!G65</x:f>
        <x:v>0.04</x:v>
      </x:c>
      <x:c r="N49" s="8" t="n">
        <x:f>'Inputs and sources'!H65</x:f>
        <x:v>0.03</x:v>
      </x:c>
      <x:c r="O49" s="8" t="n">
        <x:f>'Inputs and sources'!I65</x:f>
        <x:v>0.03</x:v>
      </x:c>
      <x:c r="P49" s="15" t="str">
        <x:v>n.d.</x:v>
      </x:c>
      <x:c r="Q49" s="15" t="n">
        <x:f>'Inputs and sources'!E54</x:f>
        <x:v>12759.3</x:v>
      </x:c>
      <x:c r="R49" s="15" t="n">
        <x:f>'Inputs and sources'!F54</x:f>
        <x:v>13603.1</x:v>
      </x:c>
      <x:c r="S49" s="15" t="n">
        <x:f>'Inputs and sources'!G54</x:f>
        <x:v>14889.3</x:v>
      </x:c>
      <x:c r="T49" s="15" t="n">
        <x:f>'Inputs and sources'!H54</x:f>
        <x:v>16923</x:v>
      </x:c>
      <x:c r="U49" s="15" t="n">
        <x:f>'Inputs and sources'!I54</x:f>
        <x:v>19290.4</x:v>
      </x:c>
      <x:c r="V49"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50" ht="19" customHeight="1">
      <x:c r="A50" s="7" t="str">
        <x:v>Ophthalmology</x:v>
      </x:c>
      <x:c r="B50" s="7" t="str">
        <x:v>Sun Pharma</x:v>
      </x:c>
      <x:c r="C50" s="7" t="str">
        <x:v>D3: India revenue x disclosed mix (proxy)</x:v>
      </x:c>
      <x:c r="D50" s="15" t="str">
        <x:v>n.d.</x:v>
      </x:c>
      <x:c r="E50" s="15" t="n">
        <x:f>K50*Q50</x:f>
        <x:v>255.18599999999998</x:v>
      </x:c>
      <x:c r="F50" s="15" t="n">
        <x:f>L50*R50</x:f>
        <x:v>272.062</x:v>
      </x:c>
      <x:c r="G50" s="15" t="n">
        <x:f>M50*S50</x:f>
        <x:v>446.679</x:v>
      </x:c>
      <x:c r="H50" s="15" t="n">
        <x:f>N50*T50</x:f>
        <x:v>507.69</x:v>
      </x:c>
      <x:c r="I50" s="15" t="n">
        <x:f>O50*U50</x:f>
        <x:v>578.712</x:v>
      </x:c>
      <x:c r="J50" s="8" t="str">
        <x:v>n.d.</x:v>
      </x:c>
      <x:c r="K50" s="8" t="n">
        <x:f>'Inputs and sources'!E66</x:f>
        <x:v>0.02</x:v>
      </x:c>
      <x:c r="L50" s="8" t="n">
        <x:f>'Inputs and sources'!F66</x:f>
        <x:v>0.02</x:v>
      </x:c>
      <x:c r="M50" s="8" t="n">
        <x:f>'Inputs and sources'!G66</x:f>
        <x:v>0.03</x:v>
      </x:c>
      <x:c r="N50" s="8" t="n">
        <x:f>'Inputs and sources'!H66</x:f>
        <x:v>0.03</x:v>
      </x:c>
      <x:c r="O50" s="8" t="n">
        <x:f>'Inputs and sources'!I66</x:f>
        <x:v>0.03</x:v>
      </x:c>
      <x:c r="P50" s="15" t="str">
        <x:v>n.d.</x:v>
      </x:c>
      <x:c r="Q50" s="15" t="n">
        <x:f>'Inputs and sources'!E54</x:f>
        <x:v>12759.3</x:v>
      </x:c>
      <x:c r="R50" s="15" t="n">
        <x:f>'Inputs and sources'!F54</x:f>
        <x:v>13603.1</x:v>
      </x:c>
      <x:c r="S50" s="15" t="n">
        <x:f>'Inputs and sources'!G54</x:f>
        <x:v>14889.3</x:v>
      </x:c>
      <x:c r="T50" s="15" t="n">
        <x:f>'Inputs and sources'!H54</x:f>
        <x:v>16923</x:v>
      </x:c>
      <x:c r="U50" s="15" t="n">
        <x:f>'Inputs and sources'!I54</x:f>
        <x:v>19290.4</x:v>
      </x:c>
      <x:c r="V50"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51" ht="19" customHeight="1">
      <x:c r="A51" s="7" t="str">
        <x:v>Other</x:v>
      </x:c>
      <x:c r="B51" s="7" t="str">
        <x:v>Sun Pharma</x:v>
      </x:c>
      <x:c r="C51" s="7" t="str">
        <x:v>D3: India revenue x disclosed mix (proxy)</x:v>
      </x:c>
      <x:c r="D51" s="15" t="str">
        <x:v>n.d.</x:v>
      </x:c>
      <x:c r="E51" s="15" t="n">
        <x:f>K51*Q51</x:f>
        <x:v>510.37199999999996</x:v>
      </x:c>
      <x:c r="F51" s="15" t="n">
        <x:f>L51*R51</x:f>
        <x:v>544.124</x:v>
      </x:c>
      <x:c r="G51" s="15" t="n">
        <x:f>M51*S51</x:f>
        <x:v>446.679</x:v>
      </x:c>
      <x:c r="H51" s="15" t="n">
        <x:f>N51*T51</x:f>
        <x:v>676.92</x:v>
      </x:c>
      <x:c r="I51" s="15" t="n">
        <x:f>O51*U51</x:f>
        <x:v>771.6160000000001</x:v>
      </x:c>
      <x:c r="J51" s="8" t="str">
        <x:v>n.d.</x:v>
      </x:c>
      <x:c r="K51" s="8" t="n">
        <x:f>'Inputs and sources'!E67</x:f>
        <x:v>0.04</x:v>
      </x:c>
      <x:c r="L51" s="8" t="n">
        <x:f>'Inputs and sources'!F67</x:f>
        <x:v>0.04</x:v>
      </x:c>
      <x:c r="M51" s="8" t="n">
        <x:f>'Inputs and sources'!G67</x:f>
        <x:v>0.03</x:v>
      </x:c>
      <x:c r="N51" s="8" t="n">
        <x:f>'Inputs and sources'!H67</x:f>
        <x:v>0.04</x:v>
      </x:c>
      <x:c r="O51" s="8" t="n">
        <x:f>'Inputs and sources'!I67</x:f>
        <x:v>0.04</x:v>
      </x:c>
      <x:c r="P51" s="15" t="str">
        <x:v>n.d.</x:v>
      </x:c>
      <x:c r="Q51" s="15" t="n">
        <x:f>'Inputs and sources'!E54</x:f>
        <x:v>12759.3</x:v>
      </x:c>
      <x:c r="R51" s="15" t="n">
        <x:f>'Inputs and sources'!F54</x:f>
        <x:v>13603.1</x:v>
      </x:c>
      <x:c r="S51" s="15" t="n">
        <x:f>'Inputs and sources'!G54</x:f>
        <x:v>14889.3</x:v>
      </x:c>
      <x:c r="T51" s="15" t="n">
        <x:f>'Inputs and sources'!H54</x:f>
        <x:v>16923</x:v>
      </x:c>
      <x:c r="U51" s="15" t="n">
        <x:f>'Inputs and sources'!I54</x:f>
        <x:v>19290.4</x:v>
      </x:c>
      <x:c r="V51" s="7" t="str">
        <x:v>sun22; sun22; sun23; sun24; sun25; sun26 | FY25 mix changes sharply versus FY24 with no bridge in reviewed report; FY25 growth and four-year CAGR suppressed as n.c. Raw sales proxies retained. FY24 mix cites AIOCD-AWACS; allocation is not audited therapy revenue. India revenue includes part of consumer health.</x:v>
      </x:c>
    </x:row>
    <x:row r="52" ht="19" customHeight="1">
      <x:c r="A52" s="7" t="str">
        <x:v>Anti-infectives</x:v>
      </x:c>
      <x:c r="B52" s="7" t="str">
        <x:v>Alkem Labs</x:v>
      </x:c>
      <x:c r="C52" s="7" t="str">
        <x:v>R: IQVIA therapy growth; D3 sales proxy</x:v>
      </x:c>
      <x:c r="D52" s="15" t="str">
        <x:v>n.d.</x:v>
      </x:c>
      <x:c r="E52" s="15" t="n">
        <x:f>K52*Q52</x:f>
        <x:v>2895.1595</x:v>
      </x:c>
      <x:c r="F52" s="15" t="n">
        <x:f>L52*R52</x:f>
        <x:v>3008.4136000000003</x:v>
      </x:c>
      <x:c r="G52" s="15" t="n">
        <x:f>M52*S52</x:f>
        <x:v>3044.5296</x:v>
      </x:c>
      <x:c r="H52" s="15" t="n">
        <x:f>N52*T52</x:f>
        <x:v>3036.4906</x:v>
      </x:c>
      <x:c r="I52" s="15" t="n">
        <x:f>O52*U52</x:f>
        <x:v>3152.448</x:v>
      </x:c>
      <x:c r="J52" s="8" t="str">
        <x:v>n.d.</x:v>
      </x:c>
      <x:c r="K52" s="8" t="n">
        <x:f>'Inputs and sources'!E69</x:f>
        <x:v>0.391</x:v>
      </x:c>
      <x:c r="L52" s="8" t="n">
        <x:f>'Inputs and sources'!F69</x:f>
        <x:v>0.376</x:v>
      </x:c>
      <x:c r="M52" s="8" t="n">
        <x:f>'Inputs and sources'!G69</x:f>
        <x:v>0.361</x:v>
      </x:c>
      <x:c r="N52" s="8" t="n">
        <x:f>'Inputs and sources'!H69</x:f>
        <x:v>0.33799999999999997</x:v>
      </x:c>
      <x:c r="O52" s="8" t="n">
        <x:f>'Inputs and sources'!I69</x:f>
        <x:v>0.32</x:v>
      </x:c>
      <x:c r="P52" s="15" t="n">
        <x:f>'Inputs and sources'!D68</x:f>
        <x:v>5699.6</x:v>
      </x:c>
      <x:c r="Q52" s="15" t="n">
        <x:f>'Inputs and sources'!E68</x:f>
        <x:v>7404.5</x:v>
      </x:c>
      <x:c r="R52" s="15" t="n">
        <x:f>'Inputs and sources'!F68</x:f>
        <x:v>8001.1</x:v>
      </x:c>
      <x:c r="S52" s="15" t="n">
        <x:f>'Inputs and sources'!G68</x:f>
        <x:v>8433.6</x:v>
      </x:c>
      <x:c r="T52" s="15" t="n">
        <x:f>'Inputs and sources'!H68</x:f>
        <x:v>8983.7</x:v>
      </x:c>
      <x:c r="U52" s="15" t="n">
        <x:f>'Inputs and sources'!I68</x:f>
        <x:v>9851.4</x:v>
      </x:c>
      <x:c r="V52" s="7" t="str">
        <x:v>alkem22; alkem22; alkem23; alkem24; alkem25; alkem26 | Main growth is reported secondary IQVIA growth, not growth of sales proxy. Sales are domestic primary revenue x secondary mix. FY26 mix rounded to whole %. Use main reported growth to assess trend.</x:v>
      </x:c>
    </x:row>
    <x:row r="53" ht="19" customHeight="1">
      <x:c r="A53" s="7" t="str">
        <x:v>Gastrointestinal</x:v>
      </x:c>
      <x:c r="B53" s="7" t="str">
        <x:v>Alkem Labs</x:v>
      </x:c>
      <x:c r="C53" s="7" t="str">
        <x:v>R: IQVIA therapy growth; D3 sales proxy</x:v>
      </x:c>
      <x:c r="D53" s="15" t="str">
        <x:v>n.d.</x:v>
      </x:c>
      <x:c r="E53" s="15" t="n">
        <x:f>K53*Q53</x:f>
        <x:v>1318.0010000000002</x:v>
      </x:c>
      <x:c r="F53" s="15" t="n">
        <x:f>L53*R53</x:f>
        <x:v>1488.2046000000003</x:v>
      </x:c>
      <x:c r="G53" s="15" t="n">
        <x:f>M53*S53</x:f>
        <x:v>1602.384</x:v>
      </x:c>
      <x:c r="H53" s="15" t="n">
        <x:f>N53*T53</x:f>
        <x:v>1904.5444</x:v>
      </x:c>
      <x:c r="I53" s="15" t="n">
        <x:f>O53*U53</x:f>
        <x:v>2068.794</x:v>
      </x:c>
      <x:c r="J53" s="8" t="str">
        <x:v>n.d.</x:v>
      </x:c>
      <x:c r="K53" s="8" t="n">
        <x:f>'Inputs and sources'!E70</x:f>
        <x:v>0.17800000000000002</x:v>
      </x:c>
      <x:c r="L53" s="8" t="n">
        <x:f>'Inputs and sources'!F70</x:f>
        <x:v>0.18600000000000003</x:v>
      </x:c>
      <x:c r="M53" s="8" t="n">
        <x:f>'Inputs and sources'!G70</x:f>
        <x:v>0.19</x:v>
      </x:c>
      <x:c r="N53" s="8" t="n">
        <x:f>'Inputs and sources'!H70</x:f>
        <x:v>0.212</x:v>
      </x:c>
      <x:c r="O53" s="8" t="n">
        <x:f>'Inputs and sources'!I70</x:f>
        <x:v>0.21</x:v>
      </x:c>
      <x:c r="P53" s="15" t="n">
        <x:f>'Inputs and sources'!D68</x:f>
        <x:v>5699.6</x:v>
      </x:c>
      <x:c r="Q53" s="15" t="n">
        <x:f>'Inputs and sources'!E68</x:f>
        <x:v>7404.5</x:v>
      </x:c>
      <x:c r="R53" s="15" t="n">
        <x:f>'Inputs and sources'!F68</x:f>
        <x:v>8001.1</x:v>
      </x:c>
      <x:c r="S53" s="15" t="n">
        <x:f>'Inputs and sources'!G68</x:f>
        <x:v>8433.6</x:v>
      </x:c>
      <x:c r="T53" s="15" t="n">
        <x:f>'Inputs and sources'!H68</x:f>
        <x:v>8983.7</x:v>
      </x:c>
      <x:c r="U53" s="15" t="n">
        <x:f>'Inputs and sources'!I68</x:f>
        <x:v>9851.4</x:v>
      </x:c>
      <x:c r="V53" s="7" t="str">
        <x:v>alkem22; alkem22; alkem23; alkem24; alkem25; alkem26 | Main growth is reported secondary IQVIA growth, not growth of sales proxy. Sales are domestic primary revenue x secondary mix. FY26 mix rounded to whole %. Use main reported growth to assess trend.</x:v>
      </x:c>
    </x:row>
    <x:row r="54" ht="19" customHeight="1">
      <x:c r="A54" s="7" t="str">
        <x:v>Vitamins / minerals</x:v>
      </x:c>
      <x:c r="B54" s="7" t="str">
        <x:v>Alkem Labs</x:v>
      </x:c>
      <x:c r="C54" s="7" t="str">
        <x:v>R: IQVIA therapy growth; D3 sales proxy</x:v>
      </x:c>
      <x:c r="D54" s="15" t="str">
        <x:v>n.d.</x:v>
      </x:c>
      <x:c r="E54" s="15" t="n">
        <x:f>K54*Q54</x:f>
        <x:v>836.7085000000001</x:v>
      </x:c>
      <x:c r="F54" s="15" t="n">
        <x:f>L54*R54</x:f>
        <x:v>824.1133000000001</x:v>
      </x:c>
      <x:c r="G54" s="15" t="n">
        <x:f>M54*S54</x:f>
        <x:v>902.3952</x:v>
      </x:c>
      <x:c r="H54" s="15" t="n">
        <x:f>N54*T54</x:f>
        <x:v>1078.044</x:v>
      </x:c>
      <x:c r="I54" s="15" t="n">
        <x:f>O54*U54</x:f>
        <x:v>1280.682</x:v>
      </x:c>
      <x:c r="J54" s="8" t="str">
        <x:v>n.d.</x:v>
      </x:c>
      <x:c r="K54" s="8" t="n">
        <x:f>'Inputs and sources'!E71</x:f>
        <x:v>0.113</x:v>
      </x:c>
      <x:c r="L54" s="8" t="n">
        <x:f>'Inputs and sources'!F71</x:f>
        <x:v>0.10300000000000001</x:v>
      </x:c>
      <x:c r="M54" s="8" t="n">
        <x:f>'Inputs and sources'!G71</x:f>
        <x:v>0.107</x:v>
      </x:c>
      <x:c r="N54" s="8" t="n">
        <x:f>'Inputs and sources'!H71</x:f>
        <x:v>0.12</x:v>
      </x:c>
      <x:c r="O54" s="8" t="n">
        <x:f>'Inputs and sources'!I71</x:f>
        <x:v>0.13</x:v>
      </x:c>
      <x:c r="P54" s="15" t="n">
        <x:f>'Inputs and sources'!D68</x:f>
        <x:v>5699.6</x:v>
      </x:c>
      <x:c r="Q54" s="15" t="n">
        <x:f>'Inputs and sources'!E68</x:f>
        <x:v>7404.5</x:v>
      </x:c>
      <x:c r="R54" s="15" t="n">
        <x:f>'Inputs and sources'!F68</x:f>
        <x:v>8001.1</x:v>
      </x:c>
      <x:c r="S54" s="15" t="n">
        <x:f>'Inputs and sources'!G68</x:f>
        <x:v>8433.6</x:v>
      </x:c>
      <x:c r="T54" s="15" t="n">
        <x:f>'Inputs and sources'!H68</x:f>
        <x:v>8983.7</x:v>
      </x:c>
      <x:c r="U54" s="15" t="n">
        <x:f>'Inputs and sources'!I68</x:f>
        <x:v>9851.4</x:v>
      </x:c>
      <x:c r="V54" s="7" t="str">
        <x:v>alkem22; alkem22; alkem23; alkem24; alkem25; alkem26 | Main growth is reported secondary IQVIA growth, not growth of sales proxy. Sales are domestic primary revenue x secondary mix. FY26 mix rounded to whole %. Use main reported growth to assess trend.</x:v>
      </x:c>
    </x:row>
    <x:row r="55" ht="19" customHeight="1">
      <x:c r="A55" s="7" t="str">
        <x:v>Pain</x:v>
      </x:c>
      <x:c r="B55" s="7" t="str">
        <x:v>Alkem Labs</x:v>
      </x:c>
      <x:c r="C55" s="7" t="str">
        <x:v>R: IQVIA therapy growth; D3 sales proxy</x:v>
      </x:c>
      <x:c r="D55" s="15" t="str">
        <x:v>n.d.</x:v>
      </x:c>
      <x:c r="E55" s="15" t="n">
        <x:f>K55*Q55</x:f>
        <x:v>762.6635000000001</x:v>
      </x:c>
      <x:c r="F55" s="15" t="n">
        <x:f>L55*R55</x:f>
        <x:v>872.1199</x:v>
      </x:c>
      <x:c r="G55" s="15" t="n">
        <x:f>M55*S55</x:f>
        <x:v>910.8288000000001</x:v>
      </x:c>
      <x:c r="H55" s="15" t="n">
        <x:f>N55*T55</x:f>
        <x:v>907.3537</x:v>
      </x:c>
      <x:c r="I55" s="15" t="n">
        <x:f>O55*U55</x:f>
        <x:v>985.14</x:v>
      </x:c>
      <x:c r="J55" s="8" t="str">
        <x:v>n.d.</x:v>
      </x:c>
      <x:c r="K55" s="8" t="n">
        <x:f>'Inputs and sources'!E72</x:f>
        <x:v>0.10300000000000001</x:v>
      </x:c>
      <x:c r="L55" s="8" t="n">
        <x:f>'Inputs and sources'!F72</x:f>
        <x:v>0.109</x:v>
      </x:c>
      <x:c r="M55" s="8" t="n">
        <x:f>'Inputs and sources'!G72</x:f>
        <x:v>0.10800000000000001</x:v>
      </x:c>
      <x:c r="N55" s="8" t="n">
        <x:f>'Inputs and sources'!H72</x:f>
        <x:v>0.10099999999999999</x:v>
      </x:c>
      <x:c r="O55" s="8" t="n">
        <x:f>'Inputs and sources'!I72</x:f>
        <x:v>0.1</x:v>
      </x:c>
      <x:c r="P55" s="15" t="n">
        <x:f>'Inputs and sources'!D68</x:f>
        <x:v>5699.6</x:v>
      </x:c>
      <x:c r="Q55" s="15" t="n">
        <x:f>'Inputs and sources'!E68</x:f>
        <x:v>7404.5</x:v>
      </x:c>
      <x:c r="R55" s="15" t="n">
        <x:f>'Inputs and sources'!F68</x:f>
        <x:v>8001.1</x:v>
      </x:c>
      <x:c r="S55" s="15" t="n">
        <x:f>'Inputs and sources'!G68</x:f>
        <x:v>8433.6</x:v>
      </x:c>
      <x:c r="T55" s="15" t="n">
        <x:f>'Inputs and sources'!H68</x:f>
        <x:v>8983.7</x:v>
      </x:c>
      <x:c r="U55" s="15" t="n">
        <x:f>'Inputs and sources'!I68</x:f>
        <x:v>9851.4</x:v>
      </x:c>
      <x:c r="V55" s="7" t="str">
        <x:v>alkem22; alkem22; alkem23; alkem24; alkem25; alkem26 | Main growth is reported secondary IQVIA growth, not growth of sales proxy. Sales are domestic primary revenue x secondary mix. FY26 mix rounded to whole %. Use main reported growth to assess trend.</x:v>
      </x:c>
    </x:row>
    <x:row r="56" ht="19" customHeight="1">
      <x:c r="A56" s="7" t="str">
        <x:v>CNS</x:v>
      </x:c>
      <x:c r="B56" s="7" t="str">
        <x:v>Alkem Labs</x:v>
      </x:c>
      <x:c r="C56" s="7" t="str">
        <x:v>R: IQVIA therapy growth; D3 sales proxy</x:v>
      </x:c>
      <x:c r="D56" s="15" t="str">
        <x:v>n.d.</x:v>
      </x:c>
      <x:c r="E56" s="15" t="n">
        <x:f>K56*Q56</x:f>
        <x:v>259.1575</x:v>
      </x:c>
      <x:c r="F56" s="15" t="n">
        <x:f>L56*R56</x:f>
        <x:v>304.0418</x:v>
      </x:c>
      <x:c r="G56" s="15" t="n">
        <x:f>M56*S56</x:f>
        <x:v>328.91040000000004</x:v>
      </x:c>
      <x:c r="H56" s="15" t="n">
        <x:f>N56*T56</x:f>
        <x:v>332.3969000000001</x:v>
      </x:c>
      <x:c r="I56" s="15" t="n">
        <x:f>O56*U56</x:f>
        <x:v>394.056</x:v>
      </x:c>
      <x:c r="J56" s="8" t="str">
        <x:v>n.d.</x:v>
      </x:c>
      <x:c r="K56" s="8" t="n">
        <x:f>'Inputs and sources'!E73</x:f>
        <x:v>0.035</x:v>
      </x:c>
      <x:c r="L56" s="8" t="n">
        <x:f>'Inputs and sources'!F73</x:f>
        <x:v>0.038</x:v>
      </x:c>
      <x:c r="M56" s="8" t="n">
        <x:f>'Inputs and sources'!G73</x:f>
        <x:v>0.039</x:v>
      </x:c>
      <x:c r="N56" s="8" t="n">
        <x:f>'Inputs and sources'!H73</x:f>
        <x:v>0.037000000000000005</x:v>
      </x:c>
      <x:c r="O56" s="8" t="n">
        <x:f>'Inputs and sources'!I73</x:f>
        <x:v>0.04</x:v>
      </x:c>
      <x:c r="P56" s="15" t="n">
        <x:f>'Inputs and sources'!D68</x:f>
        <x:v>5699.6</x:v>
      </x:c>
      <x:c r="Q56" s="15" t="n">
        <x:f>'Inputs and sources'!E68</x:f>
        <x:v>7404.5</x:v>
      </x:c>
      <x:c r="R56" s="15" t="n">
        <x:f>'Inputs and sources'!F68</x:f>
        <x:v>8001.1</x:v>
      </x:c>
      <x:c r="S56" s="15" t="n">
        <x:f>'Inputs and sources'!G68</x:f>
        <x:v>8433.6</x:v>
      </x:c>
      <x:c r="T56" s="15" t="n">
        <x:f>'Inputs and sources'!H68</x:f>
        <x:v>8983.7</x:v>
      </x:c>
      <x:c r="U56" s="15" t="n">
        <x:f>'Inputs and sources'!I68</x:f>
        <x:v>9851.4</x:v>
      </x:c>
      <x:c r="V56" s="7" t="str">
        <x:v>alkem22; alkem22; alkem23; alkem24; alkem25; alkem26 | Main growth is reported secondary IQVIA growth, not growth of sales proxy. Sales are domestic primary revenue x secondary mix. FY26 mix rounded to whole %. Use main reported growth to assess trend.</x:v>
      </x:c>
    </x:row>
    <x:row r="57" ht="19" customHeight="1">
      <x:c r="A57" s="7" t="str">
        <x:v>Diabetes</x:v>
      </x:c>
      <x:c r="B57" s="7" t="str">
        <x:v>Alkem Labs</x:v>
      </x:c>
      <x:c r="C57" s="7" t="str">
        <x:v>R: IQVIA therapy growth; D3 sales proxy</x:v>
      </x:c>
      <x:c r="D57" s="15" t="str">
        <x:v>n.d.</x:v>
      </x:c>
      <x:c r="E57" s="15" t="n">
        <x:f>K57*Q57</x:f>
        <x:v>259.1575</x:v>
      </x:c>
      <x:c r="F57" s="15" t="n">
        <x:f>L57*R57</x:f>
        <x:v>320.04400000000004</x:v>
      </x:c>
      <x:c r="G57" s="15" t="n">
        <x:f>M57*S57</x:f>
        <x:v>387.9456</x:v>
      </x:c>
      <x:c r="H57" s="15" t="n">
        <x:f>N57*T57</x:f>
        <x:v>449.18500000000006</x:v>
      </x:c>
      <x:c r="I57" s="15" t="n">
        <x:f>O57*U57</x:f>
        <x:v>492.57</x:v>
      </x:c>
      <x:c r="J57" s="8" t="str">
        <x:v>n.d.</x:v>
      </x:c>
      <x:c r="K57" s="8" t="n">
        <x:f>'Inputs and sources'!E74</x:f>
        <x:v>0.035</x:v>
      </x:c>
      <x:c r="L57" s="8" t="n">
        <x:f>'Inputs and sources'!F74</x:f>
        <x:v>0.04</x:v>
      </x:c>
      <x:c r="M57" s="8" t="n">
        <x:f>'Inputs and sources'!G74</x:f>
        <x:v>0.046</x:v>
      </x:c>
      <x:c r="N57" s="8" t="n">
        <x:f>'Inputs and sources'!H74</x:f>
        <x:v>0.05</x:v>
      </x:c>
      <x:c r="O57" s="8" t="n">
        <x:f>'Inputs and sources'!I74</x:f>
        <x:v>0.05</x:v>
      </x:c>
      <x:c r="P57" s="15" t="n">
        <x:f>'Inputs and sources'!D68</x:f>
        <x:v>5699.6</x:v>
      </x:c>
      <x:c r="Q57" s="15" t="n">
        <x:f>'Inputs and sources'!E68</x:f>
        <x:v>7404.5</x:v>
      </x:c>
      <x:c r="R57" s="15" t="n">
        <x:f>'Inputs and sources'!F68</x:f>
        <x:v>8001.1</x:v>
      </x:c>
      <x:c r="S57" s="15" t="n">
        <x:f>'Inputs and sources'!G68</x:f>
        <x:v>8433.6</x:v>
      </x:c>
      <x:c r="T57" s="15" t="n">
        <x:f>'Inputs and sources'!H68</x:f>
        <x:v>8983.7</x:v>
      </x:c>
      <x:c r="U57" s="15" t="n">
        <x:f>'Inputs and sources'!I68</x:f>
        <x:v>9851.4</x:v>
      </x:c>
      <x:c r="V57" s="7" t="str">
        <x:v>alkem22; alkem22; alkem23; alkem24; alkem25; alkem26 | Main growth is reported secondary IQVIA growth, not growth of sales proxy. Sales are domestic primary revenue x secondary mix. FY26 mix rounded to whole %. Use main reported growth to assess trend.</x:v>
      </x:c>
    </x:row>
    <x:row r="58" ht="19" customHeight="1">
      <x:c r="A58" s="7" t="str">
        <x:v>Cardiac</x:v>
      </x:c>
      <x:c r="B58" s="7" t="str">
        <x:v>Alkem Labs</x:v>
      </x:c>
      <x:c r="C58" s="7" t="str">
        <x:v>R: IQVIA therapy growth; D3 sales proxy</x:v>
      </x:c>
      <x:c r="D58" s="15" t="str">
        <x:v>n.d.</x:v>
      </x:c>
      <x:c r="E58" s="15" t="n">
        <x:f>K58*Q58</x:f>
        <x:v>192.51700000000002</x:v>
      </x:c>
      <x:c r="F58" s="15" t="n">
        <x:f>L58*R58</x:f>
        <x:v>184.02530000000002</x:v>
      </x:c>
      <x:c r="G58" s="15" t="n">
        <x:f>M58*S58</x:f>
        <x:v>202.40640000000002</x:v>
      </x:c>
      <x:c r="H58" s="15" t="n">
        <x:f>N58*T58</x:f>
        <x:v>206.6251</x:v>
      </x:c>
      <x:c r="I58" s="15" t="n">
        <x:f>O58*U58</x:f>
        <x:v>197.028</x:v>
      </x:c>
      <x:c r="J58" s="8" t="str">
        <x:v>n.d.</x:v>
      </x:c>
      <x:c r="K58" s="8" t="n">
        <x:f>'Inputs and sources'!E75</x:f>
        <x:v>0.026000000000000002</x:v>
      </x:c>
      <x:c r="L58" s="8" t="n">
        <x:f>'Inputs and sources'!F75</x:f>
        <x:v>0.023</x:v>
      </x:c>
      <x:c r="M58" s="8" t="n">
        <x:f>'Inputs and sources'!G75</x:f>
        <x:v>0.024</x:v>
      </x:c>
      <x:c r="N58" s="8" t="n">
        <x:f>'Inputs and sources'!H75</x:f>
        <x:v>0.023</x:v>
      </x:c>
      <x:c r="O58" s="8" t="n">
        <x:f>'Inputs and sources'!I75</x:f>
        <x:v>0.02</x:v>
      </x:c>
      <x:c r="P58" s="15" t="n">
        <x:f>'Inputs and sources'!D68</x:f>
        <x:v>5699.6</x:v>
      </x:c>
      <x:c r="Q58" s="15" t="n">
        <x:f>'Inputs and sources'!E68</x:f>
        <x:v>7404.5</x:v>
      </x:c>
      <x:c r="R58" s="15" t="n">
        <x:f>'Inputs and sources'!F68</x:f>
        <x:v>8001.1</x:v>
      </x:c>
      <x:c r="S58" s="15" t="n">
        <x:f>'Inputs and sources'!G68</x:f>
        <x:v>8433.6</x:v>
      </x:c>
      <x:c r="T58" s="15" t="n">
        <x:f>'Inputs and sources'!H68</x:f>
        <x:v>8983.7</x:v>
      </x:c>
      <x:c r="U58" s="15" t="n">
        <x:f>'Inputs and sources'!I68</x:f>
        <x:v>9851.4</x:v>
      </x:c>
      <x:c r="V58" s="7" t="str">
        <x:v>alkem22; alkem22; alkem23; alkem24; alkem25; alkem26 | Main growth is reported secondary IQVIA growth, not growth of sales proxy. Sales are domestic primary revenue x secondary mix. FY26 mix rounded to whole %. Use main reported growth to assess trend.</x:v>
      </x:c>
    </x:row>
    <x:row r="59" ht="19" customHeight="1">
      <x:c r="A59" s="7" t="str">
        <x:v>Dermatology</x:v>
      </x:c>
      <x:c r="B59" s="7" t="str">
        <x:v>Alkem Labs</x:v>
      </x:c>
      <x:c r="C59" s="7" t="str">
        <x:v>R: IQVIA therapy growth; D3 sales proxy</x:v>
      </x:c>
      <x:c r="D59" s="15" t="str">
        <x:v>n.d.</x:v>
      </x:c>
      <x:c r="E59" s="15" t="n">
        <x:f>K59*Q59</x:f>
        <x:v>199.92150000000004</x:v>
      </x:c>
      <x:c r="F59" s="15" t="n">
        <x:f>L59*R59</x:f>
        <x:v>224.0308</x:v>
      </x:c>
      <x:c r="G59" s="15" t="n">
        <x:f>M59*S59</x:f>
        <x:v>244.5744</x:v>
      </x:c>
      <x:c r="H59" s="15" t="n">
        <x:f>N59*T59</x:f>
        <x:v>215.60880000000003</x:v>
      </x:c>
      <x:c r="I59" s="15" t="n">
        <x:f>O59*U59</x:f>
        <x:v>295.542</x:v>
      </x:c>
      <x:c r="J59" s="8" t="str">
        <x:v>n.d.</x:v>
      </x:c>
      <x:c r="K59" s="8" t="n">
        <x:f>'Inputs and sources'!E76</x:f>
        <x:v>0.027000000000000003</x:v>
      </x:c>
      <x:c r="L59" s="8" t="n">
        <x:f>'Inputs and sources'!F76</x:f>
        <x:v>0.027999999999999997</x:v>
      </x:c>
      <x:c r="M59" s="8" t="n">
        <x:f>'Inputs and sources'!G76</x:f>
        <x:v>0.028999999999999998</x:v>
      </x:c>
      <x:c r="N59" s="8" t="n">
        <x:f>'Inputs and sources'!H76</x:f>
        <x:v>0.024</x:v>
      </x:c>
      <x:c r="O59" s="8" t="n">
        <x:f>'Inputs and sources'!I76</x:f>
        <x:v>0.03</x:v>
      </x:c>
      <x:c r="P59" s="15" t="n">
        <x:f>'Inputs and sources'!D68</x:f>
        <x:v>5699.6</x:v>
      </x:c>
      <x:c r="Q59" s="15" t="n">
        <x:f>'Inputs and sources'!E68</x:f>
        <x:v>7404.5</x:v>
      </x:c>
      <x:c r="R59" s="15" t="n">
        <x:f>'Inputs and sources'!F68</x:f>
        <x:v>8001.1</x:v>
      </x:c>
      <x:c r="S59" s="15" t="n">
        <x:f>'Inputs and sources'!G68</x:f>
        <x:v>8433.6</x:v>
      </x:c>
      <x:c r="T59" s="15" t="n">
        <x:f>'Inputs and sources'!H68</x:f>
        <x:v>8983.7</x:v>
      </x:c>
      <x:c r="U59" s="15" t="n">
        <x:f>'Inputs and sources'!I68</x:f>
        <x:v>9851.4</x:v>
      </x:c>
      <x:c r="V59" s="7" t="str">
        <x:v>alkem22; alkem22; alkem23; alkem24; alkem25; alkem26 | Main growth is reported secondary IQVIA growth, not growth of sales proxy. Sales are domestic primary revenue x secondary mix. FY26 mix rounded to whole %. Use main reported growth to assess trend.</x:v>
      </x:c>
    </x:row>
    <x:row r="60" ht="19" customHeight="1">
      <x:c r="A60" s="7" t="str">
        <x:v>Women's health</x:v>
      </x:c>
      <x:c r="B60" s="7" t="str">
        <x:v>Alkem Labs</x:v>
      </x:c>
      <x:c r="C60" s="7" t="str">
        <x:v>R: IQVIA therapy growth; D3 sales proxy</x:v>
      </x:c>
      <x:c r="D60" s="15" t="str">
        <x:v>n.d.</x:v>
      </x:c>
      <x:c r="E60" s="15" t="n">
        <x:f>K60*Q60</x:f>
        <x:v>266.562</x:v>
      </x:c>
      <x:c r="F60" s="15" t="n">
        <x:f>L60*R60</x:f>
        <x:v>320.04400000000004</x:v>
      </x:c>
      <x:c r="G60" s="15" t="n">
        <x:f>M60*S60</x:f>
        <x:v>328.91040000000004</x:v>
      </x:c>
      <x:c r="H60" s="15" t="n">
        <x:f>N60*T60</x:f>
        <x:v>368.33169999999996</x:v>
      </x:c>
      <x:c r="I60" s="15" t="n">
        <x:f>O60*U60</x:f>
        <x:v>394.056</x:v>
      </x:c>
      <x:c r="J60" s="8" t="str">
        <x:v>n.d.</x:v>
      </x:c>
      <x:c r="K60" s="8" t="n">
        <x:f>'Inputs and sources'!E77</x:f>
        <x:v>0.036000000000000004</x:v>
      </x:c>
      <x:c r="L60" s="8" t="n">
        <x:f>'Inputs and sources'!F77</x:f>
        <x:v>0.04</x:v>
      </x:c>
      <x:c r="M60" s="8" t="n">
        <x:f>'Inputs and sources'!G77</x:f>
        <x:v>0.039</x:v>
      </x:c>
      <x:c r="N60" s="8" t="n">
        <x:f>'Inputs and sources'!H77</x:f>
        <x:v>0.040999999999999995</x:v>
      </x:c>
      <x:c r="O60" s="8" t="n">
        <x:f>'Inputs and sources'!I77</x:f>
        <x:v>0.04</x:v>
      </x:c>
      <x:c r="P60" s="15" t="n">
        <x:f>'Inputs and sources'!D68</x:f>
        <x:v>5699.6</x:v>
      </x:c>
      <x:c r="Q60" s="15" t="n">
        <x:f>'Inputs and sources'!E68</x:f>
        <x:v>7404.5</x:v>
      </x:c>
      <x:c r="R60" s="15" t="n">
        <x:f>'Inputs and sources'!F68</x:f>
        <x:v>8001.1</x:v>
      </x:c>
      <x:c r="S60" s="15" t="n">
        <x:f>'Inputs and sources'!G68</x:f>
        <x:v>8433.6</x:v>
      </x:c>
      <x:c r="T60" s="15" t="n">
        <x:f>'Inputs and sources'!H68</x:f>
        <x:v>8983.7</x:v>
      </x:c>
      <x:c r="U60" s="15" t="n">
        <x:f>'Inputs and sources'!I68</x:f>
        <x:v>9851.4</x:v>
      </x:c>
      <x:c r="V60" s="7" t="str">
        <x:v>alkem22; alkem22; alkem23; alkem24; alkem25; alkem26 | Main growth is reported secondary IQVIA growth, not growth of sales proxy. Sales are domestic primary revenue x secondary mix. FY26 mix rounded to whole %. Use main reported growth to assess trend.</x:v>
      </x:c>
    </x:row>
    <x:row r="61" ht="19" customHeight="1">
      <x:c r="A61" s="7" t="str">
        <x:v>Respiratory</x:v>
      </x:c>
      <x:c r="B61" s="7" t="str">
        <x:v>Alkem Labs</x:v>
      </x:c>
      <x:c r="C61" s="7" t="str">
        <x:v>R: IQVIA therapy growth; D3 sales proxy</x:v>
      </x:c>
      <x:c r="D61" s="15" t="str">
        <x:v>n.d.</x:v>
      </x:c>
      <x:c r="E61" s="15" t="n">
        <x:f>K61*Q61</x:f>
        <x:v>244.3485</x:v>
      </x:c>
      <x:c r="F61" s="15" t="n">
        <x:f>L61*R61</x:f>
        <x:v>264.03630000000004</x:v>
      </x:c>
      <x:c r="G61" s="15" t="n">
        <x:f>M61*S61</x:f>
        <x:v>261.4416</x:v>
      </x:c>
      <x:c r="H61" s="15" t="n">
        <x:f>N61*T61</x:f>
        <x:v>269.511</x:v>
      </x:c>
      <x:c r="I61" s="15" t="n">
        <x:f>O61*U61</x:f>
        <x:v>295.542</x:v>
      </x:c>
      <x:c r="J61" s="8" t="str">
        <x:v>n.d.</x:v>
      </x:c>
      <x:c r="K61" s="8" t="n">
        <x:f>'Inputs and sources'!E78</x:f>
        <x:v>0.033</x:v>
      </x:c>
      <x:c r="L61" s="8" t="n">
        <x:f>'Inputs and sources'!F78</x:f>
        <x:v>0.033</x:v>
      </x:c>
      <x:c r="M61" s="8" t="n">
        <x:f>'Inputs and sources'!G78</x:f>
        <x:v>0.031</x:v>
      </x:c>
      <x:c r="N61" s="8" t="n">
        <x:f>'Inputs and sources'!H78</x:f>
        <x:v>0.03</x:v>
      </x:c>
      <x:c r="O61" s="8" t="n">
        <x:f>'Inputs and sources'!I78</x:f>
        <x:v>0.03</x:v>
      </x:c>
      <x:c r="P61" s="15" t="n">
        <x:f>'Inputs and sources'!D68</x:f>
        <x:v>5699.6</x:v>
      </x:c>
      <x:c r="Q61" s="15" t="n">
        <x:f>'Inputs and sources'!E68</x:f>
        <x:v>7404.5</x:v>
      </x:c>
      <x:c r="R61" s="15" t="n">
        <x:f>'Inputs and sources'!F68</x:f>
        <x:v>8001.1</x:v>
      </x:c>
      <x:c r="S61" s="15" t="n">
        <x:f>'Inputs and sources'!G68</x:f>
        <x:v>8433.6</x:v>
      </x:c>
      <x:c r="T61" s="15" t="n">
        <x:f>'Inputs and sources'!H68</x:f>
        <x:v>8983.7</x:v>
      </x:c>
      <x:c r="U61" s="15" t="n">
        <x:f>'Inputs and sources'!I68</x:f>
        <x:v>9851.4</x:v>
      </x:c>
      <x:c r="V61" s="7" t="str">
        <x:v>alkem22; alkem22; alkem23; alkem24; alkem25; alkem26 | Main growth is reported secondary IQVIA growth, not growth of sales proxy. Sales are domestic primary revenue x secondary mix. FY26 mix rounded to whole %. Use main reported growth to assess trend.</x:v>
      </x:c>
    </x:row>
    <x:row r="62" ht="19" customHeight="1">
      <x:c r="A62" s="7" t="str">
        <x:v>Other</x:v>
      </x:c>
      <x:c r="B62" s="7" t="str">
        <x:v>Alkem Labs</x:v>
      </x:c>
      <x:c r="C62" s="7" t="str">
        <x:v>R: IQVIA therapy growth; D3 sales proxy</x:v>
      </x:c>
      <x:c r="D62" s="15" t="str">
        <x:v>n.d.</x:v>
      </x:c>
      <x:c r="E62" s="15" t="n">
        <x:f>K62*Q62</x:f>
        <x:v>170.3034999999985</x:v>
      </x:c>
      <x:c r="F62" s="15" t="n">
        <x:f>L62*R62</x:f>
        <x:v>192.0263999999984</x:v>
      </x:c>
      <x:c r="G62" s="15" t="n">
        <x:f>M62*S62</x:f>
        <x:v>219.27359999999928</x:v>
      </x:c>
      <x:c r="H62" s="15" t="n">
        <x:f>N62*T62</x:f>
        <x:v>215.6087999999992</x:v>
      </x:c>
      <x:c r="I62" s="15" t="n">
        <x:f>O62*U62</x:f>
        <x:v>295.54199999999804</x:v>
      </x:c>
      <x:c r="J62" s="8" t="str">
        <x:v>n.d.</x:v>
      </x:c>
      <x:c r="K62" s="8" t="n">
        <x:f>1-SUM(K52,K53,K54,K55,K56,K57,K58,K59,K60,K61)</x:f>
        <x:v>0.0229999999999998</x:v>
      </x:c>
      <x:c r="L62" s="8" t="n">
        <x:f>1-SUM(L52,L53,L54,L55,L56,L57,L58,L59,L60,L61)</x:f>
        <x:v>0.0239999999999998</x:v>
      </x:c>
      <x:c r="M62" s="8" t="n">
        <x:f>1-SUM(M52,M53,M54,M55,M56,M57,M58,M59,M60,M61)</x:f>
        <x:v>0.025999999999999912</x:v>
      </x:c>
      <x:c r="N62" s="8" t="n">
        <x:f>1-SUM(N52,N53,N54,N55,N56,N57,N58,N59,N60,N61)</x:f>
        <x:v>0.02399999999999991</x:v>
      </x:c>
      <x:c r="O62" s="8" t="n">
        <x:f>1-SUM(O52,O53,O54,O55,O56,O57,O58,O59,O60,O61)</x:f>
        <x:v>0.029999999999999805</x:v>
      </x:c>
      <x:c r="P62" s="15" t="n">
        <x:f>'Inputs and sources'!D68</x:f>
        <x:v>5699.6</x:v>
      </x:c>
      <x:c r="Q62" s="15" t="n">
        <x:f>'Inputs and sources'!E68</x:f>
        <x:v>7404.5</x:v>
      </x:c>
      <x:c r="R62" s="15" t="n">
        <x:f>'Inputs and sources'!F68</x:f>
        <x:v>8001.1</x:v>
      </x:c>
      <x:c r="S62" s="15" t="n">
        <x:f>'Inputs and sources'!G68</x:f>
        <x:v>8433.6</x:v>
      </x:c>
      <x:c r="T62" s="15" t="n">
        <x:f>'Inputs and sources'!H68</x:f>
        <x:v>8983.7</x:v>
      </x:c>
      <x:c r="U62" s="15" t="n">
        <x:f>'Inputs and sources'!I68</x:f>
        <x:v>9851.4</x:v>
      </x:c>
      <x:c r="V62" s="7" t="str">
        <x:v>alkem22; alkem22; alkem23; alkem24; alkem25; alkem26 | Main growth is reported secondary IQVIA growth, not growth of sales proxy. Sales are domestic primary revenue x secondary mix. FY26 mix rounded to whole %. Use main reported growth to assess trend.</x:v>
      </x:c>
    </x:row>
    <x:row r="63" ht="19" customHeight="1">
      <x:c r="A63" s="7"/>
      <x:c r="B63" s="7"/>
      <x:c r="C63" s="7"/>
      <x:c r="D63" s="7"/>
      <x:c r="E63" s="7"/>
      <x:c r="F63" s="7"/>
      <x:c r="G63" s="7"/>
      <x:c r="H63" s="7"/>
      <x:c r="I63" s="7"/>
      <x:c r="J63" s="7"/>
      <x:c r="K63" s="7"/>
      <x:c r="L63" s="7"/>
      <x:c r="M63" s="7"/>
      <x:c r="N63" s="7"/>
      <x:c r="O63" s="7"/>
      <x:c r="P63" s="7"/>
      <x:c r="Q63" s="7"/>
      <x:c r="R63" s="7"/>
      <x:c r="S63" s="7"/>
      <x:c r="T63" s="7"/>
      <x:c r="U63" s="7"/>
      <x:c r="V63" s="7"/>
    </x:row>
    <x:row r="64" ht="19" customHeight="1">
      <x:c r="A64" s="7"/>
      <x:c r="B64" s="7"/>
      <x:c r="C64" s="7"/>
      <x:c r="D64" s="7"/>
      <x:c r="E64" s="7"/>
      <x:c r="F64" s="7"/>
      <x:c r="G64" s="7"/>
      <x:c r="H64" s="7"/>
      <x:c r="I64" s="7"/>
      <x:c r="J64" s="7"/>
      <x:c r="K64" s="7"/>
      <x:c r="L64" s="7"/>
      <x:c r="M64" s="7"/>
      <x:c r="N64" s="7"/>
      <x:c r="O64" s="7"/>
      <x:c r="P64" s="7"/>
      <x:c r="Q64" s="7"/>
      <x:c r="R64" s="7"/>
      <x:c r="S64" s="7"/>
      <x:c r="T64" s="7"/>
      <x:c r="U64" s="7"/>
      <x:c r="V64" s="7"/>
    </x:row>
  </x:sheetData>
  <x:pageMargins left="0.7" right="0.7" top="0.75" bottom="0.75" header="0.3" footer="0.3"/>
</x:worksheet>
</file>

<file path=xl/worksheets/sheet3.xml><?xml version="1.0" encoding="utf-8"?>
<x:worksheet xmlns:x="http://schemas.openxmlformats.org/spreadsheetml/2006/main">
  <x:sheetViews>
    <x:sheetView showGridLines="1" workbookViewId="0">
      <x:pane xSplit="2" ySplit="8" topLeftCell="C9" activePane="bottomRight" state="frozen"/>
    </x:sheetView>
  </x:sheetViews>
  <x:sheetFormatPr defaultRowHeight="15"/>
  <x:cols>
    <x:col min="1" max="1" width="23" hidden="0" customWidth="1"/>
    <x:col min="2" max="2" width="27" hidden="0" customWidth="1"/>
    <x:col min="3" max="3" width="15"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00" hidden="0" customWidth="1"/>
  </x:cols>
  <x:sheetData>
    <x:row r="1" ht="19" customHeight="1">
      <x:c r="A1" s="7"/>
      <x:c r="B1" s="7"/>
      <x:c r="C1" s="7"/>
      <x:c r="D1" s="7"/>
      <x:c r="E1" s="7"/>
      <x:c r="F1" s="7"/>
      <x:c r="G1" s="7"/>
      <x:c r="H1" s="7"/>
      <x:c r="I1" s="7"/>
      <x:c r="J1" s="7"/>
      <x:c r="K1" s="7"/>
      <x:c r="L1" s="7"/>
      <x:c r="M1" s="7"/>
      <x:c r="N1" s="7"/>
    </x:row>
    <x:row r="2" ht="19" customHeight="1">
      <x:c r="A2" s="10" t="str">
        <x:v>MNC neutral allocation estimates — LOW CONFIDENCE</x:v>
      </x:c>
      <x:c r="B2" s="7"/>
      <x:c r="C2" s="7"/>
      <x:c r="D2" s="7"/>
      <x:c r="E2" s="7"/>
      <x:c r="F2" s="7"/>
      <x:c r="G2" s="7"/>
      <x:c r="H2" s="7"/>
      <x:c r="I2" s="7"/>
      <x:c r="J2" s="7"/>
      <x:c r="K2" s="7"/>
      <x:c r="L2" s="7"/>
      <x:c r="M2" s="7"/>
      <x:c r="N2" s="7"/>
    </x:row>
    <x:row r="3" ht="19" customHeight="1">
      <x:c r="A3" s="7"/>
      <x:c r="B3" s="7"/>
      <x:c r="C3" s="7"/>
      <x:c r="D3" s="7"/>
      <x:c r="E3" s="7"/>
      <x:c r="F3" s="7"/>
      <x:c r="G3" s="7"/>
      <x:c r="H3" s="7"/>
      <x:c r="I3" s="7"/>
      <x:c r="J3" s="7"/>
      <x:c r="K3" s="7"/>
      <x:c r="L3" s="7"/>
      <x:c r="M3" s="7"/>
      <x:c r="N3" s="7"/>
    </x:row>
    <x:row r="4" ht="19" customHeight="1">
      <x:c r="A4" s="7" t="str">
        <x:v>Illustrative sales allocation only. Every percentage weight is an editable analyst assumption; annual reports do NOT disclose these weights.</x:v>
      </x:c>
      <x:c r="B4" s="7"/>
      <x:c r="C4" s="7"/>
      <x:c r="D4" s="7"/>
      <x:c r="E4" s="7"/>
      <x:c r="F4" s="7"/>
      <x:c r="G4" s="7"/>
      <x:c r="H4" s="7"/>
      <x:c r="I4" s="7"/>
      <x:c r="J4" s="7"/>
      <x:c r="K4" s="7"/>
      <x:c r="L4" s="7"/>
      <x:c r="M4" s="7"/>
      <x:c r="N4" s="7"/>
    </x:row>
    <x:row r="5" ht="19" customHeight="1">
      <x:c r="A5" s="7" t="str">
        <x:v>Fixed shares force every therapy to grow at entity sales growth. This model does not estimate relative historical therapy growth.</x:v>
      </x:c>
      <x:c r="B5" s="7"/>
      <x:c r="C5" s="7"/>
      <x:c r="D5" s="7"/>
      <x:c r="E5" s="7"/>
      <x:c r="F5" s="7"/>
      <x:c r="G5" s="7"/>
      <x:c r="H5" s="7"/>
      <x:c r="I5" s="7"/>
      <x:c r="J5" s="7"/>
      <x:c r="K5" s="7"/>
      <x:c r="L5" s="7"/>
      <x:c r="M5" s="7"/>
      <x:c r="N5" s="7"/>
    </x:row>
    <x:row r="6" ht="19" customHeight="1">
      <x:c r="A6" s="7" t="str">
        <x:v>Sanofi columns use CY21–CY25; CY24 demerger growth suppressed. Listed entities only. No group-wide IPM figures used.</x:v>
      </x:c>
      <x:c r="B6" s="7"/>
      <x:c r="C6" s="7"/>
      <x:c r="D6" s="7"/>
      <x:c r="E6" s="7"/>
      <x:c r="F6" s="7"/>
      <x:c r="G6" s="7"/>
      <x:c r="H6" s="7"/>
      <x:c r="I6" s="7"/>
      <x:c r="J6" s="7"/>
      <x:c r="K6" s="7"/>
      <x:c r="L6" s="7"/>
      <x:c r="M6" s="7"/>
      <x:c r="N6" s="7"/>
    </x:row>
    <x:row r="7" ht="19" customHeight="1">
      <x:c r="A7" s="7"/>
      <x:c r="B7" s="7"/>
      <x:c r="C7" s="7"/>
      <x:c r="D7" s="7"/>
      <x:c r="E7" s="7"/>
      <x:c r="F7" s="7"/>
      <x:c r="G7" s="7"/>
      <x:c r="H7" s="7"/>
      <x:c r="I7" s="7"/>
      <x:c r="J7" s="7"/>
      <x:c r="K7" s="7"/>
      <x:c r="L7" s="7"/>
      <x:c r="M7" s="7"/>
      <x:c r="N7" s="7"/>
    </x:row>
    <x:row r="8" ht="27" customHeight="1">
      <x:c r="A8" s="9" t="str">
        <x:v>Company</x:v>
      </x:c>
      <x:c r="B8" s="9" t="str">
        <x:v>Therapy</x:v>
      </x:c>
      <x:c r="C8" s="9" t="str">
        <x:v>Assumed share</x:v>
      </x:c>
      <x:c r="D8" s="9" t="str">
        <x:v>FY22 sales</x:v>
      </x:c>
      <x:c r="E8" s="9" t="str">
        <x:v>FY23 sales</x:v>
      </x:c>
      <x:c r="F8" s="9" t="str">
        <x:v>FY24 sales</x:v>
      </x:c>
      <x:c r="G8" s="9" t="str">
        <x:v>FY25 sales</x:v>
      </x:c>
      <x:c r="H8" s="9" t="str">
        <x:v>FY26 sales</x:v>
      </x:c>
      <x:c r="I8" s="9" t="str">
        <x:v>FY22 growth</x:v>
      </x:c>
      <x:c r="J8" s="9" t="str">
        <x:v>FY23 growth</x:v>
      </x:c>
      <x:c r="K8" s="9" t="str">
        <x:v>FY24 growth</x:v>
      </x:c>
      <x:c r="L8" s="9" t="str">
        <x:v>FY25 growth</x:v>
      </x:c>
      <x:c r="M8" s="9" t="str">
        <x:v>FY26 growth</x:v>
      </x:c>
      <x:c r="N8" s="9" t="str">
        <x:v>Source / estimate note</x:v>
      </x:c>
    </x:row>
    <x:row r="9" ht="19" customHeight="1">
      <x:c r="A9" s="7" t="str">
        <x:v>Abbott India</x:v>
      </x:c>
      <x:c r="B9" s="7" t="str">
        <x:v>Diabetes / insulin</x:v>
      </x:c>
      <x:c r="C9" s="8" t="n">
        <x:f>'Inputs and sources'!I90</x:f>
        <x:v>0.4</x:v>
      </x:c>
      <x:c r="D9" s="15" t="n">
        <x:f>'Inputs and sources'!E89*'Inputs and sources'!E90</x:f>
        <x:v>1967.7080000000003</x:v>
      </x:c>
      <x:c r="E9" s="15" t="n">
        <x:f>'Inputs and sources'!F89*'Inputs and sources'!F90</x:f>
        <x:v>2139.4919999999997</x:v>
      </x:c>
      <x:c r="F9" s="15" t="n">
        <x:f>'Inputs and sources'!G89*'Inputs and sources'!G90</x:f>
        <x:v>2339.564</x:v>
      </x:c>
      <x:c r="G9" s="15" t="n">
        <x:f>'Inputs and sources'!H89*'Inputs and sources'!H90</x:f>
        <x:v>2563.66</x:v>
      </x:c>
      <x:c r="H9" s="15" t="n">
        <x:f>'Inputs and sources'!I89*'Inputs and sources'!I90</x:f>
        <x:v>2771.6200000000003</x:v>
      </x:c>
      <x:c r="I9" s="8" t="n">
        <x:f>D9/('Inputs and sources'!D89*'Inputs and sources'!D90)-1</x:f>
        <x:v>0.14135665263734265</x:v>
      </x:c>
      <x:c r="J9" s="8" t="n">
        <x:f>E9/D9-1</x:f>
        <x:v>0.08730157116807957</x:v>
      </x:c>
      <x:c r="K9" s="8" t="n">
        <x:f>F9/E9-1</x:f>
        <x:v>0.0935137873850429</x:v>
      </x:c>
      <x:c r="L9" s="8" t="n">
        <x:f>G9/F9-1</x:f>
        <x:v>0.09578536855585051</x:v>
      </x:c>
      <x:c r="M9" s="8" t="n">
        <x:f>H9/G9-1</x:f>
        <x:v>0.08111840103601908</x:v>
      </x:c>
      <x:c r="N9" s="7" t="str">
        <x:v>All weights below are arbitrary, editable portfolio allocation assumptions. Constant mix forces every therapy to track entity sales; it provides no evidence of relative therapy performance. Abbott India listed entity only, including Novo Nordisk distribution; not the whole Abbott India group. Source supports portfolio categories only, NOT weights. Source: abbott26</x:v>
      </x:c>
    </x:row>
    <x:row r="10" ht="19" customHeight="1">
      <x:c r="A10" s="7" t="str">
        <x:v>Abbott India</x:v>
      </x:c>
      <x:c r="B10" s="7" t="str">
        <x:v>Gastrointestinal</x:v>
      </x:c>
      <x:c r="C10" s="8" t="n">
        <x:f>'Inputs and sources'!I91</x:f>
        <x:v>0.22</x:v>
      </x:c>
      <x:c r="D10" s="15" t="n">
        <x:f>'Inputs and sources'!E89*'Inputs and sources'!E91</x:f>
        <x:v>1082.2394000000002</x:v>
      </x:c>
      <x:c r="E10" s="15" t="n">
        <x:f>'Inputs and sources'!F89*'Inputs and sources'!F91</x:f>
        <x:v>1176.7205999999999</x:v>
      </x:c>
      <x:c r="F10" s="15" t="n">
        <x:f>'Inputs and sources'!G89*'Inputs and sources'!G91</x:f>
        <x:v>1286.7602</x:v>
      </x:c>
      <x:c r="G10" s="15" t="n">
        <x:f>'Inputs and sources'!H89*'Inputs and sources'!H91</x:f>
        <x:v>1410.013</x:v>
      </x:c>
      <x:c r="H10" s="15" t="n">
        <x:f>'Inputs and sources'!I89*'Inputs and sources'!I91</x:f>
        <x:v>1524.391</x:v>
      </x:c>
      <x:c r="I10" s="8" t="n">
        <x:f>D10/('Inputs and sources'!D89*'Inputs and sources'!D91)-1</x:f>
        <x:v>0.14135665263734287</x:v>
      </x:c>
      <x:c r="J10" s="8" t="n">
        <x:f>E10/D10-1</x:f>
        <x:v>0.08730157116807957</x:v>
      </x:c>
      <x:c r="K10" s="8" t="n">
        <x:f>F10/E10-1</x:f>
        <x:v>0.0935137873850429</x:v>
      </x:c>
      <x:c r="L10" s="8" t="n">
        <x:f>G10/F10-1</x:f>
        <x:v>0.09578536855585051</x:v>
      </x:c>
      <x:c r="M10" s="8" t="n">
        <x:f>H10/G10-1</x:f>
        <x:v>0.08111840103601886</x:v>
      </x:c>
      <x:c r="N10" s="7" t="str">
        <x:v>All weights below are arbitrary, editable portfolio allocation assumptions. Constant mix forces every therapy to track entity sales; it provides no evidence of relative therapy performance. Abbott India listed entity only, including Novo Nordisk distribution; not the whole Abbott India group. Source supports portfolio categories only, NOT weights. Source: abbott26</x:v>
      </x:c>
    </x:row>
    <x:row r="11" ht="19" customHeight="1">
      <x:c r="A11" s="7" t="str">
        <x:v>Abbott India</x:v>
      </x:c>
      <x:c r="B11" s="7" t="str">
        <x:v>Women's health</x:v>
      </x:c>
      <x:c r="C11" s="8" t="n">
        <x:f>'Inputs and sources'!I92</x:f>
        <x:v>0.15</x:v>
      </x:c>
      <x:c r="D11" s="15" t="n">
        <x:f>'Inputs and sources'!E89*'Inputs and sources'!E92</x:f>
        <x:v>737.8905000000001</x:v>
      </x:c>
      <x:c r="E11" s="15" t="n">
        <x:f>'Inputs and sources'!F89*'Inputs and sources'!F92</x:f>
        <x:v>802.3095</x:v>
      </x:c>
      <x:c r="F11" s="15" t="n">
        <x:f>'Inputs and sources'!G89*'Inputs and sources'!G92</x:f>
        <x:v>877.3365</x:v>
      </x:c>
      <x:c r="G11" s="15" t="n">
        <x:f>'Inputs and sources'!H89*'Inputs and sources'!H92</x:f>
        <x:v>961.3725</x:v>
      </x:c>
      <x:c r="H11" s="15" t="n">
        <x:f>'Inputs and sources'!I89*'Inputs and sources'!I92</x:f>
        <x:v>1039.3575</x:v>
      </x:c>
      <x:c r="I11" s="8" t="n">
        <x:f>D11/('Inputs and sources'!D89*'Inputs and sources'!D92)-1</x:f>
        <x:v>0.14135665263734287</x:v>
      </x:c>
      <x:c r="J11" s="8" t="n">
        <x:f>E11/D11-1</x:f>
        <x:v>0.08730157116807957</x:v>
      </x:c>
      <x:c r="K11" s="8" t="n">
        <x:f>F11/E11-1</x:f>
        <x:v>0.0935137873850429</x:v>
      </x:c>
      <x:c r="L11" s="8" t="n">
        <x:f>G11/F11-1</x:f>
        <x:v>0.09578536855585051</x:v>
      </x:c>
      <x:c r="M11" s="8" t="n">
        <x:f>H11/G11-1</x:f>
        <x:v>0.08111840103601886</x:v>
      </x:c>
      <x:c r="N11" s="7" t="str">
        <x:v>All weights below are arbitrary, editable portfolio allocation assumptions. Constant mix forces every therapy to track entity sales; it provides no evidence of relative therapy performance. Abbott India listed entity only, including Novo Nordisk distribution; not the whole Abbott India group. Source supports portfolio categories only, NOT weights. Source: abbott26</x:v>
      </x:c>
    </x:row>
    <x:row r="12" ht="19" customHeight="1">
      <x:c r="A12" s="7" t="str">
        <x:v>Abbott India</x:v>
      </x:c>
      <x:c r="B12" s="7" t="str">
        <x:v>Thyroid</x:v>
      </x:c>
      <x:c r="C12" s="8" t="n">
        <x:f>'Inputs and sources'!I93</x:f>
        <x:v>0.1</x:v>
      </x:c>
      <x:c r="D12" s="15" t="n">
        <x:f>'Inputs and sources'!E89*'Inputs and sources'!E93</x:f>
        <x:v>491.9270000000001</x:v>
      </x:c>
      <x:c r="E12" s="15" t="n">
        <x:f>'Inputs and sources'!F89*'Inputs and sources'!F93</x:f>
        <x:v>534.8729999999999</x:v>
      </x:c>
      <x:c r="F12" s="15" t="n">
        <x:f>'Inputs and sources'!G89*'Inputs and sources'!G93</x:f>
        <x:v>584.891</x:v>
      </x:c>
      <x:c r="G12" s="15" t="n">
        <x:f>'Inputs and sources'!H89*'Inputs and sources'!H93</x:f>
        <x:v>640.915</x:v>
      </x:c>
      <x:c r="H12" s="15" t="n">
        <x:f>'Inputs and sources'!I89*'Inputs and sources'!I93</x:f>
        <x:v>692.9050000000001</x:v>
      </x:c>
      <x:c r="I12" s="8" t="n">
        <x:f>D12/('Inputs and sources'!D89*'Inputs and sources'!D93)-1</x:f>
        <x:v>0.14135665263734265</x:v>
      </x:c>
      <x:c r="J12" s="8" t="n">
        <x:f>E12/D12-1</x:f>
        <x:v>0.08730157116807957</x:v>
      </x:c>
      <x:c r="K12" s="8" t="n">
        <x:f>F12/E12-1</x:f>
        <x:v>0.0935137873850429</x:v>
      </x:c>
      <x:c r="L12" s="8" t="n">
        <x:f>G12/F12-1</x:f>
        <x:v>0.09578536855585051</x:v>
      </x:c>
      <x:c r="M12" s="8" t="n">
        <x:f>H12/G12-1</x:f>
        <x:v>0.08111840103601908</x:v>
      </x:c>
      <x:c r="N12" s="7" t="str">
        <x:v>All weights below are arbitrary, editable portfolio allocation assumptions. Constant mix forces every therapy to track entity sales; it provides no evidence of relative therapy performance. Abbott India listed entity only, including Novo Nordisk distribution; not the whole Abbott India group. Source supports portfolio categories only, NOT weights. Source: abbott26</x:v>
      </x:c>
    </x:row>
    <x:row r="13" ht="19" customHeight="1">
      <x:c r="A13" s="7" t="str">
        <x:v>Abbott India</x:v>
      </x:c>
      <x:c r="B13" s="7" t="str">
        <x:v>CNS</x:v>
      </x:c>
      <x:c r="C13" s="8" t="n">
        <x:f>'Inputs and sources'!I94</x:f>
        <x:v>0.08</x:v>
      </x:c>
      <x:c r="D13" s="15" t="n">
        <x:f>'Inputs and sources'!E89*'Inputs and sources'!E94</x:f>
        <x:v>393.5416</x:v>
      </x:c>
      <x:c r="E13" s="15" t="n">
        <x:f>'Inputs and sources'!F89*'Inputs and sources'!F94</x:f>
        <x:v>427.8984</x:v>
      </x:c>
      <x:c r="F13" s="15" t="n">
        <x:f>'Inputs and sources'!G89*'Inputs and sources'!G94</x:f>
        <x:v>467.9128</x:v>
      </x:c>
      <x:c r="G13" s="15" t="n">
        <x:f>'Inputs and sources'!H89*'Inputs and sources'!H94</x:f>
        <x:v>512.732</x:v>
      </x:c>
      <x:c r="H13" s="15" t="n">
        <x:f>'Inputs and sources'!I89*'Inputs and sources'!I94</x:f>
        <x:v>554.3240000000001</x:v>
      </x:c>
      <x:c r="I13" s="8" t="n">
        <x:f>D13/('Inputs and sources'!D89*'Inputs and sources'!D94)-1</x:f>
        <x:v>0.14135665263734265</x:v>
      </x:c>
      <x:c r="J13" s="8" t="n">
        <x:f>E13/D13-1</x:f>
        <x:v>0.0873015711680798</x:v>
      </x:c>
      <x:c r="K13" s="8" t="n">
        <x:f>F13/E13-1</x:f>
        <x:v>0.0935137873850429</x:v>
      </x:c>
      <x:c r="L13" s="8" t="n">
        <x:f>G13/F13-1</x:f>
        <x:v>0.09578536855585051</x:v>
      </x:c>
      <x:c r="M13" s="8" t="n">
        <x:f>H13/G13-1</x:f>
        <x:v>0.08111840103601908</x:v>
      </x:c>
      <x:c r="N13" s="7" t="str">
        <x:v>All weights below are arbitrary, editable portfolio allocation assumptions. Constant mix forces every therapy to track entity sales; it provides no evidence of relative therapy performance. Abbott India listed entity only, including Novo Nordisk distribution; not the whole Abbott India group. Source supports portfolio categories only, NOT weights. Source: abbott26</x:v>
      </x:c>
    </x:row>
    <x:row r="14" ht="19" customHeight="1">
      <x:c r="A14" s="7" t="str">
        <x:v>Abbott India</x:v>
      </x:c>
      <x:c r="B14" s="7" t="str">
        <x:v>Other</x:v>
      </x:c>
      <x:c r="C14" s="8" t="n">
        <x:f>'Inputs and sources'!I95</x:f>
        <x:v>0.05</x:v>
      </x:c>
      <x:c r="D14" s="15" t="n">
        <x:f>'Inputs and sources'!E89*'Inputs and sources'!E95</x:f>
        <x:v>245.96350000000004</x:v>
      </x:c>
      <x:c r="E14" s="15" t="n">
        <x:f>'Inputs and sources'!F89*'Inputs and sources'!F95</x:f>
        <x:v>267.43649999999997</x:v>
      </x:c>
      <x:c r="F14" s="15" t="n">
        <x:f>'Inputs and sources'!G89*'Inputs and sources'!G95</x:f>
        <x:v>292.4455</x:v>
      </x:c>
      <x:c r="G14" s="15" t="n">
        <x:f>'Inputs and sources'!H89*'Inputs and sources'!H95</x:f>
        <x:v>320.4575</x:v>
      </x:c>
      <x:c r="H14" s="15" t="n">
        <x:f>'Inputs and sources'!I89*'Inputs and sources'!I95</x:f>
        <x:v>346.45250000000004</x:v>
      </x:c>
      <x:c r="I14" s="8" t="n">
        <x:f>D14/('Inputs and sources'!D89*'Inputs and sources'!D95)-1</x:f>
        <x:v>0.14135665263734265</x:v>
      </x:c>
      <x:c r="J14" s="8" t="n">
        <x:f>E14/D14-1</x:f>
        <x:v>0.08730157116807957</x:v>
      </x:c>
      <x:c r="K14" s="8" t="n">
        <x:f>F14/E14-1</x:f>
        <x:v>0.0935137873850429</x:v>
      </x:c>
      <x:c r="L14" s="8" t="n">
        <x:f>G14/F14-1</x:f>
        <x:v>0.09578536855585051</x:v>
      </x:c>
      <x:c r="M14" s="8" t="n">
        <x:f>H14/G14-1</x:f>
        <x:v>0.08111840103601908</x:v>
      </x:c>
      <x:c r="N14" s="7" t="str">
        <x:v>All weights below are arbitrary, editable portfolio allocation assumptions. Constant mix forces every therapy to track entity sales; it provides no evidence of relative therapy performance. Abbott India listed entity only, including Novo Nordisk distribution; not the whole Abbott India group. Source supports portfolio categories only, NOT weights. Source: abbott26</x:v>
      </x:c>
    </x:row>
    <x:row r="15" ht="19" customHeight="1">
      <x:c r="A15" s="7" t="str">
        <x:v>Pfizer India</x:v>
      </x:c>
      <x:c r="B15" s="7" t="str">
        <x:v>Anti-infectives</x:v>
      </x:c>
      <x:c r="C15" s="8" t="n">
        <x:f>'Inputs and sources'!I97</x:f>
        <x:v>0.25</x:v>
      </x:c>
      <x:c r="D15" s="15" t="n">
        <x:f>'Inputs and sources'!E96*'Inputs and sources'!E97</x:f>
        <x:v>632.5</x:v>
      </x:c>
      <x:c r="E15" s="15" t="n">
        <x:f>'Inputs and sources'!F96*'Inputs and sources'!F97</x:f>
        <x:v>584.4075</x:v>
      </x:c>
      <x:c r="F15" s="15" t="n">
        <x:f>'Inputs and sources'!G96*'Inputs and sources'!G97</x:f>
        <x:v>520.26</x:v>
      </x:c>
      <x:c r="G15" s="15" t="n">
        <x:f>'Inputs and sources'!H96*'Inputs and sources'!H97</x:f>
        <x:v>532.09</x:v>
      </x:c>
      <x:c r="H15" s="15" t="n">
        <x:f>'Inputs and sources'!I96*'Inputs and sources'!I97</x:f>
        <x:v>594.2775</x:v>
      </x:c>
      <x:c r="I15" s="8" t="n">
        <x:f>D15/('Inputs and sources'!D96*'Inputs and sources'!D97)-1</x:f>
        <x:v>0.15525114155251152</x:v>
      </x:c>
      <x:c r="J15" s="8" t="n">
        <x:f>E15/D15-1</x:f>
        <x:v>-0.07603557312252962</x:v>
      </x:c>
      <x:c r="K15" s="8" t="n">
        <x:f>F15/E15-1</x:f>
        <x:v>-0.1097650184160881</x:v>
      </x:c>
      <x:c r="L15" s="8" t="n">
        <x:f>G15/F15-1</x:f>
        <x:v>0.022738630684657757</x:v>
      </x:c>
      <x:c r="M15" s="8" t="n">
        <x:f>H15/G15-1</x:f>
        <x:v>0.11687402507094657</x:v>
      </x:c>
      <x:c r="N15" s="7" t="str">
        <x:v>All weights below are arbitrary, editable portfolio allocation assumptions. Constant mix forces every therapy to track entity sales; it provides no evidence of relative therapy performance. Uses product sales, excluding other operating revenue. FY21/FY22 rounded product sales from FY26 ten-year table. Source supports brand categories only, NOT weights. Source: pfizer26</x:v>
      </x:c>
    </x:row>
    <x:row r="16" ht="19" customHeight="1">
      <x:c r="A16" s="7" t="str">
        <x:v>Pfizer India</x:v>
      </x:c>
      <x:c r="B16" s="7" t="str">
        <x:v>Vaccines</x:v>
      </x:c>
      <x:c r="C16" s="8" t="n">
        <x:f>'Inputs and sources'!I98</x:f>
        <x:v>0.2</x:v>
      </x:c>
      <x:c r="D16" s="15" t="n">
        <x:f>'Inputs and sources'!E96*'Inputs and sources'!E98</x:f>
        <x:v>506</x:v>
      </x:c>
      <x:c r="E16" s="15" t="n">
        <x:f>'Inputs and sources'!F96*'Inputs and sources'!F98</x:f>
        <x:v>467.52600000000007</x:v>
      </x:c>
      <x:c r="F16" s="15" t="n">
        <x:f>'Inputs and sources'!G96*'Inputs and sources'!G98</x:f>
        <x:v>416.208</x:v>
      </x:c>
      <x:c r="G16" s="15" t="n">
        <x:f>'Inputs and sources'!H96*'Inputs and sources'!H98</x:f>
        <x:v>425.672</x:v>
      </x:c>
      <x:c r="H16" s="15" t="n">
        <x:f>'Inputs and sources'!I96*'Inputs and sources'!I98</x:f>
        <x:v>475.422</x:v>
      </x:c>
      <x:c r="I16" s="8" t="n">
        <x:f>D16/('Inputs and sources'!D96*'Inputs and sources'!D98)-1</x:f>
        <x:v>0.15525114155251152</x:v>
      </x:c>
      <x:c r="J16" s="8" t="n">
        <x:f>E16/D16-1</x:f>
        <x:v>-0.07603557312252951</x:v>
      </x:c>
      <x:c r="K16" s="8" t="n">
        <x:f>F16/E16-1</x:f>
        <x:v>-0.10976501841608821</x:v>
      </x:c>
      <x:c r="L16" s="8" t="n">
        <x:f>G16/F16-1</x:f>
        <x:v>0.022738630684657757</x:v>
      </x:c>
      <x:c r="M16" s="8" t="n">
        <x:f>H16/G16-1</x:f>
        <x:v>0.11687402507094657</x:v>
      </x:c>
      <x:c r="N16" s="7" t="str">
        <x:v>All weights below are arbitrary, editable portfolio allocation assumptions. Constant mix forces every therapy to track entity sales; it provides no evidence of relative therapy performance. Uses product sales, excluding other operating revenue. FY21/FY22 rounded product sales from FY26 ten-year table. Source supports brand categories only, NOT weights. Source: pfizer26</x:v>
      </x:c>
    </x:row>
    <x:row r="17" ht="19" customHeight="1">
      <x:c r="A17" s="7" t="str">
        <x:v>Pfizer India</x:v>
      </x:c>
      <x:c r="B17" s="7" t="str">
        <x:v>Cardiac</x:v>
      </x:c>
      <x:c r="C17" s="8" t="n">
        <x:f>'Inputs and sources'!I99</x:f>
        <x:v>0.15</x:v>
      </x:c>
      <x:c r="D17" s="15" t="n">
        <x:f>'Inputs and sources'!E96*'Inputs and sources'!E99</x:f>
        <x:v>379.5</x:v>
      </x:c>
      <x:c r="E17" s="15" t="n">
        <x:f>'Inputs and sources'!F96*'Inputs and sources'!F99</x:f>
        <x:v>350.6445</x:v>
      </x:c>
      <x:c r="F17" s="15" t="n">
        <x:f>'Inputs and sources'!G96*'Inputs and sources'!G99</x:f>
        <x:v>312.156</x:v>
      </x:c>
      <x:c r="G17" s="15" t="n">
        <x:f>'Inputs and sources'!H96*'Inputs and sources'!H99</x:f>
        <x:v>319.254</x:v>
      </x:c>
      <x:c r="H17" s="15" t="n">
        <x:f>'Inputs and sources'!I96*'Inputs and sources'!I99</x:f>
        <x:v>356.5665</x:v>
      </x:c>
      <x:c r="I17" s="8" t="n">
        <x:f>D17/('Inputs and sources'!D96*'Inputs and sources'!D99)-1</x:f>
        <x:v>0.15525114155251152</x:v>
      </x:c>
      <x:c r="J17" s="8" t="n">
        <x:f>E17/D17-1</x:f>
        <x:v>-0.07603557312252962</x:v>
      </x:c>
      <x:c r="K17" s="8" t="n">
        <x:f>F17/E17-1</x:f>
        <x:v>-0.1097650184160881</x:v>
      </x:c>
      <x:c r="L17" s="8" t="n">
        <x:f>G17/F17-1</x:f>
        <x:v>0.022738630684657757</x:v>
      </x:c>
      <x:c r="M17" s="8" t="n">
        <x:f>H17/G17-1</x:f>
        <x:v>0.11687402507094657</x:v>
      </x:c>
      <x:c r="N17" s="7" t="str">
        <x:v>All weights below are arbitrary, editable portfolio allocation assumptions. Constant mix forces every therapy to track entity sales; it provides no evidence of relative therapy performance. Uses product sales, excluding other operating revenue. FY21/FY22 rounded product sales from FY26 ten-year table. Source supports brand categories only, NOT weights. Source: pfizer26</x:v>
      </x:c>
    </x:row>
    <x:row r="18" ht="19" customHeight="1">
      <x:c r="A18" s="7" t="str">
        <x:v>Pfizer India</x:v>
      </x:c>
      <x:c r="B18" s="7" t="str">
        <x:v>Vitamins / minerals</x:v>
      </x:c>
      <x:c r="C18" s="8" t="n">
        <x:f>'Inputs and sources'!I100</x:f>
        <x:v>0.15</x:v>
      </x:c>
      <x:c r="D18" s="15" t="n">
        <x:f>'Inputs and sources'!E96*'Inputs and sources'!E100</x:f>
        <x:v>379.5</x:v>
      </x:c>
      <x:c r="E18" s="15" t="n">
        <x:f>'Inputs and sources'!F96*'Inputs and sources'!F100</x:f>
        <x:v>350.6445</x:v>
      </x:c>
      <x:c r="F18" s="15" t="n">
        <x:f>'Inputs and sources'!G96*'Inputs and sources'!G100</x:f>
        <x:v>312.156</x:v>
      </x:c>
      <x:c r="G18" s="15" t="n">
        <x:f>'Inputs and sources'!H96*'Inputs and sources'!H100</x:f>
        <x:v>319.254</x:v>
      </x:c>
      <x:c r="H18" s="15" t="n">
        <x:f>'Inputs and sources'!I96*'Inputs and sources'!I100</x:f>
        <x:v>356.5665</x:v>
      </x:c>
      <x:c r="I18" s="8" t="n">
        <x:f>D18/('Inputs and sources'!D96*'Inputs and sources'!D100)-1</x:f>
        <x:v>0.15525114155251152</x:v>
      </x:c>
      <x:c r="J18" s="8" t="n">
        <x:f>E18/D18-1</x:f>
        <x:v>-0.07603557312252962</x:v>
      </x:c>
      <x:c r="K18" s="8" t="n">
        <x:f>F18/E18-1</x:f>
        <x:v>-0.1097650184160881</x:v>
      </x:c>
      <x:c r="L18" s="8" t="n">
        <x:f>G18/F18-1</x:f>
        <x:v>0.022738630684657757</x:v>
      </x:c>
      <x:c r="M18" s="8" t="n">
        <x:f>H18/G18-1</x:f>
        <x:v>0.11687402507094657</x:v>
      </x:c>
      <x:c r="N18" s="7" t="str">
        <x:v>All weights below are arbitrary, editable portfolio allocation assumptions. Constant mix forces every therapy to track entity sales; it provides no evidence of relative therapy performance. Uses product sales, excluding other operating revenue. FY21/FY22 rounded product sales from FY26 ten-year table. Source supports brand categories only, NOT weights. Source: pfizer26</x:v>
      </x:c>
    </x:row>
    <x:row r="19" ht="19" customHeight="1">
      <x:c r="A19" s="7" t="str">
        <x:v>Pfizer India</x:v>
      </x:c>
      <x:c r="B19" s="7" t="str">
        <x:v>Respiratory</x:v>
      </x:c>
      <x:c r="C19" s="8" t="n">
        <x:f>'Inputs and sources'!I101</x:f>
        <x:v>0.1</x:v>
      </x:c>
      <x:c r="D19" s="15" t="n">
        <x:f>'Inputs and sources'!E96*'Inputs and sources'!E101</x:f>
        <x:v>253</x:v>
      </x:c>
      <x:c r="E19" s="15" t="n">
        <x:f>'Inputs and sources'!F96*'Inputs and sources'!F101</x:f>
        <x:v>233.76300000000003</x:v>
      </x:c>
      <x:c r="F19" s="15" t="n">
        <x:f>'Inputs and sources'!G96*'Inputs and sources'!G101</x:f>
        <x:v>208.104</x:v>
      </x:c>
      <x:c r="G19" s="15" t="n">
        <x:f>'Inputs and sources'!H96*'Inputs and sources'!H101</x:f>
        <x:v>212.836</x:v>
      </x:c>
      <x:c r="H19" s="15" t="n">
        <x:f>'Inputs and sources'!I96*'Inputs and sources'!I101</x:f>
        <x:v>237.711</x:v>
      </x:c>
      <x:c r="I19" s="8" t="n">
        <x:f>D19/('Inputs and sources'!D96*'Inputs and sources'!D101)-1</x:f>
        <x:v>0.15525114155251152</x:v>
      </x:c>
      <x:c r="J19" s="8" t="n">
        <x:f>E19/D19-1</x:f>
        <x:v>-0.07603557312252951</x:v>
      </x:c>
      <x:c r="K19" s="8" t="n">
        <x:f>F19/E19-1</x:f>
        <x:v>-0.10976501841608821</x:v>
      </x:c>
      <x:c r="L19" s="8" t="n">
        <x:f>G19/F19-1</x:f>
        <x:v>0.022738630684657757</x:v>
      </x:c>
      <x:c r="M19" s="8" t="n">
        <x:f>H19/G19-1</x:f>
        <x:v>0.11687402507094657</x:v>
      </x:c>
      <x:c r="N19" s="7" t="str">
        <x:v>All weights below are arbitrary, editable portfolio allocation assumptions. Constant mix forces every therapy to track entity sales; it provides no evidence of relative therapy performance. Uses product sales, excluding other operating revenue. FY21/FY22 rounded product sales from FY26 ten-year table. Source supports brand categories only, NOT weights. Source: pfizer26</x:v>
      </x:c>
    </x:row>
    <x:row r="20" ht="19" customHeight="1">
      <x:c r="A20" s="7" t="str">
        <x:v>Pfizer India</x:v>
      </x:c>
      <x:c r="B20" s="7" t="str">
        <x:v>Women's health</x:v>
      </x:c>
      <x:c r="C20" s="8" t="n">
        <x:f>'Inputs and sources'!I102</x:f>
        <x:v>0.05</x:v>
      </x:c>
      <x:c r="D20" s="15" t="n">
        <x:f>'Inputs and sources'!E96*'Inputs and sources'!E102</x:f>
        <x:v>126.5</x:v>
      </x:c>
      <x:c r="E20" s="15" t="n">
        <x:f>'Inputs and sources'!F96*'Inputs and sources'!F102</x:f>
        <x:v>116.88150000000002</x:v>
      </x:c>
      <x:c r="F20" s="15" t="n">
        <x:f>'Inputs and sources'!G96*'Inputs and sources'!G102</x:f>
        <x:v>104.052</x:v>
      </x:c>
      <x:c r="G20" s="15" t="n">
        <x:f>'Inputs and sources'!H96*'Inputs and sources'!H102</x:f>
        <x:v>106.418</x:v>
      </x:c>
      <x:c r="H20" s="15" t="n">
        <x:f>'Inputs and sources'!I96*'Inputs and sources'!I102</x:f>
        <x:v>118.8555</x:v>
      </x:c>
      <x:c r="I20" s="8" t="n">
        <x:f>D20/('Inputs and sources'!D96*'Inputs and sources'!D102)-1</x:f>
        <x:v>0.15525114155251152</x:v>
      </x:c>
      <x:c r="J20" s="8" t="n">
        <x:f>E20/D20-1</x:f>
        <x:v>-0.07603557312252951</x:v>
      </x:c>
      <x:c r="K20" s="8" t="n">
        <x:f>F20/E20-1</x:f>
        <x:v>-0.10976501841608821</x:v>
      </x:c>
      <x:c r="L20" s="8" t="n">
        <x:f>G20/F20-1</x:f>
        <x:v>0.022738630684657757</x:v>
      </x:c>
      <x:c r="M20" s="8" t="n">
        <x:f>H20/G20-1</x:f>
        <x:v>0.11687402507094657</x:v>
      </x:c>
      <x:c r="N20" s="7" t="str">
        <x:v>All weights below are arbitrary, editable portfolio allocation assumptions. Constant mix forces every therapy to track entity sales; it provides no evidence of relative therapy performance. Uses product sales, excluding other operating revenue. FY21/FY22 rounded product sales from FY26 ten-year table. Source supports brand categories only, NOT weights. Source: pfizer26</x:v>
      </x:c>
    </x:row>
    <x:row r="21" ht="19" customHeight="1">
      <x:c r="A21" s="7" t="str">
        <x:v>Pfizer India</x:v>
      </x:c>
      <x:c r="B21" s="7" t="str">
        <x:v>CNS</x:v>
      </x:c>
      <x:c r="C21" s="8" t="n">
        <x:f>'Inputs and sources'!I103</x:f>
        <x:v>0.05</x:v>
      </x:c>
      <x:c r="D21" s="15" t="n">
        <x:f>'Inputs and sources'!E96*'Inputs and sources'!E103</x:f>
        <x:v>126.5</x:v>
      </x:c>
      <x:c r="E21" s="15" t="n">
        <x:f>'Inputs and sources'!F96*'Inputs and sources'!F103</x:f>
        <x:v>116.88150000000002</x:v>
      </x:c>
      <x:c r="F21" s="15" t="n">
        <x:f>'Inputs and sources'!G96*'Inputs and sources'!G103</x:f>
        <x:v>104.052</x:v>
      </x:c>
      <x:c r="G21" s="15" t="n">
        <x:f>'Inputs and sources'!H96*'Inputs and sources'!H103</x:f>
        <x:v>106.418</x:v>
      </x:c>
      <x:c r="H21" s="15" t="n">
        <x:f>'Inputs and sources'!I96*'Inputs and sources'!I103</x:f>
        <x:v>118.8555</x:v>
      </x:c>
      <x:c r="I21" s="8" t="n">
        <x:f>D21/('Inputs and sources'!D96*'Inputs and sources'!D103)-1</x:f>
        <x:v>0.15525114155251152</x:v>
      </x:c>
      <x:c r="J21" s="8" t="n">
        <x:f>E21/D21-1</x:f>
        <x:v>-0.07603557312252951</x:v>
      </x:c>
      <x:c r="K21" s="8" t="n">
        <x:f>F21/E21-1</x:f>
        <x:v>-0.10976501841608821</x:v>
      </x:c>
      <x:c r="L21" s="8" t="n">
        <x:f>G21/F21-1</x:f>
        <x:v>0.022738630684657757</x:v>
      </x:c>
      <x:c r="M21" s="8" t="n">
        <x:f>H21/G21-1</x:f>
        <x:v>0.11687402507094657</x:v>
      </x:c>
      <x:c r="N21" s="7" t="str">
        <x:v>All weights below are arbitrary, editable portfolio allocation assumptions. Constant mix forces every therapy to track entity sales; it provides no evidence of relative therapy performance. Uses product sales, excluding other operating revenue. FY21/FY22 rounded product sales from FY26 ten-year table. Source supports brand categories only, NOT weights. Source: pfizer26</x:v>
      </x:c>
    </x:row>
    <x:row r="22" ht="19" customHeight="1">
      <x:c r="A22" s="7" t="str">
        <x:v>Pfizer India</x:v>
      </x:c>
      <x:c r="B22" s="7" t="str">
        <x:v>Other</x:v>
      </x:c>
      <x:c r="C22" s="8" t="n">
        <x:f>'Inputs and sources'!I104</x:f>
        <x:v>0.05</x:v>
      </x:c>
      <x:c r="D22" s="15" t="n">
        <x:f>'Inputs and sources'!E96*'Inputs and sources'!E104</x:f>
        <x:v>126.5</x:v>
      </x:c>
      <x:c r="E22" s="15" t="n">
        <x:f>'Inputs and sources'!F96*'Inputs and sources'!F104</x:f>
        <x:v>116.88150000000002</x:v>
      </x:c>
      <x:c r="F22" s="15" t="n">
        <x:f>'Inputs and sources'!G96*'Inputs and sources'!G104</x:f>
        <x:v>104.052</x:v>
      </x:c>
      <x:c r="G22" s="15" t="n">
        <x:f>'Inputs and sources'!H96*'Inputs and sources'!H104</x:f>
        <x:v>106.418</x:v>
      </x:c>
      <x:c r="H22" s="15" t="n">
        <x:f>'Inputs and sources'!I96*'Inputs and sources'!I104</x:f>
        <x:v>118.8555</x:v>
      </x:c>
      <x:c r="I22" s="8" t="n">
        <x:f>D22/('Inputs and sources'!D96*'Inputs and sources'!D104)-1</x:f>
        <x:v>0.15525114155251152</x:v>
      </x:c>
      <x:c r="J22" s="8" t="n">
        <x:f>E22/D22-1</x:f>
        <x:v>-0.07603557312252951</x:v>
      </x:c>
      <x:c r="K22" s="8" t="n">
        <x:f>F22/E22-1</x:f>
        <x:v>-0.10976501841608821</x:v>
      </x:c>
      <x:c r="L22" s="8" t="n">
        <x:f>G22/F22-1</x:f>
        <x:v>0.022738630684657757</x:v>
      </x:c>
      <x:c r="M22" s="8" t="n">
        <x:f>H22/G22-1</x:f>
        <x:v>0.11687402507094657</x:v>
      </x:c>
      <x:c r="N22" s="7" t="str">
        <x:v>All weights below are arbitrary, editable portfolio allocation assumptions. Constant mix forces every therapy to track entity sales; it provides no evidence of relative therapy performance. Uses product sales, excluding other operating revenue. FY21/FY22 rounded product sales from FY26 ten-year table. Source supports brand categories only, NOT weights. Source: pfizer26</x:v>
      </x:c>
    </x:row>
    <x:row r="23" ht="19" customHeight="1">
      <x:c r="A23" s="7" t="str">
        <x:v>Novartis India</x:v>
      </x:c>
      <x:c r="B23" s="7" t="str">
        <x:v>Pain</x:v>
      </x:c>
      <x:c r="C23" s="8" t="n">
        <x:f>'Inputs and sources'!I106</x:f>
        <x:v>0.45</x:v>
      </x:c>
      <x:c r="D23" s="15" t="n">
        <x:f>'Inputs and sources'!E105*'Inputs and sources'!E106</x:f>
        <x:v>179.94150000000002</x:v>
      </x:c>
      <x:c r="E23" s="15" t="n">
        <x:f>'Inputs and sources'!F105*'Inputs and sources'!F106</x:f>
        <x:v>170.43300000000002</x:v>
      </x:c>
      <x:c r="F23" s="15" t="n">
        <x:f>'Inputs and sources'!G105*'Inputs and sources'!G106</x:f>
        <x:v>150.7815</x:v>
      </x:c>
      <x:c r="G23" s="15" t="n">
        <x:f>'Inputs and sources'!H105*'Inputs and sources'!H106</x:f>
        <x:v>160.3215</x:v>
      </x:c>
      <x:c r="H23" s="15" t="n">
        <x:f>'Inputs and sources'!I105*'Inputs and sources'!I106</x:f>
        <x:v>159.4485</x:v>
      </x:c>
      <x:c r="I23" s="8" t="n">
        <x:f>D23/('Inputs and sources'!D105*'Inputs and sources'!D106)-1</x:f>
        <x:v>0.04856431100039327</x:v>
      </x:c>
      <x:c r="J23" s="8" t="n">
        <x:f>E23/D23-1</x:f>
        <x:v>-0.05284217370645461</x:v>
      </x:c>
      <x:c r="K23" s="8" t="n">
        <x:f>F23/E23-1</x:f>
        <x:v>-0.1153033743465175</x:v>
      </x:c>
      <x:c r="L23" s="8" t="n">
        <x:f>G23/F23-1</x:f>
        <x:v>0.06327036141701736</x:v>
      </x:c>
      <x:c r="M23" s="8" t="n">
        <x:f>H23/G23-1</x:f>
        <x:v>-0.005445308333567156</x:v>
      </x:c>
      <x:c r="N23" s="7" t="str">
        <x:v>All weights below are arbitrary, editable portfolio allocation assumptions. Constant mix forces every therapy to track entity sales; it provides no evidence of relative therapy performance. Listed Novartis India (now Evonile), excluding Novartis Healthcare Pvt Ltd. Source supports categories only, NOT weights. Reported portfolio growth shown separately in main sheet. Source: novartis26</x:v>
      </x:c>
    </x:row>
    <x:row r="24" ht="19" customHeight="1">
      <x:c r="A24" s="7" t="str">
        <x:v>Novartis India</x:v>
      </x:c>
      <x:c r="B24" s="7" t="str">
        <x:v>Transplant</x:v>
      </x:c>
      <x:c r="C24" s="8" t="n">
        <x:f>'Inputs and sources'!I107</x:f>
        <x:v>0.3</x:v>
      </x:c>
      <x:c r="D24" s="15" t="n">
        <x:f>'Inputs and sources'!E105*'Inputs and sources'!E107</x:f>
        <x:v>119.961</x:v>
      </x:c>
      <x:c r="E24" s="15" t="n">
        <x:f>'Inputs and sources'!F105*'Inputs and sources'!F107</x:f>
        <x:v>113.622</x:v>
      </x:c>
      <x:c r="F24" s="15" t="n">
        <x:f>'Inputs and sources'!G105*'Inputs and sources'!G107</x:f>
        <x:v>100.521</x:v>
      </x:c>
      <x:c r="G24" s="15" t="n">
        <x:f>'Inputs and sources'!H105*'Inputs and sources'!H107</x:f>
        <x:v>106.88099999999999</x:v>
      </x:c>
      <x:c r="H24" s="15" t="n">
        <x:f>'Inputs and sources'!I105*'Inputs and sources'!I107</x:f>
        <x:v>106.29899999999999</x:v>
      </x:c>
      <x:c r="I24" s="8" t="n">
        <x:f>D24/('Inputs and sources'!D105*'Inputs and sources'!D107)-1</x:f>
        <x:v>0.04856431100039327</x:v>
      </x:c>
      <x:c r="J24" s="8" t="n">
        <x:f>E24/D24-1</x:f>
        <x:v>-0.05284217370645461</x:v>
      </x:c>
      <x:c r="K24" s="8" t="n">
        <x:f>F24/E24-1</x:f>
        <x:v>-0.11530337434651738</x:v>
      </x:c>
      <x:c r="L24" s="8" t="n">
        <x:f>G24/F24-1</x:f>
        <x:v>0.06327036141701714</x:v>
      </x:c>
      <x:c r="M24" s="8" t="n">
        <x:f>H24/G24-1</x:f>
        <x:v>-0.005445308333567156</x:v>
      </x:c>
      <x:c r="N24" s="7" t="str">
        <x:v>All weights below are arbitrary, editable portfolio allocation assumptions. Constant mix forces every therapy to track entity sales; it provides no evidence of relative therapy performance. Listed Novartis India (now Evonile), excluding Novartis Healthcare Pvt Ltd. Source supports categories only, NOT weights. Reported portfolio growth shown separately in main sheet. Source: novartis26</x:v>
      </x:c>
    </x:row>
    <x:row r="25" ht="19" customHeight="1">
      <x:c r="A25" s="7" t="str">
        <x:v>Novartis India</x:v>
      </x:c>
      <x:c r="B25" s="7" t="str">
        <x:v>CNS</x:v>
      </x:c>
      <x:c r="C25" s="8" t="n">
        <x:f>'Inputs and sources'!I108</x:f>
        <x:v>0.15</x:v>
      </x:c>
      <x:c r="D25" s="15" t="n">
        <x:f>'Inputs and sources'!E105*'Inputs and sources'!E108</x:f>
        <x:v>59.9805</x:v>
      </x:c>
      <x:c r="E25" s="15" t="n">
        <x:f>'Inputs and sources'!F105*'Inputs and sources'!F108</x:f>
        <x:v>56.811</x:v>
      </x:c>
      <x:c r="F25" s="15" t="n">
        <x:f>'Inputs and sources'!G105*'Inputs and sources'!G108</x:f>
        <x:v>50.2605</x:v>
      </x:c>
      <x:c r="G25" s="15" t="n">
        <x:f>'Inputs and sources'!H105*'Inputs and sources'!H108</x:f>
        <x:v>53.44049999999999</x:v>
      </x:c>
      <x:c r="H25" s="15" t="n">
        <x:f>'Inputs and sources'!I105*'Inputs and sources'!I108</x:f>
        <x:v>53.149499999999996</x:v>
      </x:c>
      <x:c r="I25" s="8" t="n">
        <x:f>D25/('Inputs and sources'!D105*'Inputs and sources'!D108)-1</x:f>
        <x:v>0.04856431100039327</x:v>
      </x:c>
      <x:c r="J25" s="8" t="n">
        <x:f>E25/D25-1</x:f>
        <x:v>-0.05284217370645461</x:v>
      </x:c>
      <x:c r="K25" s="8" t="n">
        <x:f>F25/E25-1</x:f>
        <x:v>-0.11530337434651738</x:v>
      </x:c>
      <x:c r="L25" s="8" t="n">
        <x:f>G25/F25-1</x:f>
        <x:v>0.06327036141701714</x:v>
      </x:c>
      <x:c r="M25" s="8" t="n">
        <x:f>H25/G25-1</x:f>
        <x:v>-0.005445308333567156</x:v>
      </x:c>
      <x:c r="N25" s="7" t="str">
        <x:v>All weights below are arbitrary, editable portfolio allocation assumptions. Constant mix forces every therapy to track entity sales; it provides no evidence of relative therapy performance. Listed Novartis India (now Evonile), excluding Novartis Healthcare Pvt Ltd. Source supports categories only, NOT weights. Reported portfolio growth shown separately in main sheet. Source: novartis26</x:v>
      </x:c>
    </x:row>
    <x:row r="26" ht="19" customHeight="1">
      <x:c r="A26" s="7" t="str">
        <x:v>Novartis India</x:v>
      </x:c>
      <x:c r="B26" s="7" t="str">
        <x:v>Vitamins / calcium</x:v>
      </x:c>
      <x:c r="C26" s="8" t="n">
        <x:f>'Inputs and sources'!I109</x:f>
        <x:v>0.08</x:v>
      </x:c>
      <x:c r="D26" s="15" t="n">
        <x:f>'Inputs and sources'!E105*'Inputs and sources'!E109</x:f>
        <x:v>31.9896</x:v>
      </x:c>
      <x:c r="E26" s="15" t="n">
        <x:f>'Inputs and sources'!F105*'Inputs and sources'!F109</x:f>
        <x:v>30.299200000000003</x:v>
      </x:c>
      <x:c r="F26" s="15" t="n">
        <x:f>'Inputs and sources'!G105*'Inputs and sources'!G109</x:f>
        <x:v>26.8056</x:v>
      </x:c>
      <x:c r="G26" s="15" t="n">
        <x:f>'Inputs and sources'!H105*'Inputs and sources'!H109</x:f>
        <x:v>28.5016</x:v>
      </x:c>
      <x:c r="H26" s="15" t="n">
        <x:f>'Inputs and sources'!I105*'Inputs and sources'!I109</x:f>
        <x:v>28.3464</x:v>
      </x:c>
      <x:c r="I26" s="8" t="n">
        <x:f>D26/('Inputs and sources'!D105*'Inputs and sources'!D109)-1</x:f>
        <x:v>0.04856431100039327</x:v>
      </x:c>
      <x:c r="J26" s="8" t="n">
        <x:f>E26/D26-1</x:f>
        <x:v>-0.0528421737064545</x:v>
      </x:c>
      <x:c r="K26" s="8" t="n">
        <x:f>F26/E26-1</x:f>
        <x:v>-0.1153033743465175</x:v>
      </x:c>
      <x:c r="L26" s="8" t="n">
        <x:f>G26/F26-1</x:f>
        <x:v>0.06327036141701736</x:v>
      </x:c>
      <x:c r="M26" s="8" t="n">
        <x:f>H26/G26-1</x:f>
        <x:v>-0.005445308333567267</x:v>
      </x:c>
      <x:c r="N26" s="7" t="str">
        <x:v>All weights below are arbitrary, editable portfolio allocation assumptions. Constant mix forces every therapy to track entity sales; it provides no evidence of relative therapy performance. Listed Novartis India (now Evonile), excluding Novartis Healthcare Pvt Ltd. Source supports categories only, NOT weights. Reported portfolio growth shown separately in main sheet. Source: novartis26</x:v>
      </x:c>
    </x:row>
    <x:row r="27" ht="19" customHeight="1">
      <x:c r="A27" s="7" t="str">
        <x:v>Novartis India</x:v>
      </x:c>
      <x:c r="B27" s="7" t="str">
        <x:v>Other</x:v>
      </x:c>
      <x:c r="C27" s="8" t="n">
        <x:f>'Inputs and sources'!I110</x:f>
        <x:v>0.02</x:v>
      </x:c>
      <x:c r="D27" s="15" t="n">
        <x:f>'Inputs and sources'!E105*'Inputs and sources'!E110</x:f>
        <x:v>7.9974</x:v>
      </x:c>
      <x:c r="E27" s="15" t="n">
        <x:f>'Inputs and sources'!F105*'Inputs and sources'!F110</x:f>
        <x:v>7.574800000000001</x:v>
      </x:c>
      <x:c r="F27" s="15" t="n">
        <x:f>'Inputs and sources'!G105*'Inputs and sources'!G110</x:f>
        <x:v>6.7014</x:v>
      </x:c>
      <x:c r="G27" s="15" t="n">
        <x:f>'Inputs and sources'!H105*'Inputs and sources'!H110</x:f>
        <x:v>7.1254</x:v>
      </x:c>
      <x:c r="H27" s="15" t="n">
        <x:f>'Inputs and sources'!I105*'Inputs and sources'!I110</x:f>
        <x:v>7.0866</x:v>
      </x:c>
      <x:c r="I27" s="8" t="n">
        <x:f>D27/('Inputs and sources'!D105*'Inputs and sources'!D110)-1</x:f>
        <x:v>0.04856431100039327</x:v>
      </x:c>
      <x:c r="J27" s="8" t="n">
        <x:f>E27/D27-1</x:f>
        <x:v>-0.0528421737064545</x:v>
      </x:c>
      <x:c r="K27" s="8" t="n">
        <x:f>F27/E27-1</x:f>
        <x:v>-0.1153033743465175</x:v>
      </x:c>
      <x:c r="L27" s="8" t="n">
        <x:f>G27/F27-1</x:f>
        <x:v>0.06327036141701736</x:v>
      </x:c>
      <x:c r="M27" s="8" t="n">
        <x:f>H27/G27-1</x:f>
        <x:v>-0.005445308333567267</x:v>
      </x:c>
      <x:c r="N27" s="7" t="str">
        <x:v>All weights below are arbitrary, editable portfolio allocation assumptions. Constant mix forces every therapy to track entity sales; it provides no evidence of relative therapy performance. Listed Novartis India (now Evonile), excluding Novartis Healthcare Pvt Ltd. Source supports categories only, NOT weights. Reported portfolio growth shown separately in main sheet. Source: novartis26</x:v>
      </x:c>
    </x:row>
    <x:row r="28" ht="19" customHeight="1">
      <x:c r="A28" s="7" t="str">
        <x:v>Sanofi India (CY21–25)</x:v>
      </x:c>
      <x:c r="B28" s="7" t="str">
        <x:v>Diabetes / insulin</x:v>
      </x:c>
      <x:c r="C28" s="8" t="n">
        <x:f>'Inputs and sources'!I115</x:f>
        <x:v>0.6</x:v>
      </x:c>
      <x:c r="D28" s="15" t="n">
        <x:f>'Inputs and sources'!E114*'Inputs and sources'!E115</x:f>
        <x:v>1773.9599999999998</x:v>
      </x:c>
      <x:c r="E28" s="15" t="n">
        <x:f>'Inputs and sources'!F114*'Inputs and sources'!F115</x:f>
        <x:v>1662.06</x:v>
      </x:c>
      <x:c r="F28" s="15" t="n">
        <x:f>'Inputs and sources'!G114*'Inputs and sources'!G115</x:f>
        <x:v>1710.6599999999999</x:v>
      </x:c>
      <x:c r="G28" s="15" t="n">
        <x:f>'Inputs and sources'!H114*'Inputs and sources'!H115</x:f>
        <x:v>1207.92</x:v>
      </x:c>
      <x:c r="H28" s="15" t="n">
        <x:f>'Inputs and sources'!I114*'Inputs and sources'!I115</x:f>
        <x:v>1102.44</x:v>
      </x:c>
      <x:c r="I28" s="8" t="n">
        <x:f>D28/('Inputs and sources'!D114*'Inputs and sources'!D115)-1</x:f>
        <x:v>0.018849719149522493</x:v>
      </x:c>
      <x:c r="J28" s="8" t="n">
        <x:f>E28/D28-1</x:f>
        <x:v>-0.0630792126090779</x:v>
      </x:c>
      <x:c r="K28" s="8" t="n">
        <x:f>F28/E28-1</x:f>
        <x:v>0.029240821630988068</x:v>
      </x:c>
      <x:c r="L28" s="8" t="str">
        <x:v>n.c.</x:v>
      </x:c>
      <x:c r="M28" s="8" t="n">
        <x:f>H28/G28-1</x:f>
        <x:v>-0.08732366381879597</x:v>
      </x:c>
      <x:c r="N28" s="7" t="str">
        <x:v>All weights below are arbitrary, editable portfolio allocation assumptions. Constant mix forces every therapy to track entity sales; it provides no evidence of relative therapy performance. Calendar years CY20–CY25; includes exports. CHC demerger breaks CY24 comparison. Scenario weights deliberately held fixed and should not be read as reconstructed historical mix. Source: sanofi25</x:v>
      </x:c>
    </x:row>
    <x:row r="29" ht="19" customHeight="1">
      <x:c r="A29" s="7" t="str">
        <x:v>Sanofi India (CY21–25)</x:v>
      </x:c>
      <x:c r="B29" s="7" t="str">
        <x:v>Cardiac / thrombosis</x:v>
      </x:c>
      <x:c r="C29" s="8" t="n">
        <x:f>'Inputs and sources'!I116</x:f>
        <x:v>0.2</x:v>
      </x:c>
      <x:c r="D29" s="15" t="n">
        <x:f>'Inputs and sources'!E114*'Inputs and sources'!E116</x:f>
        <x:v>591.32</x:v>
      </x:c>
      <x:c r="E29" s="15" t="n">
        <x:f>'Inputs and sources'!F114*'Inputs and sources'!F116</x:f>
        <x:v>554.02</x:v>
      </x:c>
      <x:c r="F29" s="15" t="n">
        <x:f>'Inputs and sources'!G114*'Inputs and sources'!G116</x:f>
        <x:v>570.22</x:v>
      </x:c>
      <x:c r="G29" s="15" t="n">
        <x:f>'Inputs and sources'!H114*'Inputs and sources'!H116</x:f>
        <x:v>402.64000000000004</x:v>
      </x:c>
      <x:c r="H29" s="15" t="n">
        <x:f>'Inputs and sources'!I114*'Inputs and sources'!I116</x:f>
        <x:v>367.48</x:v>
      </x:c>
      <x:c r="I29" s="8" t="n">
        <x:f>D29/('Inputs and sources'!D114*'Inputs and sources'!D116)-1</x:f>
        <x:v>0.018849719149522715</x:v>
      </x:c>
      <x:c r="J29" s="8" t="n">
        <x:f>E29/D29-1</x:f>
        <x:v>-0.06307921260907812</x:v>
      </x:c>
      <x:c r="K29" s="8" t="n">
        <x:f>F29/E29-1</x:f>
        <x:v>0.029240821630988068</x:v>
      </x:c>
      <x:c r="L29" s="8" t="str">
        <x:v>n.c.</x:v>
      </x:c>
      <x:c r="M29" s="8" t="n">
        <x:f>H29/G29-1</x:f>
        <x:v>-0.08732366381879597</x:v>
      </x:c>
      <x:c r="N29" s="7" t="str">
        <x:v>All weights below are arbitrary, editable portfolio allocation assumptions. Constant mix forces every therapy to track entity sales; it provides no evidence of relative therapy performance. Calendar years CY20–CY25; includes exports. CHC demerger breaks CY24 comparison. Scenario weights deliberately held fixed and should not be read as reconstructed historical mix. Source: sanofi25</x:v>
      </x:c>
    </x:row>
    <x:row r="30" ht="19" customHeight="1">
      <x:c r="A30" s="7" t="str">
        <x:v>Sanofi India (CY21–25)</x:v>
      </x:c>
      <x:c r="B30" s="7" t="str">
        <x:v>CNS</x:v>
      </x:c>
      <x:c r="C30" s="8" t="n">
        <x:f>'Inputs and sources'!I117</x:f>
        <x:v>0.1</x:v>
      </x:c>
      <x:c r="D30" s="15" t="n">
        <x:f>'Inputs and sources'!E114*'Inputs and sources'!E117</x:f>
        <x:v>295.66</x:v>
      </x:c>
      <x:c r="E30" s="15" t="n">
        <x:f>'Inputs and sources'!F114*'Inputs and sources'!F117</x:f>
        <x:v>277.01</x:v>
      </x:c>
      <x:c r="F30" s="15" t="n">
        <x:f>'Inputs and sources'!G114*'Inputs and sources'!G117</x:f>
        <x:v>285.11</x:v>
      </x:c>
      <x:c r="G30" s="15" t="n">
        <x:f>'Inputs and sources'!H114*'Inputs and sources'!H117</x:f>
        <x:v>201.32000000000002</x:v>
      </x:c>
      <x:c r="H30" s="15" t="n">
        <x:f>'Inputs and sources'!I114*'Inputs and sources'!I117</x:f>
        <x:v>183.74</x:v>
      </x:c>
      <x:c r="I30" s="8" t="n">
        <x:f>D30/('Inputs and sources'!D114*'Inputs and sources'!D117)-1</x:f>
        <x:v>0.018849719149522715</x:v>
      </x:c>
      <x:c r="J30" s="8" t="n">
        <x:f>E30/D30-1</x:f>
        <x:v>-0.06307921260907812</x:v>
      </x:c>
      <x:c r="K30" s="8" t="n">
        <x:f>F30/E30-1</x:f>
        <x:v>0.029240821630988068</x:v>
      </x:c>
      <x:c r="L30" s="8" t="str">
        <x:v>n.c.</x:v>
      </x:c>
      <x:c r="M30" s="8" t="n">
        <x:f>H30/G30-1</x:f>
        <x:v>-0.08732366381879597</x:v>
      </x:c>
      <x:c r="N30" s="7" t="str">
        <x:v>All weights below are arbitrary, editable portfolio allocation assumptions. Constant mix forces every therapy to track entity sales; it provides no evidence of relative therapy performance. Calendar years CY20–CY25; includes exports. CHC demerger breaks CY24 comparison. Scenario weights deliberately held fixed and should not be read as reconstructed historical mix. Source: sanofi25</x:v>
      </x:c>
    </x:row>
    <x:row r="31" ht="19" customHeight="1">
      <x:c r="A31" s="7" t="str">
        <x:v>Sanofi India (CY21–25)</x:v>
      </x:c>
      <x:c r="B31" s="7" t="str">
        <x:v>Anti-infectives</x:v>
      </x:c>
      <x:c r="C31" s="8" t="n">
        <x:f>'Inputs and sources'!I118</x:f>
        <x:v>0.05</x:v>
      </x:c>
      <x:c r="D31" s="15" t="n">
        <x:f>'Inputs and sources'!E114*'Inputs and sources'!E118</x:f>
        <x:v>147.83</x:v>
      </x:c>
      <x:c r="E31" s="15" t="n">
        <x:f>'Inputs and sources'!F114*'Inputs and sources'!F118</x:f>
        <x:v>138.505</x:v>
      </x:c>
      <x:c r="F31" s="15" t="n">
        <x:f>'Inputs and sources'!G114*'Inputs and sources'!G118</x:f>
        <x:v>142.555</x:v>
      </x:c>
      <x:c r="G31" s="15" t="n">
        <x:f>'Inputs and sources'!H114*'Inputs and sources'!H118</x:f>
        <x:v>100.66000000000001</x:v>
      </x:c>
      <x:c r="H31" s="15" t="n">
        <x:f>'Inputs and sources'!I114*'Inputs and sources'!I118</x:f>
        <x:v>91.87</x:v>
      </x:c>
      <x:c r="I31" s="8" t="n">
        <x:f>D31/('Inputs and sources'!D114*'Inputs and sources'!D118)-1</x:f>
        <x:v>0.018849719149522715</x:v>
      </x:c>
      <x:c r="J31" s="8" t="n">
        <x:f>E31/D31-1</x:f>
        <x:v>-0.06307921260907812</x:v>
      </x:c>
      <x:c r="K31" s="8" t="n">
        <x:f>F31/E31-1</x:f>
        <x:v>0.029240821630988068</x:v>
      </x:c>
      <x:c r="L31" s="8" t="str">
        <x:v>n.c.</x:v>
      </x:c>
      <x:c r="M31" s="8" t="n">
        <x:f>H31/G31-1</x:f>
        <x:v>-0.08732366381879597</x:v>
      </x:c>
      <x:c r="N31" s="7" t="str">
        <x:v>All weights below are arbitrary, editable portfolio allocation assumptions. Constant mix forces every therapy to track entity sales; it provides no evidence of relative therapy performance. Calendar years CY20–CY25; includes exports. CHC demerger breaks CY24 comparison. Scenario weights deliberately held fixed and should not be read as reconstructed historical mix. Source: sanofi25</x:v>
      </x:c>
    </x:row>
    <x:row r="32" ht="19" customHeight="1">
      <x:c r="A32" s="7" t="str">
        <x:v>Sanofi India (CY21–25)</x:v>
      </x:c>
      <x:c r="B32" s="7" t="str">
        <x:v>Other</x:v>
      </x:c>
      <x:c r="C32" s="8" t="n">
        <x:f>'Inputs and sources'!I119</x:f>
        <x:v>0.05</x:v>
      </x:c>
      <x:c r="D32" s="15" t="n">
        <x:f>'Inputs and sources'!E114*'Inputs and sources'!E119</x:f>
        <x:v>147.83</x:v>
      </x:c>
      <x:c r="E32" s="15" t="n">
        <x:f>'Inputs and sources'!F114*'Inputs and sources'!F119</x:f>
        <x:v>138.505</x:v>
      </x:c>
      <x:c r="F32" s="15" t="n">
        <x:f>'Inputs and sources'!G114*'Inputs and sources'!G119</x:f>
        <x:v>142.555</x:v>
      </x:c>
      <x:c r="G32" s="15" t="n">
        <x:f>'Inputs and sources'!H114*'Inputs and sources'!H119</x:f>
        <x:v>100.66000000000001</x:v>
      </x:c>
      <x:c r="H32" s="15" t="n">
        <x:f>'Inputs and sources'!I114*'Inputs and sources'!I119</x:f>
        <x:v>91.87</x:v>
      </x:c>
      <x:c r="I32" s="8" t="n">
        <x:f>D32/('Inputs and sources'!D114*'Inputs and sources'!D119)-1</x:f>
        <x:v>0.018849719149522715</x:v>
      </x:c>
      <x:c r="J32" s="8" t="n">
        <x:f>E32/D32-1</x:f>
        <x:v>-0.06307921260907812</x:v>
      </x:c>
      <x:c r="K32" s="8" t="n">
        <x:f>F32/E32-1</x:f>
        <x:v>0.029240821630988068</x:v>
      </x:c>
      <x:c r="L32" s="8" t="str">
        <x:v>n.c.</x:v>
      </x:c>
      <x:c r="M32" s="8" t="n">
        <x:f>H32/G32-1</x:f>
        <x:v>-0.08732366381879597</x:v>
      </x:c>
      <x:c r="N32" s="7" t="str">
        <x:v>All weights below are arbitrary, editable portfolio allocation assumptions. Constant mix forces every therapy to track entity sales; it provides no evidence of relative therapy performance. Calendar years CY20–CY25; includes exports. CHC demerger breaks CY24 comparison. Scenario weights deliberately held fixed and should not be read as reconstructed historical mix. Source: sanofi25</x:v>
      </x:c>
    </x:row>
    <x:row r="33" ht="19" customHeight="1">
      <x:c r="A33" s="7"/>
      <x:c r="B33" s="7"/>
      <x:c r="C33" s="7"/>
      <x:c r="D33" s="7"/>
      <x:c r="E33" s="7"/>
      <x:c r="F33" s="7"/>
      <x:c r="G33" s="7"/>
      <x:c r="H33" s="7"/>
      <x:c r="I33" s="7"/>
      <x:c r="J33" s="7"/>
      <x:c r="K33" s="7"/>
      <x:c r="L33" s="7"/>
      <x:c r="M33" s="7"/>
      <x:c r="N33" s="7"/>
    </x:row>
    <x:row r="34" ht="19" customHeight="1">
      <x:c r="A34" s="7"/>
      <x:c r="B34" s="7"/>
      <x:c r="C34" s="7"/>
      <x:c r="D34" s="7"/>
      <x:c r="E34" s="7"/>
      <x:c r="F34" s="7"/>
      <x:c r="G34" s="7"/>
      <x:c r="H34" s="7"/>
      <x:c r="I34" s="7"/>
      <x:c r="J34" s="7"/>
      <x:c r="K34" s="7"/>
      <x:c r="L34" s="7"/>
      <x:c r="M34" s="7"/>
      <x:c r="N34" s="7"/>
    </x:row>
  </x:sheetData>
  <x:pageMargins left="0.7" right="0.7" top="0.75" bottom="0.75" header="0.3" footer="0.3"/>
</x:worksheet>
</file>

<file path=xl/worksheets/sheet4.xml><?xml version="1.0" encoding="utf-8"?>
<x:worksheet xmlns:x="http://schemas.openxmlformats.org/spreadsheetml/2006/main">
  <x:sheetViews>
    <x:sheetView showGridLines="1" workbookViewId="0">
      <x:pane xSplit="2" ySplit="19" topLeftCell="C20" activePane="bottomRight" state="frozen"/>
    </x:sheetView>
  </x:sheetViews>
  <x:sheetFormatPr defaultRowHeight="15"/>
  <x:cols>
    <x:col min="1" max="1" width="24" hidden="0" customWidth="1"/>
    <x:col min="2" max="2" width="34" hidden="0" customWidth="1"/>
    <x:col min="3" max="3" width="1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80" hidden="0" customWidth="1"/>
    <x:col min="11" max="11" width="65" hidden="0" customWidth="1"/>
  </x:cols>
  <x:sheetData>
    <x:row r="1" ht="19" customHeight="1">
      <x:c r="A1" s="7"/>
      <x:c r="B1" s="7"/>
      <x:c r="C1" s="7"/>
      <x:c r="D1" s="7"/>
      <x:c r="E1" s="7"/>
      <x:c r="F1" s="7"/>
      <x:c r="G1" s="7"/>
      <x:c r="H1" s="7"/>
      <x:c r="I1" s="7"/>
      <x:c r="J1" s="7"/>
      <x:c r="K1" s="7"/>
    </x:row>
    <x:row r="2" ht="19" customHeight="1">
      <x:c r="A2" s="10" t="str">
        <x:v>Therapy sales and growth — sources and assumptions</x:v>
      </x:c>
      <x:c r="B2" s="7"/>
      <x:c r="C2" s="7"/>
      <x:c r="D2" s="7"/>
      <x:c r="E2" s="7"/>
      <x:c r="F2" s="7"/>
      <x:c r="G2" s="7"/>
      <x:c r="H2" s="7"/>
      <x:c r="I2" s="7"/>
      <x:c r="J2" s="7"/>
      <x:c r="K2" s="7"/>
    </x:row>
    <x:row r="3" ht="19" customHeight="1">
      <x:c r="A3" s="7"/>
      <x:c r="B3" s="7"/>
      <x:c r="C3" s="7"/>
      <x:c r="D3" s="7"/>
      <x:c r="E3" s="7"/>
      <x:c r="F3" s="7"/>
      <x:c r="G3" s="7"/>
      <x:c r="H3" s="7"/>
      <x:c r="I3" s="7"/>
      <x:c r="J3" s="7"/>
      <x:c r="K3" s="7"/>
    </x:row>
    <x:row r="4" ht="23" customHeight="1">
      <x:c r="A4" s="7" t="str">
        <x:v>Scope: India-listed MNC entities versus Indian companies' domestic businesses. FY22–FY26 = March year-end; Sanofi uses CY21–CY25.</x:v>
      </x:c>
      <x:c r="B4" s="7"/>
      <x:c r="C4" s="7"/>
      <x:c r="D4" s="7"/>
      <x:c r="E4" s="7"/>
      <x:c r="F4" s="7"/>
      <x:c r="G4" s="7"/>
      <x:c r="H4" s="7"/>
      <x:c r="I4" s="7"/>
      <x:c r="J4" s="7"/>
      <x:c r="K4" s="7"/>
    </x:row>
    <x:row r="5" ht="23" customHeight="1">
      <x:c r="A5" s="7" t="str">
        <x:v>R = reported therapy/portfolio growth; D1 = disclosed product mix x audited product revenue; D2 = broad business mix x revenue; D3 = estimated primary sales x secondary/disclosed mix.</x:v>
      </x:c>
      <x:c r="B5" s="7"/>
      <x:c r="C5" s="7"/>
      <x:c r="D5" s="7"/>
      <x:c r="E5" s="7"/>
      <x:c r="F5" s="7"/>
      <x:c r="G5" s="7"/>
      <x:c r="H5" s="7"/>
      <x:c r="I5" s="7"/>
      <x:c r="J5" s="7"/>
      <x:c r="K5" s="7"/>
    </x:row>
    <x:row r="6" ht="23" customHeight="1">
      <x:c r="A6" s="7" t="str">
        <x:v>E = neutral illustrative allocation only. All four unsupported MNC weights are analyst assumptions, not extracted numbers or reconstructed historical facts.</x:v>
      </x:c>
      <x:c r="B6" s="7"/>
      <x:c r="C6" s="7"/>
      <x:c r="D6" s="7"/>
      <x:c r="E6" s="7"/>
      <x:c r="F6" s="7"/>
      <x:c r="G6" s="7"/>
      <x:c r="H6" s="7"/>
      <x:c r="I6" s="7"/>
      <x:c r="J6" s="7"/>
      <x:c r="K6" s="7"/>
    </x:row>
    <x:row r="7" ht="23" customHeight="1">
      <x:c r="A7" s="7" t="str">
        <x:v>Growth compares matching sales proxies except Alkem (reported secondary growth) and GSK vaccines (reported management growth). These bases are not fully comparable.</x:v>
      </x:c>
      <x:c r="B7" s="7"/>
      <x:c r="C7" s="7"/>
      <x:c r="D7" s="7"/>
      <x:c r="E7" s="7"/>
      <x:c r="F7" s="7"/>
      <x:c r="G7" s="7"/>
      <x:c r="H7" s="7"/>
      <x:c r="I7" s="7"/>
      <x:c r="J7" s="7"/>
      <x:c r="K7" s="7"/>
    </x:row>
    <x:row r="8" ht="23" customHeight="1">
      <x:c r="A8" s="7" t="str">
        <x:v>n.d. = not disclosed / insufficient data; n.c. = classification or scope break. Missing therapy disclosure does not mean zero sales.</x:v>
      </x:c>
      <x:c r="B8" s="7"/>
      <x:c r="C8" s="7"/>
      <x:c r="D8" s="7"/>
      <x:c r="E8" s="7"/>
      <x:c r="F8" s="7"/>
      <x:c r="G8" s="7"/>
      <x:c r="H8" s="7"/>
      <x:c r="I8" s="7"/>
      <x:c r="J8" s="7"/>
      <x:c r="K8" s="7"/>
    </x:row>
    <x:row r="9" ht="23" customHeight="1">
      <x:c r="A9" s="7" t="str">
        <x:v>Sales are ₹ crore. Raw shares and growth rates are editable below. Calculations retain full precision; display rounded sales and one-decimal growth.</x:v>
      </x:c>
      <x:c r="B9" s="7"/>
      <x:c r="C9" s="7"/>
      <x:c r="D9" s="7"/>
      <x:c r="E9" s="7"/>
      <x:c r="F9" s="7"/>
      <x:c r="G9" s="7"/>
      <x:c r="H9" s="7"/>
      <x:c r="I9" s="7"/>
      <x:c r="J9" s="7"/>
      <x:c r="K9" s="7"/>
    </x:row>
    <x:row r="10" ht="23" customHeight="1">
      <x:c r="A10" s="7" t="str">
        <x:v>D3 allocation is a modelling proxy: market-audit mix may exclude consumer health, trade generics or other channels included in the revenue base.</x:v>
      </x:c>
      <x:c r="B10" s="7"/>
      <x:c r="C10" s="7"/>
      <x:c r="D10" s="7"/>
      <x:c r="E10" s="7"/>
      <x:c r="F10" s="7"/>
      <x:c r="G10" s="7"/>
      <x:c r="H10" s="7"/>
      <x:c r="I10" s="7"/>
      <x:c r="J10" s="7"/>
      <x:c r="K10" s="7"/>
    </x:row>
    <x:row r="11" ht="23" customHeight="1">
      <x:c r="A11" s="7" t="str">
        <x:v>Torrent FY25 rounded shares total 99%; model normalizes by 99%. FY26 JB inclusion and newly separated categories distort growth.</x:v>
      </x:c>
      <x:c r="B11" s="7"/>
      <x:c r="C11" s="7"/>
      <x:c r="D11" s="7"/>
      <x:c r="E11" s="7"/>
      <x:c r="F11" s="7"/>
      <x:c r="G11" s="7"/>
      <x:c r="H11" s="7"/>
      <x:c r="I11" s="7"/>
      <x:c r="J11" s="7"/>
      <x:c r="K11" s="7"/>
    </x:row>
    <x:row r="12" ht="23" customHeight="1">
      <x:c r="A12" s="7" t="str">
        <x:v>Sun FY25 mix changes sharply without a bridge in the reviewed disclosure. FY25 derived growth and four-year CAGR are suppressed; sales proxies remain visible.</x:v>
      </x:c>
      <x:c r="B12" s="7"/>
      <x:c r="C12" s="7"/>
      <x:c r="D12" s="7"/>
      <x:c r="E12" s="7"/>
      <x:c r="F12" s="7"/>
      <x:c r="G12" s="7"/>
      <x:c r="H12" s="7"/>
      <x:c r="I12" s="7"/>
      <x:c r="J12" s="7"/>
      <x:c r="K12" s="7"/>
    </x:row>
    <x:row r="13" ht="23" customHeight="1">
      <x:c r="A13" s="7" t="str">
        <x:v>Mankind BSV acquisition affects FY25/FY26; full-year acquisition benefit is not organic growth. Domestic base includes consumer health.</x:v>
      </x:c>
      <x:c r="B13" s="7"/>
      <x:c r="C13" s="7"/>
      <x:c r="D13" s="7"/>
      <x:c r="E13" s="7"/>
      <x:c r="F13" s="7"/>
      <x:c r="G13" s="7"/>
      <x:c r="H13" s="7"/>
      <x:c r="I13" s="7"/>
      <x:c r="J13" s="7"/>
      <x:c r="K13" s="7"/>
    </x:row>
    <x:row r="14" ht="23" customHeight="1">
      <x:c r="A14" s="7" t="str">
        <x:v>Sanofi CY24 consumer demerger breaks the series. CY24 neutral growth and full-period CAGR are suppressed; sales are total entity revenue including exports.</x:v>
      </x:c>
      <x:c r="B14" s="7"/>
      <x:c r="C14" s="7"/>
      <x:c r="D14" s="7"/>
      <x:c r="E14" s="7"/>
      <x:c r="F14" s="7"/>
      <x:c r="G14" s="7"/>
      <x:c r="H14" s="7"/>
      <x:c r="I14" s="7"/>
      <x:c r="J14" s="7"/>
      <x:c r="K14" s="7"/>
    </x:row>
    <x:row r="15" ht="23" customHeight="1">
      <x:c r="A15" s="7" t="str">
        <x:v>Neutral MNC estimates hold assumed shares fixed: all therapy growth equals entity product/revenue growth by construction. Do not use to rank therapy outperformance.</x:v>
      </x:c>
      <x:c r="B15" s="7"/>
      <x:c r="C15" s="7"/>
      <x:c r="D15" s="7"/>
      <x:c r="E15" s="7"/>
      <x:c r="F15" s="7"/>
      <x:c r="G15" s="7"/>
      <x:c r="H15" s="7"/>
      <x:c r="I15" s="7"/>
      <x:c r="J15" s="7"/>
      <x:c r="K15" s="7"/>
    </x:row>
    <x:row r="16" ht="23" customHeight="1">
      <x:c r="A16" s="7" t="str">
        <x:v>No whole-group MNC IPM audit has been substituted for the smaller listed entity. Novartis India excludes Novartis Healthcare; Abbott India excludes other Abbott entities.</x:v>
      </x:c>
      <x:c r="B16" s="7"/>
      <x:c r="C16" s="7"/>
      <x:c r="D16" s="7"/>
      <x:c r="E16" s="7"/>
      <x:c r="F16" s="7"/>
      <x:c r="G16" s="7"/>
      <x:c r="H16" s="7"/>
      <x:c r="I16" s="7"/>
      <x:c r="J16" s="7"/>
      <x:c r="K16" s="7"/>
    </x:row>
    <x:row r="17" ht="23" customHeight="1">
      <x:c r="A17" s="7" t="str">
        <x:v>As of 19 Oct 2026. Sources are annual reports unless stated; PDF page references in source register refer to 1-based file pages.</x:v>
      </x:c>
      <x:c r="B17" s="7"/>
      <x:c r="C17" s="7"/>
      <x:c r="D17" s="7"/>
      <x:c r="E17" s="7"/>
      <x:c r="F17" s="7"/>
      <x:c r="G17" s="7"/>
      <x:c r="H17" s="7"/>
      <x:c r="I17" s="7"/>
      <x:c r="J17" s="7"/>
      <x:c r="K17" s="7"/>
    </x:row>
    <x:row r="18" ht="19" customHeight="1">
      <x:c r="A18" s="7"/>
      <x:c r="B18" s="7"/>
      <x:c r="C18" s="7"/>
      <x:c r="D18" s="7"/>
      <x:c r="E18" s="7"/>
      <x:c r="F18" s="7"/>
      <x:c r="G18" s="7"/>
      <x:c r="H18" s="7"/>
      <x:c r="I18" s="7"/>
      <x:c r="J18" s="7"/>
      <x:c r="K18" s="7"/>
    </x:row>
    <x:row r="19" ht="27" customHeight="1">
      <x:c r="A19" s="9" t="str">
        <x:v>Company</x:v>
      </x:c>
      <x:c r="B19" s="9" t="str">
        <x:v>Input</x:v>
      </x:c>
      <x:c r="C19" s="9" t="str">
        <x:v>Unit</x:v>
      </x:c>
      <x:c r="D19" s="9" t="str">
        <x:v>FY21 / CY20</x:v>
      </x:c>
      <x:c r="E19" s="9" t="str">
        <x:v>FY22 / CY21</x:v>
      </x:c>
      <x:c r="F19" s="9" t="str">
        <x:v>FY23 / CY22</x:v>
      </x:c>
      <x:c r="G19" s="9" t="str">
        <x:v>FY24 / CY23</x:v>
      </x:c>
      <x:c r="H19" s="9" t="str">
        <x:v>FY25 / CY24</x:v>
      </x:c>
      <x:c r="I19" s="9" t="str">
        <x:v>FY26 / CY25</x:v>
      </x:c>
      <x:c r="J19" s="9" t="str">
        <x:v>Basis / scope</x:v>
      </x:c>
      <x:c r="K19" s="9" t="str">
        <x:v>Source IDs</x:v>
      </x:c>
    </x:row>
    <x:row r="20" ht="19" customHeight="1">
      <x:c r="A20" s="7" t="str">
        <x:v>AstraZeneca India</x:v>
      </x:c>
      <x:c r="B20" s="7" t="str">
        <x:v>Revenue anchor</x:v>
      </x:c>
      <x:c r="C20" s="7" t="str">
        <x:v>₹ cr</x:v>
      </x:c>
      <x:c r="D20" s="12" t="n">
        <x:v>776.79</x:v>
      </x:c>
      <x:c r="E20" s="12" t="n">
        <x:v>761.42</x:v>
      </x:c>
      <x:c r="F20" s="12" t="n">
        <x:v>941.75</x:v>
      </x:c>
      <x:c r="G20" s="12" t="n">
        <x:v>1205.64</x:v>
      </x:c>
      <x:c r="H20" s="12" t="n">
        <x:v>1608.43</x:v>
      </x:c>
      <x:c r="I20" s="12" t="n">
        <x:v>2155.88</x:v>
      </x:c>
      <x:c r="J20" s="7" t="str">
        <x:v>Includes product exports; excludes clinical services and distribution fees. Respiratory includes rare disease from FY24. Mix rounded to 0.1pp; derived growth is approximate.</x:v>
      </x:c>
      <x:c r="K20" s="7" t="str">
        <x:v>astr22; astr22; astr23; astr24; astr26; astr26</x:v>
      </x:c>
    </x:row>
    <x:row r="21" ht="19" customHeight="1">
      <x:c r="A21" s="7" t="str">
        <x:v>AstraZeneca India</x:v>
      </x:c>
      <x:c r="B21" s="7" t="str">
        <x:v>Cardiac — mix</x:v>
      </x:c>
      <x:c r="C21" s="7" t="str">
        <x:v>%</x:v>
      </x:c>
      <x:c r="D21" s="13" t="n">
        <x:v>0.27399999999999997</x:v>
      </x:c>
      <x:c r="E21" s="13" t="n">
        <x:v>0.284</x:v>
      </x:c>
      <x:c r="F21" s="13" t="n">
        <x:v>0.27</x:v>
      </x:c>
      <x:c r="G21" s="13" t="n">
        <x:v>0.244</x:v>
      </x:c>
      <x:c r="H21" s="13" t="n">
        <x:v>0.2</x:v>
      </x:c>
      <x:c r="I21" s="13" t="n">
        <x:v>0.161</x:v>
      </x:c>
      <x:c r="J21" s="7" t="str">
        <x:v>D1: audited product revenue x disclosed therapy mix</x:v>
      </x:c>
      <x:c r="K21" s="7" t="str">
        <x:v>astr22; astr22; astr23; astr24; astr26; astr26</x:v>
      </x:c>
    </x:row>
    <x:row r="22" ht="19" customHeight="1">
      <x:c r="A22" s="7" t="str">
        <x:v>AstraZeneca India</x:v>
      </x:c>
      <x:c r="B22" s="7" t="str">
        <x:v>Diabetes — mix</x:v>
      </x:c>
      <x:c r="C22" s="7" t="str">
        <x:v>%</x:v>
      </x:c>
      <x:c r="D22" s="13" t="n">
        <x:v>0.405</x:v>
      </x:c>
      <x:c r="E22" s="13" t="n">
        <x:v>0.222</x:v>
      </x:c>
      <x:c r="F22" s="13" t="n">
        <x:v>0.13699999999999998</x:v>
      </x:c>
      <x:c r="G22" s="13" t="n">
        <x:v>0.098</x:v>
      </x:c>
      <x:c r="H22" s="13" t="n">
        <x:v>0.061</x:v>
      </x:c>
      <x:c r="I22" s="13" t="n">
        <x:v>0.037000000000000005</x:v>
      </x:c>
      <x:c r="J22" s="7" t="str">
        <x:v>D1: audited product revenue x disclosed therapy mix</x:v>
      </x:c>
      <x:c r="K22" s="7" t="str">
        <x:v>astr22; astr22; astr23; astr24; astr26; astr26</x:v>
      </x:c>
    </x:row>
    <x:row r="23" ht="19" customHeight="1">
      <x:c r="A23" s="7" t="str">
        <x:v>AstraZeneca India</x:v>
      </x:c>
      <x:c r="B23" s="7" t="str">
        <x:v>Oncology — mix</x:v>
      </x:c>
      <x:c r="C23" s="7" t="str">
        <x:v>%</x:v>
      </x:c>
      <x:c r="D23" s="13" t="n">
        <x:v>0.306</x:v>
      </x:c>
      <x:c r="E23" s="13" t="n">
        <x:v>0.466</x:v>
      </x:c>
      <x:c r="F23" s="13" t="n">
        <x:v>0.5579999999999999</x:v>
      </x:c>
      <x:c r="G23" s="13" t="n">
        <x:v>0.623</x:v>
      </x:c>
      <x:c r="H23" s="13" t="n">
        <x:v>0.695</x:v>
      </x:c>
      <x:c r="I23" s="13" t="n">
        <x:v>0.747</x:v>
      </x:c>
      <x:c r="J23" s="7" t="str">
        <x:v>D1: audited product revenue x disclosed therapy mix</x:v>
      </x:c>
      <x:c r="K23" s="7" t="str">
        <x:v>astr22; astr22; astr23; astr24; astr26; astr26</x:v>
      </x:c>
    </x:row>
    <x:row r="24" ht="19" customHeight="1">
      <x:c r="A24" s="7" t="str">
        <x:v>AstraZeneca India</x:v>
      </x:c>
      <x:c r="B24" s="7" t="str">
        <x:v>Respiratory / rare disease — mix</x:v>
      </x:c>
      <x:c r="C24" s="7" t="str">
        <x:v>%</x:v>
      </x:c>
      <x:c r="D24" s="13" t="n">
        <x:v>0.015</x:v>
      </x:c>
      <x:c r="E24" s="13" t="n">
        <x:v>0.027999999999999997</x:v>
      </x:c>
      <x:c r="F24" s="13" t="n">
        <x:v>0.035</x:v>
      </x:c>
      <x:c r="G24" s="13" t="n">
        <x:v>0.035</x:v>
      </x:c>
      <x:c r="H24" s="13" t="n">
        <x:v>0.044000000000000004</x:v>
      </x:c>
      <x:c r="I24" s="13" t="n">
        <x:v>0.055</x:v>
      </x:c>
      <x:c r="J24" s="7" t="str">
        <x:v>D1: audited product revenue x disclosed therapy mix</x:v>
      </x:c>
      <x:c r="K24" s="7" t="str">
        <x:v>astr22; astr22; astr23; astr24; astr26; astr26</x:v>
      </x:c>
    </x:row>
    <x:row r="25" ht="19" customHeight="1">
      <x:c r="A25" s="7" t="str">
        <x:v>GSK India</x:v>
      </x:c>
      <x:c r="B25" s="7" t="str">
        <x:v>Revenue anchor</x:v>
      </x:c>
      <x:c r="C25" s="7" t="str">
        <x:v>₹ cr</x:v>
      </x:c>
      <x:c r="D25" s="12" t="n">
        <x:v>2920.48</x:v>
      </x:c>
      <x:c r="E25" s="12" t="n">
        <x:v>3217.51</x:v>
      </x:c>
      <x:c r="F25" s="12" t="n">
        <x:v>3216.34</x:v>
      </x:c>
      <x:c r="G25" s="12" t="n">
        <x:v>3407.25</x:v>
      </x:c>
      <x:c r="H25" s="12" t="n">
        <x:v>3723.49</x:v>
      </x:c>
      <x:c r="I25" s="12" t="n">
        <x:v>3790.2</x:v>
      </x:c>
      <x:c r="J25" s="7" t="str">
        <x:v>Broad classes only; Pharmaceuticals is not a single therapy. FY24 specialty is folded into pharma in FY25; specialty/oncology growth is not comparable. Management reports vaccine growth of 12% in FY25 and 11% in FY26.</x:v>
      </x:c>
      <x:c r="K25" s="7" t="str">
        <x:v>gsk23; gsk23; gsk23; gsk24; gsk25; gsk26</x:v>
      </x:c>
    </x:row>
    <x:row r="26" ht="19" customHeight="1">
      <x:c r="A26" s="7" t="str">
        <x:v>GSK India</x:v>
      </x:c>
      <x:c r="B26" s="7" t="str">
        <x:v>Pharmaceuticals (broad) — mix</x:v>
      </x:c>
      <x:c r="C26" s="7" t="str">
        <x:v>%</x:v>
      </x:c>
      <x:c r="D26" s="13"/>
      <x:c r="E26" s="13"/>
      <x:c r="F26" s="13"/>
      <x:c r="G26" s="13" t="n">
        <x:v>0.81</x:v>
      </x:c>
      <x:c r="H26" s="13" t="n">
        <x:v>0.82</x:v>
      </x:c>
      <x:c r="I26" s="13" t="n">
        <x:v>0.804</x:v>
      </x:c>
      <x:c r="J26" s="7" t="str">
        <x:v>D2: revenue x broad business mix</x:v>
      </x:c>
      <x:c r="K26" s="7" t="str">
        <x:v>gsk23; gsk23; gsk23; gsk24; gsk25; gsk26</x:v>
      </x:c>
    </x:row>
    <x:row r="27" ht="19" customHeight="1">
      <x:c r="A27" s="7" t="str">
        <x:v>GSK India</x:v>
      </x:c>
      <x:c r="B27" s="7" t="str">
        <x:v>Vaccines — mix</x:v>
      </x:c>
      <x:c r="C27" s="7" t="str">
        <x:v>%</x:v>
      </x:c>
      <x:c r="D27" s="13"/>
      <x:c r="E27" s="13"/>
      <x:c r="F27" s="13"/>
      <x:c r="G27" s="13" t="n">
        <x:v>0.18</x:v>
      </x:c>
      <x:c r="H27" s="13" t="n">
        <x:v>0.18</x:v>
      </x:c>
      <x:c r="I27" s="13" t="n">
        <x:v>0.193</x:v>
      </x:c>
      <x:c r="J27" s="7" t="str">
        <x:v>D2: revenue x broad business mix</x:v>
      </x:c>
      <x:c r="K27" s="7" t="str">
        <x:v>gsk23; gsk23; gsk23; gsk24; gsk25; gsk26</x:v>
      </x:c>
    </x:row>
    <x:row r="28" ht="19" customHeight="1">
      <x:c r="A28" s="7" t="str">
        <x:v>GSK India</x:v>
      </x:c>
      <x:c r="B28" s="7" t="str">
        <x:v>Specialty / oncology — mix</x:v>
      </x:c>
      <x:c r="C28" s="7" t="str">
        <x:v>%</x:v>
      </x:c>
      <x:c r="D28" s="13"/>
      <x:c r="E28" s="13"/>
      <x:c r="F28" s="13"/>
      <x:c r="G28" s="13" t="n">
        <x:v>0.01</x:v>
      </x:c>
      <x:c r="H28" s="13"/>
      <x:c r="I28" s="13" t="n">
        <x:v>0.003</x:v>
      </x:c>
      <x:c r="J28" s="7" t="str">
        <x:v>D2: revenue x broad business mix</x:v>
      </x:c>
      <x:c r="K28" s="7" t="str">
        <x:v>gsk23; gsk23; gsk23; gsk24; gsk25; gsk26</x:v>
      </x:c>
    </x:row>
    <x:row r="29" ht="19" customHeight="1">
      <x:c r="A29" s="7" t="str">
        <x:v>GSK India</x:v>
      </x:c>
      <x:c r="B29" s="7" t="str">
        <x:v>Vaccines — reported growth</x:v>
      </x:c>
      <x:c r="C29" s="7" t="str">
        <x:v>%</x:v>
      </x:c>
      <x:c r="D29" s="13"/>
      <x:c r="E29" s="13"/>
      <x:c r="F29" s="13"/>
      <x:c r="G29" s="13"/>
      <x:c r="H29" s="13" t="n">
        <x:v>0.12</x:v>
      </x:c>
      <x:c r="I29" s="13" t="n">
        <x:v>0.11</x:v>
      </x:c>
      <x:c r="J29" s="7" t="str">
        <x:v>R: published therapy / portfolio growth</x:v>
      </x:c>
      <x:c r="K29" s="7" t="str">
        <x:v>gsk23; gsk23; gsk23; gsk24; gsk25; gsk26</x:v>
      </x:c>
    </x:row>
    <x:row r="30" ht="19" customHeight="1">
      <x:c r="A30" s="7" t="str">
        <x:v>Mankind Pharma</x:v>
      </x:c>
      <x:c r="B30" s="7" t="str">
        <x:v>Revenue anchor</x:v>
      </x:c>
      <x:c r="C30" s="7" t="str">
        <x:v>₹ cr</x:v>
      </x:c>
      <x:c r="D30" s="12" t="n">
        <x:v>6028</x:v>
      </x:c>
      <x:c r="E30" s="12" t="n">
        <x:v>7595</x:v>
      </x:c>
      <x:c r="F30" s="12" t="n">
        <x:v>8453</x:v>
      </x:c>
      <x:c r="G30" s="12" t="n">
        <x:v>9447</x:v>
      </x:c>
      <x:c r="H30" s="12" t="n">
        <x:v>10675</x:v>
      </x:c>
      <x:c r="I30" s="12" t="n">
        <x:v>12217</x:v>
      </x:c>
      <x:c r="J30" s="7" t="str">
        <x:v>IQVIA therapy mix is secondary market data; allocation to domestic primary revenue is an estimate, not audited therapy sales. Includes consumer health. BSV acquisition raises FY25/FY26 growth; FY24 onward continuing scope differs from early history.</x:v>
      </x:c>
      <x:c r="K30" s="7" t="str">
        <x:v>mankind26; mankind26; mankind26; mankind26; mankind26; mankind26</x:v>
      </x:c>
    </x:row>
    <x:row r="31" ht="19" customHeight="1">
      <x:c r="A31" s="7" t="str">
        <x:v>Mankind Pharma</x:v>
      </x:c>
      <x:c r="B31" s="7" t="str">
        <x:v>Cardiac — mix</x:v>
      </x:c>
      <x:c r="C31" s="7" t="str">
        <x:v>%</x:v>
      </x:c>
      <x:c r="D31" s="13" t="n">
        <x:v>0.126</x:v>
      </x:c>
      <x:c r="E31" s="13" t="n">
        <x:v>0.121</x:v>
      </x:c>
      <x:c r="F31" s="13" t="n">
        <x:v>0.128</x:v>
      </x:c>
      <x:c r="G31" s="13" t="n">
        <x:v>0.139</x:v>
      </x:c>
      <x:c r="H31" s="13" t="n">
        <x:v>0.146</x:v>
      </x:c>
      <x:c r="I31" s="13" t="n">
        <x:v>0.156</x:v>
      </x:c>
      <x:c r="J31" s="7" t="str">
        <x:v>D3: domestic primary revenue x IQVIA mix (proxy)</x:v>
      </x:c>
      <x:c r="K31" s="7" t="str">
        <x:v>mankind26; mankind26; mankind26; mankind26; mankind26; mankind26</x:v>
      </x:c>
    </x:row>
    <x:row r="32" ht="19" customHeight="1">
      <x:c r="A32" s="7" t="str">
        <x:v>Mankind Pharma</x:v>
      </x:c>
      <x:c r="B32" s="7" t="str">
        <x:v>Anti-infectives — mix</x:v>
      </x:c>
      <x:c r="C32" s="7" t="str">
        <x:v>%</x:v>
      </x:c>
      <x:c r="D32" s="13" t="n">
        <x:v>0.132</x:v>
      </x:c>
      <x:c r="E32" s="13" t="n">
        <x:v>0.147</x:v>
      </x:c>
      <x:c r="F32" s="13" t="n">
        <x:v>0.15</x:v>
      </x:c>
      <x:c r="G32" s="13" t="n">
        <x:v>0.153</x:v>
      </x:c>
      <x:c r="H32" s="13" t="n">
        <x:v>0.13699999999999998</x:v>
      </x:c>
      <x:c r="I32" s="13" t="n">
        <x:v>0.13</x:v>
      </x:c>
      <x:c r="J32" s="7" t="str">
        <x:v>D3: domestic primary revenue x IQVIA mix (proxy)</x:v>
      </x:c>
      <x:c r="K32" s="7" t="str">
        <x:v>mankind26; mankind26; mankind26; mankind26; mankind26; mankind26</x:v>
      </x:c>
    </x:row>
    <x:row r="33" ht="19" customHeight="1">
      <x:c r="A33" s="7" t="str">
        <x:v>Mankind Pharma</x:v>
      </x:c>
      <x:c r="B33" s="7" t="str">
        <x:v>Women's health — mix</x:v>
      </x:c>
      <x:c r="C33" s="7" t="str">
        <x:v>%</x:v>
      </x:c>
      <x:c r="D33" s="13" t="n">
        <x:v>0.065</x:v>
      </x:c>
      <x:c r="E33" s="13" t="n">
        <x:v>0.067</x:v>
      </x:c>
      <x:c r="F33" s="13" t="n">
        <x:v>0.077</x:v>
      </x:c>
      <x:c r="G33" s="13" t="n">
        <x:v>0.076</x:v>
      </x:c>
      <x:c r="H33" s="13" t="n">
        <x:v>0.105</x:v>
      </x:c>
      <x:c r="I33" s="13" t="n">
        <x:v>0.105</x:v>
      </x:c>
      <x:c r="J33" s="7" t="str">
        <x:v>D3: domestic primary revenue x IQVIA mix (proxy)</x:v>
      </x:c>
      <x:c r="K33" s="7" t="str">
        <x:v>mankind26; mankind26; mankind26; mankind26; mankind26; mankind26</x:v>
      </x:c>
    </x:row>
    <x:row r="34" ht="19" customHeight="1">
      <x:c r="A34" s="7" t="str">
        <x:v>Mankind Pharma</x:v>
      </x:c>
      <x:c r="B34" s="7" t="str">
        <x:v>Gastrointestinal — mix</x:v>
      </x:c>
      <x:c r="C34" s="7" t="str">
        <x:v>%</x:v>
      </x:c>
      <x:c r="D34" s="13" t="n">
        <x:v>0.113</x:v>
      </x:c>
      <x:c r="E34" s="13" t="n">
        <x:v>0.109</x:v>
      </x:c>
      <x:c r="F34" s="13" t="n">
        <x:v>0.10800000000000001</x:v>
      </x:c>
      <x:c r="G34" s="13" t="n">
        <x:v>0.105</x:v>
      </x:c>
      <x:c r="H34" s="13" t="n">
        <x:v>0.102</x:v>
      </x:c>
      <x:c r="I34" s="13" t="n">
        <x:v>0.094</x:v>
      </x:c>
      <x:c r="J34" s="7" t="str">
        <x:v>D3: domestic primary revenue x IQVIA mix (proxy)</x:v>
      </x:c>
      <x:c r="K34" s="7" t="str">
        <x:v>mankind26; mankind26; mankind26; mankind26; mankind26; mankind26</x:v>
      </x:c>
    </x:row>
    <x:row r="35" ht="19" customHeight="1">
      <x:c r="A35" s="7" t="str">
        <x:v>Mankind Pharma</x:v>
      </x:c>
      <x:c r="B35" s="7" t="str">
        <x:v>Diabetes — mix</x:v>
      </x:c>
      <x:c r="C35" s="7" t="str">
        <x:v>%</x:v>
      </x:c>
      <x:c r="D35" s="13" t="n">
        <x:v>0.087</x:v>
      </x:c>
      <x:c r="E35" s="13" t="n">
        <x:v>0.083</x:v>
      </x:c>
      <x:c r="F35" s="13" t="n">
        <x:v>0.08199999999999999</x:v>
      </x:c>
      <x:c r="G35" s="13" t="n">
        <x:v>0.086</x:v>
      </x:c>
      <x:c r="H35" s="13" t="n">
        <x:v>0.08199999999999999</x:v>
      </x:c>
      <x:c r="I35" s="13" t="n">
        <x:v>0.086</x:v>
      </x:c>
      <x:c r="J35" s="7" t="str">
        <x:v>D3: domestic primary revenue x IQVIA mix (proxy)</x:v>
      </x:c>
      <x:c r="K35" s="7" t="str">
        <x:v>mankind26; mankind26; mankind26; mankind26; mankind26; mankind26</x:v>
      </x:c>
    </x:row>
    <x:row r="36" ht="19" customHeight="1">
      <x:c r="A36" s="7" t="str">
        <x:v>Mankind Pharma</x:v>
      </x:c>
      <x:c r="B36" s="7" t="str">
        <x:v>Vitamins / minerals — mix</x:v>
      </x:c>
      <x:c r="C36" s="7" t="str">
        <x:v>%</x:v>
      </x:c>
      <x:c r="D36" s="13" t="n">
        <x:v>0.10300000000000001</x:v>
      </x:c>
      <x:c r="E36" s="13" t="n">
        <x:v>0.095</x:v>
      </x:c>
      <x:c r="F36" s="13" t="n">
        <x:v>0.085</x:v>
      </x:c>
      <x:c r="G36" s="13" t="n">
        <x:v>0.084</x:v>
      </x:c>
      <x:c r="H36" s="13" t="n">
        <x:v>0.08199999999999999</x:v>
      </x:c>
      <x:c r="I36" s="13" t="n">
        <x:v>0.085</x:v>
      </x:c>
      <x:c r="J36" s="7" t="str">
        <x:v>D3: domestic primary revenue x IQVIA mix (proxy)</x:v>
      </x:c>
      <x:c r="K36" s="7" t="str">
        <x:v>mankind26; mankind26; mankind26; mankind26; mankind26; mankind26</x:v>
      </x:c>
    </x:row>
    <x:row r="37" ht="19" customHeight="1">
      <x:c r="A37" s="7" t="str">
        <x:v>Mankind Pharma</x:v>
      </x:c>
      <x:c r="B37" s="7" t="str">
        <x:v>Respiratory — mix</x:v>
      </x:c>
      <x:c r="C37" s="7" t="str">
        <x:v>%</x:v>
      </x:c>
      <x:c r="D37" s="13" t="n">
        <x:v>0.07200000000000001</x:v>
      </x:c>
      <x:c r="E37" s="13" t="n">
        <x:v>0.09699999999999999</x:v>
      </x:c>
      <x:c r="F37" s="13" t="n">
        <x:v>0.095</x:v>
      </x:c>
      <x:c r="G37" s="13" t="n">
        <x:v>0.085</x:v>
      </x:c>
      <x:c r="H37" s="13" t="n">
        <x:v>0.075</x:v>
      </x:c>
      <x:c r="I37" s="13" t="n">
        <x:v>0.077</x:v>
      </x:c>
      <x:c r="J37" s="7" t="str">
        <x:v>D3: domestic primary revenue x IQVIA mix (proxy)</x:v>
      </x:c>
      <x:c r="K37" s="7" t="str">
        <x:v>mankind26; mankind26; mankind26; mankind26; mankind26; mankind26</x:v>
      </x:c>
    </x:row>
    <x:row r="38" ht="19" customHeight="1">
      <x:c r="A38" s="7" t="str">
        <x:v>Mankind Pharma</x:v>
      </x:c>
      <x:c r="B38" s="7" t="str">
        <x:v>Dermatology — mix</x:v>
      </x:c>
      <x:c r="C38" s="7" t="str">
        <x:v>%</x:v>
      </x:c>
      <x:c r="D38" s="13" t="n">
        <x:v>0.086</x:v>
      </x:c>
      <x:c r="E38" s="13" t="n">
        <x:v>0.07400000000000001</x:v>
      </x:c>
      <x:c r="F38" s="13" t="n">
        <x:v>0.061</x:v>
      </x:c>
      <x:c r="G38" s="13" t="n">
        <x:v>0.057999999999999996</x:v>
      </x:c>
      <x:c r="H38" s="13" t="n">
        <x:v>0.052000000000000005</x:v>
      </x:c>
      <x:c r="I38" s="13" t="n">
        <x:v>0.048</x:v>
      </x:c>
      <x:c r="J38" s="7" t="str">
        <x:v>D3: domestic primary revenue x IQVIA mix (proxy)</x:v>
      </x:c>
      <x:c r="K38" s="7" t="str">
        <x:v>mankind26; mankind26; mankind26; mankind26; mankind26; mankind26</x:v>
      </x:c>
    </x:row>
    <x:row r="39" ht="19" customHeight="1">
      <x:c r="A39" s="7" t="str">
        <x:v>Mankind Pharma</x:v>
      </x:c>
      <x:c r="B39" s="7" t="str">
        <x:v>Pain — mix</x:v>
      </x:c>
      <x:c r="C39" s="7" t="str">
        <x:v>%</x:v>
      </x:c>
      <x:c r="D39" s="13" t="n">
        <x:v>0.054000000000000006</x:v>
      </x:c>
      <x:c r="E39" s="13" t="n">
        <x:v>0.054000000000000006</x:v>
      </x:c>
      <x:c r="F39" s="13" t="n">
        <x:v>0.05</x:v>
      </x:c>
      <x:c r="G39" s="13" t="n">
        <x:v>0.047</x:v>
      </x:c>
      <x:c r="H39" s="13" t="n">
        <x:v>0.043</x:v>
      </x:c>
      <x:c r="I39" s="13" t="n">
        <x:v>0.038</x:v>
      </x:c>
      <x:c r="J39" s="7" t="str">
        <x:v>D3: domestic primary revenue x IQVIA mix (proxy)</x:v>
      </x:c>
      <x:c r="K39" s="7" t="str">
        <x:v>mankind26; mankind26; mankind26; mankind26; mankind26; mankind26</x:v>
      </x:c>
    </x:row>
    <x:row r="40" ht="19" customHeight="1">
      <x:c r="A40" s="7" t="str">
        <x:v>Mankind Pharma</x:v>
      </x:c>
      <x:c r="B40" s="7" t="str">
        <x:v>CNS — mix</x:v>
      </x:c>
      <x:c r="C40" s="7" t="str">
        <x:v>%</x:v>
      </x:c>
      <x:c r="D40" s="13" t="n">
        <x:v>0.032</x:v>
      </x:c>
      <x:c r="E40" s="13" t="n">
        <x:v>0.028999999999999998</x:v>
      </x:c>
      <x:c r="F40" s="13" t="n">
        <x:v>0.026000000000000002</x:v>
      </x:c>
      <x:c r="G40" s="13" t="n">
        <x:v>0.026000000000000002</x:v>
      </x:c>
      <x:c r="H40" s="13" t="n">
        <x:v>0.024</x:v>
      </x:c>
      <x:c r="I40" s="13" t="n">
        <x:v>0.024</x:v>
      </x:c>
      <x:c r="J40" s="7" t="str">
        <x:v>D3: domestic primary revenue x IQVIA mix (proxy)</x:v>
      </x:c>
      <x:c r="K40" s="7" t="str">
        <x:v>mankind26; mankind26; mankind26; mankind26; mankind26; mankind26</x:v>
      </x:c>
    </x:row>
    <x:row r="41" ht="19" customHeight="1">
      <x:c r="A41" s="7" t="str">
        <x:v>Torrent Pharma</x:v>
      </x:c>
      <x:c r="B41" s="7" t="str">
        <x:v>Revenue anchor</x:v>
      </x:c>
      <x:c r="C41" s="7" t="str">
        <x:v>₹ cr</x:v>
      </x:c>
      <x:c r="D41" s="12"/>
      <x:c r="E41" s="12" t="n">
        <x:v>4286</x:v>
      </x:c>
      <x:c r="F41" s="12" t="n">
        <x:v>4984</x:v>
      </x:c>
      <x:c r="G41" s="12" t="n">
        <x:v>5666</x:v>
      </x:c>
      <x:c r="H41" s="12" t="n">
        <x:v>6393</x:v>
      </x:c>
      <x:c r="I41" s="12" t="n">
        <x:v>7645</x:v>
      </x:c>
      <x:c r="J41" s="7" t="str">
        <x:v>FY26 includes JB from 21 Jan 2026 and changes portfolio mix; no organic bridge. FY22 derma/gynae are in Other; FY26 ophthal/urology newly separated. FY25 disclosed rounded mix sums to 99%; normalized to 100% for sales allocation.</x:v>
      </x:c>
      <x:c r="K41" s="7" t="str">
        <x:v>torrent22; torrent22; torrent23; torrent24; torrent25; torrent26</x:v>
      </x:c>
    </x:row>
    <x:row r="42" ht="19" customHeight="1">
      <x:c r="A42" s="7" t="str">
        <x:v>Torrent Pharma</x:v>
      </x:c>
      <x:c r="B42" s="7" t="str">
        <x:v>Cardiac — mix</x:v>
      </x:c>
      <x:c r="C42" s="7" t="str">
        <x:v>%</x:v>
      </x:c>
      <x:c r="D42" s="13"/>
      <x:c r="E42" s="13" t="n">
        <x:v>0.29</x:v>
      </x:c>
      <x:c r="F42" s="13" t="n">
        <x:v>0.27</x:v>
      </x:c>
      <x:c r="G42" s="13" t="n">
        <x:v>0.26</x:v>
      </x:c>
      <x:c r="H42" s="13" t="n">
        <x:v>0.25</x:v>
      </x:c>
      <x:c r="I42" s="13" t="n">
        <x:v>0.31</x:v>
      </x:c>
      <x:c r="J42" s="7" t="str">
        <x:v>D3: domestic primary revenue x disclosed mix (proxy)</x:v>
      </x:c>
      <x:c r="K42" s="7" t="str">
        <x:v>torrent22; torrent22; torrent23; torrent24; torrent25; torrent26</x:v>
      </x:c>
    </x:row>
    <x:row r="43" ht="19" customHeight="1">
      <x:c r="A43" s="7" t="str">
        <x:v>Torrent Pharma</x:v>
      </x:c>
      <x:c r="B43" s="7" t="str">
        <x:v>Gastrointestinal — mix</x:v>
      </x:c>
      <x:c r="C43" s="7" t="str">
        <x:v>%</x:v>
      </x:c>
      <x:c r="D43" s="13"/>
      <x:c r="E43" s="13" t="n">
        <x:v>0.18</x:v>
      </x:c>
      <x:c r="F43" s="13" t="n">
        <x:v>0.17</x:v>
      </x:c>
      <x:c r="G43" s="13" t="n">
        <x:v>0.17</x:v>
      </x:c>
      <x:c r="H43" s="13" t="n">
        <x:v>0.17</x:v>
      </x:c>
      <x:c r="I43" s="13" t="n">
        <x:v>0.21</x:v>
      </x:c>
      <x:c r="J43" s="7" t="str">
        <x:v>D3: domestic primary revenue x disclosed mix (proxy)</x:v>
      </x:c>
      <x:c r="K43" s="7" t="str">
        <x:v>torrent22; torrent22; torrent23; torrent24; torrent25; torrent26</x:v>
      </x:c>
    </x:row>
    <x:row r="44" ht="19" customHeight="1">
      <x:c r="A44" s="7" t="str">
        <x:v>Torrent Pharma</x:v>
      </x:c>
      <x:c r="B44" s="7" t="str">
        <x:v>CNS — mix</x:v>
      </x:c>
      <x:c r="C44" s="7" t="str">
        <x:v>%</x:v>
      </x:c>
      <x:c r="D44" s="13"/>
      <x:c r="E44" s="13" t="n">
        <x:v>0.15</x:v>
      </x:c>
      <x:c r="F44" s="13" t="n">
        <x:v>0.15</x:v>
      </x:c>
      <x:c r="G44" s="13" t="n">
        <x:v>0.15</x:v>
      </x:c>
      <x:c r="H44" s="13" t="n">
        <x:v>0.15</x:v>
      </x:c>
      <x:c r="I44" s="13" t="n">
        <x:v>0.12</x:v>
      </x:c>
      <x:c r="J44" s="7" t="str">
        <x:v>D3: domestic primary revenue x disclosed mix (proxy)</x:v>
      </x:c>
      <x:c r="K44" s="7" t="str">
        <x:v>torrent22; torrent22; torrent23; torrent24; torrent25; torrent26</x:v>
      </x:c>
    </x:row>
    <x:row r="45" ht="19" customHeight="1">
      <x:c r="A45" s="7" t="str">
        <x:v>Torrent Pharma</x:v>
      </x:c>
      <x:c r="B45" s="7" t="str">
        <x:v>Vitamins / minerals — mix</x:v>
      </x:c>
      <x:c r="C45" s="7" t="str">
        <x:v>%</x:v>
      </x:c>
      <x:c r="D45" s="13"/>
      <x:c r="E45" s="13" t="n">
        <x:v>0.13</x:v>
      </x:c>
      <x:c r="F45" s="13" t="n">
        <x:v>0.12</x:v>
      </x:c>
      <x:c r="G45" s="13" t="n">
        <x:v>0.12</x:v>
      </x:c>
      <x:c r="H45" s="13" t="n">
        <x:v>0.11</x:v>
      </x:c>
      <x:c r="I45" s="13" t="n">
        <x:v>0.09</x:v>
      </x:c>
      <x:c r="J45" s="7" t="str">
        <x:v>D3: domestic primary revenue x disclosed mix (proxy)</x:v>
      </x:c>
      <x:c r="K45" s="7" t="str">
        <x:v>torrent22; torrent22; torrent23; torrent24; torrent25; torrent26</x:v>
      </x:c>
    </x:row>
    <x:row r="46" ht="19" customHeight="1">
      <x:c r="A46" s="7" t="str">
        <x:v>Torrent Pharma</x:v>
      </x:c>
      <x:c r="B46" s="7" t="str">
        <x:v>Diabetes — mix</x:v>
      </x:c>
      <x:c r="C46" s="7" t="str">
        <x:v>%</x:v>
      </x:c>
      <x:c r="D46" s="13"/>
      <x:c r="E46" s="13" t="n">
        <x:v>0.09</x:v>
      </x:c>
      <x:c r="F46" s="13" t="n">
        <x:v>0.09</x:v>
      </x:c>
      <x:c r="G46" s="13" t="n">
        <x:v>0.09</x:v>
      </x:c>
      <x:c r="H46" s="13" t="n">
        <x:v>0.1</x:v>
      </x:c>
      <x:c r="I46" s="13" t="n">
        <x:v>0.07</x:v>
      </x:c>
      <x:c r="J46" s="7" t="str">
        <x:v>D3: domestic primary revenue x disclosed mix (proxy)</x:v>
      </x:c>
      <x:c r="K46" s="7" t="str">
        <x:v>torrent22; torrent22; torrent23; torrent24; torrent25; torrent26</x:v>
      </x:c>
    </x:row>
    <x:row r="47" ht="19" customHeight="1">
      <x:c r="A47" s="7" t="str">
        <x:v>Torrent Pharma</x:v>
      </x:c>
      <x:c r="B47" s="7" t="str">
        <x:v>Pain — mix</x:v>
      </x:c>
      <x:c r="C47" s="7" t="str">
        <x:v>%</x:v>
      </x:c>
      <x:c r="D47" s="13"/>
      <x:c r="E47" s="13" t="n">
        <x:v>0.06</x:v>
      </x:c>
      <x:c r="F47" s="13" t="n">
        <x:v>0.06</x:v>
      </x:c>
      <x:c r="G47" s="13" t="n">
        <x:v>0.07</x:v>
      </x:c>
      <x:c r="H47" s="13" t="n">
        <x:v>0.07</x:v>
      </x:c>
      <x:c r="I47" s="13" t="n">
        <x:v>0.05</x:v>
      </x:c>
      <x:c r="J47" s="7" t="str">
        <x:v>D3: domestic primary revenue x disclosed mix (proxy)</x:v>
      </x:c>
      <x:c r="K47" s="7" t="str">
        <x:v>torrent22; torrent22; torrent23; torrent24; torrent25; torrent26</x:v>
      </x:c>
    </x:row>
    <x:row r="48" ht="19" customHeight="1">
      <x:c r="A48" s="7" t="str">
        <x:v>Torrent Pharma</x:v>
      </x:c>
      <x:c r="B48" s="7" t="str">
        <x:v>Anti-infectives — mix</x:v>
      </x:c>
      <x:c r="C48" s="7" t="str">
        <x:v>%</x:v>
      </x:c>
      <x:c r="D48" s="13"/>
      <x:c r="E48" s="13" t="n">
        <x:v>0.04</x:v>
      </x:c>
      <x:c r="F48" s="13" t="n">
        <x:v>0.03</x:v>
      </x:c>
      <x:c r="G48" s="13" t="n">
        <x:v>0.03</x:v>
      </x:c>
      <x:c r="H48" s="13" t="n">
        <x:v>0.02</x:v>
      </x:c>
      <x:c r="I48" s="13" t="n">
        <x:v>0.02</x:v>
      </x:c>
      <x:c r="J48" s="7" t="str">
        <x:v>D3: domestic primary revenue x disclosed mix (proxy)</x:v>
      </x:c>
      <x:c r="K48" s="7" t="str">
        <x:v>torrent22; torrent22; torrent23; torrent24; torrent25; torrent26</x:v>
      </x:c>
    </x:row>
    <x:row r="49" ht="19" customHeight="1">
      <x:c r="A49" s="7" t="str">
        <x:v>Torrent Pharma</x:v>
      </x:c>
      <x:c r="B49" s="7" t="str">
        <x:v>Dermatology — mix</x:v>
      </x:c>
      <x:c r="C49" s="7" t="str">
        <x:v>%</x:v>
      </x:c>
      <x:c r="D49" s="13"/>
      <x:c r="E49" s="13"/>
      <x:c r="F49" s="13" t="n">
        <x:v>0.07</x:v>
      </x:c>
      <x:c r="G49" s="13" t="n">
        <x:v>0.07</x:v>
      </x:c>
      <x:c r="H49" s="13" t="n">
        <x:v>0.08</x:v>
      </x:c>
      <x:c r="I49" s="13" t="n">
        <x:v>0.07</x:v>
      </x:c>
      <x:c r="J49" s="7" t="str">
        <x:v>D3: domestic primary revenue x disclosed mix (proxy)</x:v>
      </x:c>
      <x:c r="K49" s="7" t="str">
        <x:v>torrent22; torrent22; torrent23; torrent24; torrent25; torrent26</x:v>
      </x:c>
    </x:row>
    <x:row r="50" ht="19" customHeight="1">
      <x:c r="A50" s="7" t="str">
        <x:v>Torrent Pharma</x:v>
      </x:c>
      <x:c r="B50" s="7" t="str">
        <x:v>Women's health — mix</x:v>
      </x:c>
      <x:c r="C50" s="7" t="str">
        <x:v>%</x:v>
      </x:c>
      <x:c r="D50" s="13"/>
      <x:c r="E50" s="13"/>
      <x:c r="F50" s="13" t="n">
        <x:v>0.02</x:v>
      </x:c>
      <x:c r="G50" s="13" t="n">
        <x:v>0.02</x:v>
      </x:c>
      <x:c r="H50" s="13" t="n">
        <x:v>0.02</x:v>
      </x:c>
      <x:c r="I50" s="13" t="n">
        <x:v>0.02</x:v>
      </x:c>
      <x:c r="J50" s="7" t="str">
        <x:v>D3: domestic primary revenue x disclosed mix (proxy)</x:v>
      </x:c>
      <x:c r="K50" s="7" t="str">
        <x:v>torrent22; torrent22; torrent23; torrent24; torrent25; torrent26</x:v>
      </x:c>
    </x:row>
    <x:row r="51" ht="19" customHeight="1">
      <x:c r="A51" s="7" t="str">
        <x:v>Torrent Pharma</x:v>
      </x:c>
      <x:c r="B51" s="7" t="str">
        <x:v>Ophthalmology — mix</x:v>
      </x:c>
      <x:c r="C51" s="7" t="str">
        <x:v>%</x:v>
      </x:c>
      <x:c r="D51" s="13"/>
      <x:c r="E51" s="13"/>
      <x:c r="F51" s="13"/>
      <x:c r="G51" s="13"/>
      <x:c r="H51" s="13"/>
      <x:c r="I51" s="13" t="n">
        <x:v>0.01</x:v>
      </x:c>
      <x:c r="J51" s="7" t="str">
        <x:v>D3: domestic primary revenue x disclosed mix (proxy)</x:v>
      </x:c>
      <x:c r="K51" s="7" t="str">
        <x:v>torrent22; torrent22; torrent23; torrent24; torrent25; torrent26</x:v>
      </x:c>
    </x:row>
    <x:row r="52" ht="19" customHeight="1">
      <x:c r="A52" s="7" t="str">
        <x:v>Torrent Pharma</x:v>
      </x:c>
      <x:c r="B52" s="7" t="str">
        <x:v>Urology — mix</x:v>
      </x:c>
      <x:c r="C52" s="7" t="str">
        <x:v>%</x:v>
      </x:c>
      <x:c r="D52" s="13"/>
      <x:c r="E52" s="13"/>
      <x:c r="F52" s="13"/>
      <x:c r="G52" s="13"/>
      <x:c r="H52" s="13"/>
      <x:c r="I52" s="13" t="n">
        <x:v>0.01</x:v>
      </x:c>
      <x:c r="J52" s="7" t="str">
        <x:v>D3: domestic primary revenue x disclosed mix (proxy)</x:v>
      </x:c>
      <x:c r="K52" s="7" t="str">
        <x:v>torrent22; torrent22; torrent23; torrent24; torrent25; torrent26</x:v>
      </x:c>
    </x:row>
    <x:row r="53" ht="19" customHeight="1">
      <x:c r="A53" s="7" t="str">
        <x:v>Torrent Pharma</x:v>
      </x:c>
      <x:c r="B53" s="7" t="str">
        <x:v>Other — mix</x:v>
      </x:c>
      <x:c r="C53" s="7" t="str">
        <x:v>%</x:v>
      </x:c>
      <x:c r="D53" s="13"/>
      <x:c r="E53" s="13" t="n">
        <x:v>0.06</x:v>
      </x:c>
      <x:c r="F53" s="13" t="n">
        <x:v>0.02</x:v>
      </x:c>
      <x:c r="G53" s="13" t="n">
        <x:v>0.02</x:v>
      </x:c>
      <x:c r="H53" s="13" t="n">
        <x:v>0.02</x:v>
      </x:c>
      <x:c r="I53" s="13" t="n">
        <x:v>0.02</x:v>
      </x:c>
      <x:c r="J53" s="7" t="str">
        <x:v>D3: domestic primary revenue x disclosed mix (proxy)</x:v>
      </x:c>
      <x:c r="K53" s="7" t="str">
        <x:v>torrent22; torrent22; torrent23; torrent24; torrent25; torrent26</x:v>
      </x:c>
    </x:row>
    <x:row r="54" ht="19" customHeight="1">
      <x:c r="A54" s="7" t="str">
        <x:v>Sun Pharma</x:v>
      </x:c>
      <x:c r="B54" s="7" t="str">
        <x:v>Revenue anchor</x:v>
      </x:c>
      <x:c r="C54" s="7" t="str">
        <x:v>₹ cr</x:v>
      </x:c>
      <x:c r="D54" s="12"/>
      <x:c r="E54" s="12" t="n">
        <x:v>12759.3</x:v>
      </x:c>
      <x:c r="F54" s="12" t="n">
        <x:v>13603.1</x:v>
      </x:c>
      <x:c r="G54" s="12" t="n">
        <x:v>14889.3</x:v>
      </x:c>
      <x:c r="H54" s="12" t="n">
        <x:v>16923</x:v>
      </x:c>
      <x:c r="I54" s="12" t="n">
        <x:v>19290.4</x:v>
      </x:c>
      <x:c r="J54" s="7" t="str">
        <x:v>FY25 mix changes sharply versus FY24 with no bridge in reviewed report; FY25 growth and four-year CAGR suppressed as n.c. Raw sales proxies retained. FY24 mix cites AIOCD-AWACS; allocation is not audited therapy revenue. India revenue includes part of consumer health.</x:v>
      </x:c>
      <x:c r="K54" s="7" t="str">
        <x:v>sun22; sun22; sun23; sun24; sun25; sun26</x:v>
      </x:c>
    </x:row>
    <x:row r="55" ht="19" customHeight="1">
      <x:c r="A55" s="7" t="str">
        <x:v>Sun Pharma</x:v>
      </x:c>
      <x:c r="B55" s="7" t="str">
        <x:v>Cardiac — mix</x:v>
      </x:c>
      <x:c r="C55" s="7" t="str">
        <x:v>%</x:v>
      </x:c>
      <x:c r="D55" s="13"/>
      <x:c r="E55" s="13" t="n">
        <x:v>0.17</x:v>
      </x:c>
      <x:c r="F55" s="13" t="n">
        <x:v>0.18</x:v>
      </x:c>
      <x:c r="G55" s="13" t="n">
        <x:v>0.17</x:v>
      </x:c>
      <x:c r="H55" s="13" t="n">
        <x:v>0.17</x:v>
      </x:c>
      <x:c r="I55" s="13" t="n">
        <x:v>0.17</x:v>
      </x:c>
      <x:c r="J55" s="7" t="str">
        <x:v>D3: India revenue x disclosed mix (proxy)</x:v>
      </x:c>
      <x:c r="K55" s="7" t="str">
        <x:v>sun22; sun22; sun23; sun24; sun25; sun26</x:v>
      </x:c>
    </x:row>
    <x:row r="56" ht="19" customHeight="1">
      <x:c r="A56" s="7" t="str">
        <x:v>Sun Pharma</x:v>
      </x:c>
      <x:c r="B56" s="7" t="str">
        <x:v>CNS — mix</x:v>
      </x:c>
      <x:c r="C56" s="7" t="str">
        <x:v>%</x:v>
      </x:c>
      <x:c r="D56" s="13"/>
      <x:c r="E56" s="13" t="n">
        <x:v>0.16</x:v>
      </x:c>
      <x:c r="F56" s="13" t="n">
        <x:v>0.16</x:v>
      </x:c>
      <x:c r="G56" s="13" t="n">
        <x:v>0.16</x:v>
      </x:c>
      <x:c r="H56" s="13" t="n">
        <x:v>0.2</x:v>
      </x:c>
      <x:c r="I56" s="13" t="n">
        <x:v>0.19</x:v>
      </x:c>
      <x:c r="J56" s="7" t="str">
        <x:v>D3: India revenue x disclosed mix (proxy)</x:v>
      </x:c>
      <x:c r="K56" s="7" t="str">
        <x:v>sun22; sun22; sun23; sun24; sun25; sun26</x:v>
      </x:c>
    </x:row>
    <x:row r="57" ht="19" customHeight="1">
      <x:c r="A57" s="7" t="str">
        <x:v>Sun Pharma</x:v>
      </x:c>
      <x:c r="B57" s="7" t="str">
        <x:v>Gastrointestinal — mix</x:v>
      </x:c>
      <x:c r="C57" s="7" t="str">
        <x:v>%</x:v>
      </x:c>
      <x:c r="D57" s="13"/>
      <x:c r="E57" s="13" t="n">
        <x:v>0.12</x:v>
      </x:c>
      <x:c r="F57" s="13" t="n">
        <x:v>0.12</x:v>
      </x:c>
      <x:c r="G57" s="13" t="n">
        <x:v>0.12</x:v>
      </x:c>
      <x:c r="H57" s="13" t="n">
        <x:v>0.14</x:v>
      </x:c>
      <x:c r="I57" s="13" t="n">
        <x:v>0.14</x:v>
      </x:c>
      <x:c r="J57" s="7" t="str">
        <x:v>D3: India revenue x disclosed mix (proxy)</x:v>
      </x:c>
      <x:c r="K57" s="7" t="str">
        <x:v>sun22; sun22; sun23; sun24; sun25; sun26</x:v>
      </x:c>
    </x:row>
    <x:row r="58" ht="19" customHeight="1">
      <x:c r="A58" s="7" t="str">
        <x:v>Sun Pharma</x:v>
      </x:c>
      <x:c r="B58" s="7" t="str">
        <x:v>Anti-infectives — mix</x:v>
      </x:c>
      <x:c r="C58" s="7" t="str">
        <x:v>%</x:v>
      </x:c>
      <x:c r="D58" s="13"/>
      <x:c r="E58" s="13" t="n">
        <x:v>0.11</x:v>
      </x:c>
      <x:c r="F58" s="13" t="n">
        <x:v>0.11</x:v>
      </x:c>
      <x:c r="G58" s="13" t="n">
        <x:v>0.11</x:v>
      </x:c>
      <x:c r="H58" s="13" t="n">
        <x:v>0.06</x:v>
      </x:c>
      <x:c r="I58" s="13" t="n">
        <x:v>0.06</x:v>
      </x:c>
      <x:c r="J58" s="7" t="str">
        <x:v>D3: India revenue x disclosed mix (proxy)</x:v>
      </x:c>
      <x:c r="K58" s="7" t="str">
        <x:v>sun22; sun22; sun23; sun24; sun25; sun26</x:v>
      </x:c>
    </x:row>
    <x:row r="59" ht="19" customHeight="1">
      <x:c r="A59" s="7" t="str">
        <x:v>Sun Pharma</x:v>
      </x:c>
      <x:c r="B59" s="7" t="str">
        <x:v>Diabetes — mix</x:v>
      </x:c>
      <x:c r="C59" s="7" t="str">
        <x:v>%</x:v>
      </x:c>
      <x:c r="D59" s="13"/>
      <x:c r="E59" s="13" t="n">
        <x:v>0.08</x:v>
      </x:c>
      <x:c r="F59" s="13" t="n">
        <x:v>0.07</x:v>
      </x:c>
      <x:c r="G59" s="13" t="n">
        <x:v>0.07</x:v>
      </x:c>
      <x:c r="H59" s="13" t="n">
        <x:v>0.08</x:v>
      </x:c>
      <x:c r="I59" s="13" t="n">
        <x:v>0.09</x:v>
      </x:c>
      <x:c r="J59" s="7" t="str">
        <x:v>D3: India revenue x disclosed mix (proxy)</x:v>
      </x:c>
      <x:c r="K59" s="7" t="str">
        <x:v>sun22; sun22; sun23; sun24; sun25; sun26</x:v>
      </x:c>
    </x:row>
    <x:row r="60" ht="19" customHeight="1">
      <x:c r="A60" s="7" t="str">
        <x:v>Sun Pharma</x:v>
      </x:c>
      <x:c r="B60" s="7" t="str">
        <x:v>Pain — mix</x:v>
      </x:c>
      <x:c r="C60" s="7" t="str">
        <x:v>%</x:v>
      </x:c>
      <x:c r="D60" s="13"/>
      <x:c r="E60" s="13" t="n">
        <x:v>0.07</x:v>
      </x:c>
      <x:c r="F60" s="13" t="n">
        <x:v>0.07</x:v>
      </x:c>
      <x:c r="G60" s="13" t="n">
        <x:v>0.08</x:v>
      </x:c>
      <x:c r="H60" s="13" t="n">
        <x:v>0.07</x:v>
      </x:c>
      <x:c r="I60" s="13" t="n">
        <x:v>0.07</x:v>
      </x:c>
      <x:c r="J60" s="7" t="str">
        <x:v>D3: India revenue x disclosed mix (proxy)</x:v>
      </x:c>
      <x:c r="K60" s="7" t="str">
        <x:v>sun22; sun22; sun23; sun24; sun25; sun26</x:v>
      </x:c>
    </x:row>
    <x:row r="61" ht="19" customHeight="1">
      <x:c r="A61" s="7" t="str">
        <x:v>Sun Pharma</x:v>
      </x:c>
      <x:c r="B61" s="7" t="str">
        <x:v>Dermatology — mix</x:v>
      </x:c>
      <x:c r="C61" s="7" t="str">
        <x:v>%</x:v>
      </x:c>
      <x:c r="D61" s="13"/>
      <x:c r="E61" s="13" t="n">
        <x:v>0.06</x:v>
      </x:c>
      <x:c r="F61" s="13" t="n">
        <x:v>0.06</x:v>
      </x:c>
      <x:c r="G61" s="13" t="n">
        <x:v>0.06</x:v>
      </x:c>
      <x:c r="H61" s="13" t="n">
        <x:v>0.04</x:v>
      </x:c>
      <x:c r="I61" s="13" t="n">
        <x:v>0.04</x:v>
      </x:c>
      <x:c r="J61" s="7" t="str">
        <x:v>D3: India revenue x disclosed mix (proxy)</x:v>
      </x:c>
      <x:c r="K61" s="7" t="str">
        <x:v>sun22; sun22; sun23; sun24; sun25; sun26</x:v>
      </x:c>
    </x:row>
    <x:row r="62" ht="19" customHeight="1">
      <x:c r="A62" s="7" t="str">
        <x:v>Sun Pharma</x:v>
      </x:c>
      <x:c r="B62" s="7" t="str">
        <x:v>Respiratory — mix</x:v>
      </x:c>
      <x:c r="C62" s="7" t="str">
        <x:v>%</x:v>
      </x:c>
      <x:c r="D62" s="13"/>
      <x:c r="E62" s="13" t="n">
        <x:v>0.05</x:v>
      </x:c>
      <x:c r="F62" s="13" t="n">
        <x:v>0.05</x:v>
      </x:c>
      <x:c r="G62" s="13" t="n">
        <x:v>0.05</x:v>
      </x:c>
      <x:c r="H62" s="13" t="n">
        <x:v>0.05</x:v>
      </x:c>
      <x:c r="I62" s="13" t="n">
        <x:v>0.05</x:v>
      </x:c>
      <x:c r="J62" s="7" t="str">
        <x:v>D3: India revenue x disclosed mix (proxy)</x:v>
      </x:c>
      <x:c r="K62" s="7" t="str">
        <x:v>sun22; sun22; sun23; sun24; sun25; sun26</x:v>
      </x:c>
    </x:row>
    <x:row r="63" ht="19" customHeight="1">
      <x:c r="A63" s="7" t="str">
        <x:v>Sun Pharma</x:v>
      </x:c>
      <x:c r="B63" s="7" t="str">
        <x:v>Vitamins / minerals — mix</x:v>
      </x:c>
      <x:c r="C63" s="7" t="str">
        <x:v>%</x:v>
      </x:c>
      <x:c r="D63" s="13"/>
      <x:c r="E63" s="13" t="n">
        <x:v>0.05</x:v>
      </x:c>
      <x:c r="F63" s="13" t="n">
        <x:v>0.05</x:v>
      </x:c>
      <x:c r="G63" s="13" t="n">
        <x:v>0.05</x:v>
      </x:c>
      <x:c r="H63" s="13" t="n">
        <x:v>0.05</x:v>
      </x:c>
      <x:c r="I63" s="13" t="n">
        <x:v>0.05</x:v>
      </x:c>
      <x:c r="J63" s="7" t="str">
        <x:v>D3: India revenue x disclosed mix (proxy)</x:v>
      </x:c>
      <x:c r="K63" s="7" t="str">
        <x:v>sun22; sun22; sun23; sun24; sun25; sun26</x:v>
      </x:c>
    </x:row>
    <x:row r="64" ht="19" customHeight="1">
      <x:c r="A64" s="7" t="str">
        <x:v>Sun Pharma</x:v>
      </x:c>
      <x:c r="B64" s="7" t="str">
        <x:v>Women's health — mix</x:v>
      </x:c>
      <x:c r="C64" s="7" t="str">
        <x:v>%</x:v>
      </x:c>
      <x:c r="D64" s="13"/>
      <x:c r="E64" s="13" t="n">
        <x:v>0.04</x:v>
      </x:c>
      <x:c r="F64" s="13" t="n">
        <x:v>0.03</x:v>
      </x:c>
      <x:c r="G64" s="13" t="n">
        <x:v>0.03</x:v>
      </x:c>
      <x:c r="H64" s="13" t="n">
        <x:v>0.04</x:v>
      </x:c>
      <x:c r="I64" s="13" t="n">
        <x:v>0.04</x:v>
      </x:c>
      <x:c r="J64" s="7" t="str">
        <x:v>D3: India revenue x disclosed mix (proxy)</x:v>
      </x:c>
      <x:c r="K64" s="7" t="str">
        <x:v>sun22; sun22; sun23; sun24; sun25; sun26</x:v>
      </x:c>
    </x:row>
    <x:row r="65" ht="19" customHeight="1">
      <x:c r="A65" s="7" t="str">
        <x:v>Sun Pharma</x:v>
      </x:c>
      <x:c r="B65" s="7" t="str">
        <x:v>Urology — mix</x:v>
      </x:c>
      <x:c r="C65" s="7" t="str">
        <x:v>%</x:v>
      </x:c>
      <x:c r="D65" s="13"/>
      <x:c r="E65" s="13" t="n">
        <x:v>0.03</x:v>
      </x:c>
      <x:c r="F65" s="13" t="n">
        <x:v>0.04</x:v>
      </x:c>
      <x:c r="G65" s="13" t="n">
        <x:v>0.04</x:v>
      </x:c>
      <x:c r="H65" s="13" t="n">
        <x:v>0.03</x:v>
      </x:c>
      <x:c r="I65" s="13" t="n">
        <x:v>0.03</x:v>
      </x:c>
      <x:c r="J65" s="7" t="str">
        <x:v>D3: India revenue x disclosed mix (proxy)</x:v>
      </x:c>
      <x:c r="K65" s="7" t="str">
        <x:v>sun22; sun22; sun23; sun24; sun25; sun26</x:v>
      </x:c>
    </x:row>
    <x:row r="66" ht="19" customHeight="1">
      <x:c r="A66" s="7" t="str">
        <x:v>Sun Pharma</x:v>
      </x:c>
      <x:c r="B66" s="7" t="str">
        <x:v>Ophthalmology — mix</x:v>
      </x:c>
      <x:c r="C66" s="7" t="str">
        <x:v>%</x:v>
      </x:c>
      <x:c r="D66" s="13"/>
      <x:c r="E66" s="13" t="n">
        <x:v>0.02</x:v>
      </x:c>
      <x:c r="F66" s="13" t="n">
        <x:v>0.02</x:v>
      </x:c>
      <x:c r="G66" s="13" t="n">
        <x:v>0.03</x:v>
      </x:c>
      <x:c r="H66" s="13" t="n">
        <x:v>0.03</x:v>
      </x:c>
      <x:c r="I66" s="13" t="n">
        <x:v>0.03</x:v>
      </x:c>
      <x:c r="J66" s="7" t="str">
        <x:v>D3: India revenue x disclosed mix (proxy)</x:v>
      </x:c>
      <x:c r="K66" s="7" t="str">
        <x:v>sun22; sun22; sun23; sun24; sun25; sun26</x:v>
      </x:c>
    </x:row>
    <x:row r="67" ht="19" customHeight="1">
      <x:c r="A67" s="7" t="str">
        <x:v>Sun Pharma</x:v>
      </x:c>
      <x:c r="B67" s="7" t="str">
        <x:v>Other — mix</x:v>
      </x:c>
      <x:c r="C67" s="7" t="str">
        <x:v>%</x:v>
      </x:c>
      <x:c r="D67" s="13"/>
      <x:c r="E67" s="13" t="n">
        <x:v>0.04</x:v>
      </x:c>
      <x:c r="F67" s="13" t="n">
        <x:v>0.04</x:v>
      </x:c>
      <x:c r="G67" s="13" t="n">
        <x:v>0.03</x:v>
      </x:c>
      <x:c r="H67" s="13" t="n">
        <x:v>0.04</x:v>
      </x:c>
      <x:c r="I67" s="13" t="n">
        <x:v>0.04</x:v>
      </x:c>
      <x:c r="J67" s="7" t="str">
        <x:v>D3: India revenue x disclosed mix (proxy)</x:v>
      </x:c>
      <x:c r="K67" s="7" t="str">
        <x:v>sun22; sun22; sun23; sun24; sun25; sun26</x:v>
      </x:c>
    </x:row>
    <x:row r="68" ht="19" customHeight="1">
      <x:c r="A68" s="7" t="str">
        <x:v>Alkem Labs</x:v>
      </x:c>
      <x:c r="B68" s="7" t="str">
        <x:v>Revenue anchor</x:v>
      </x:c>
      <x:c r="C68" s="7" t="str">
        <x:v>₹ cr</x:v>
      </x:c>
      <x:c r="D68" s="12" t="n">
        <x:v>5699.6</x:v>
      </x:c>
      <x:c r="E68" s="12" t="n">
        <x:v>7404.5</x:v>
      </x:c>
      <x:c r="F68" s="12" t="n">
        <x:v>8001.1</x:v>
      </x:c>
      <x:c r="G68" s="12" t="n">
        <x:v>8433.6</x:v>
      </x:c>
      <x:c r="H68" s="12" t="n">
        <x:v>8983.7</x:v>
      </x:c>
      <x:c r="I68" s="12" t="n">
        <x:v>9851.4</x:v>
      </x:c>
      <x:c r="J68" s="7" t="str">
        <x:v>Main growth is reported secondary IQVIA growth, not growth of sales proxy. Sales are domestic primary revenue x secondary mix. FY26 mix rounded to whole %. Use main reported growth to assess trend.</x:v>
      </x:c>
      <x:c r="K68" s="7" t="str">
        <x:v>alkem22; alkem22; alkem23; alkem24; alkem25; alkem26</x:v>
      </x:c>
    </x:row>
    <x:row r="69" ht="19" customHeight="1">
      <x:c r="A69" s="7" t="str">
        <x:v>Alkem Labs</x:v>
      </x:c>
      <x:c r="B69" s="7" t="str">
        <x:v>Anti-infectives — mix</x:v>
      </x:c>
      <x:c r="C69" s="7" t="str">
        <x:v>%</x:v>
      </x:c>
      <x:c r="D69" s="13"/>
      <x:c r="E69" s="13" t="n">
        <x:v>0.391</x:v>
      </x:c>
      <x:c r="F69" s="13" t="n">
        <x:v>0.376</x:v>
      </x:c>
      <x:c r="G69" s="13" t="n">
        <x:v>0.361</x:v>
      </x:c>
      <x:c r="H69" s="13" t="n">
        <x:v>0.33799999999999997</x:v>
      </x:c>
      <x:c r="I69" s="13" t="n">
        <x:v>0.32</x:v>
      </x:c>
      <x:c r="J69" s="7" t="str">
        <x:v>R: IQVIA therapy growth; D3 sales proxy</x:v>
      </x:c>
      <x:c r="K69" s="7" t="str">
        <x:v>alkem22; alkem22; alkem23; alkem24; alkem25; alkem26</x:v>
      </x:c>
    </x:row>
    <x:row r="70" ht="19" customHeight="1">
      <x:c r="A70" s="7" t="str">
        <x:v>Alkem Labs</x:v>
      </x:c>
      <x:c r="B70" s="7" t="str">
        <x:v>Gastrointestinal — mix</x:v>
      </x:c>
      <x:c r="C70" s="7" t="str">
        <x:v>%</x:v>
      </x:c>
      <x:c r="D70" s="13"/>
      <x:c r="E70" s="13" t="n">
        <x:v>0.17800000000000002</x:v>
      </x:c>
      <x:c r="F70" s="13" t="n">
        <x:v>0.18600000000000003</x:v>
      </x:c>
      <x:c r="G70" s="13" t="n">
        <x:v>0.19</x:v>
      </x:c>
      <x:c r="H70" s="13" t="n">
        <x:v>0.212</x:v>
      </x:c>
      <x:c r="I70" s="13" t="n">
        <x:v>0.21</x:v>
      </x:c>
      <x:c r="J70" s="7" t="str">
        <x:v>R: IQVIA therapy growth; D3 sales proxy</x:v>
      </x:c>
      <x:c r="K70" s="7" t="str">
        <x:v>alkem22; alkem22; alkem23; alkem24; alkem25; alkem26</x:v>
      </x:c>
    </x:row>
    <x:row r="71" ht="19" customHeight="1">
      <x:c r="A71" s="7" t="str">
        <x:v>Alkem Labs</x:v>
      </x:c>
      <x:c r="B71" s="7" t="str">
        <x:v>Vitamins / minerals — mix</x:v>
      </x:c>
      <x:c r="C71" s="7" t="str">
        <x:v>%</x:v>
      </x:c>
      <x:c r="D71" s="13"/>
      <x:c r="E71" s="13" t="n">
        <x:v>0.113</x:v>
      </x:c>
      <x:c r="F71" s="13" t="n">
        <x:v>0.10300000000000001</x:v>
      </x:c>
      <x:c r="G71" s="13" t="n">
        <x:v>0.107</x:v>
      </x:c>
      <x:c r="H71" s="13" t="n">
        <x:v>0.12</x:v>
      </x:c>
      <x:c r="I71" s="13" t="n">
        <x:v>0.13</x:v>
      </x:c>
      <x:c r="J71" s="7" t="str">
        <x:v>R: IQVIA therapy growth; D3 sales proxy</x:v>
      </x:c>
      <x:c r="K71" s="7" t="str">
        <x:v>alkem22; alkem22; alkem23; alkem24; alkem25; alkem26</x:v>
      </x:c>
    </x:row>
    <x:row r="72" ht="19" customHeight="1">
      <x:c r="A72" s="7" t="str">
        <x:v>Alkem Labs</x:v>
      </x:c>
      <x:c r="B72" s="7" t="str">
        <x:v>Pain — mix</x:v>
      </x:c>
      <x:c r="C72" s="7" t="str">
        <x:v>%</x:v>
      </x:c>
      <x:c r="D72" s="13"/>
      <x:c r="E72" s="13" t="n">
        <x:v>0.10300000000000001</x:v>
      </x:c>
      <x:c r="F72" s="13" t="n">
        <x:v>0.109</x:v>
      </x:c>
      <x:c r="G72" s="13" t="n">
        <x:v>0.10800000000000001</x:v>
      </x:c>
      <x:c r="H72" s="13" t="n">
        <x:v>0.10099999999999999</x:v>
      </x:c>
      <x:c r="I72" s="13" t="n">
        <x:v>0.1</x:v>
      </x:c>
      <x:c r="J72" s="7" t="str">
        <x:v>R: IQVIA therapy growth; D3 sales proxy</x:v>
      </x:c>
      <x:c r="K72" s="7" t="str">
        <x:v>alkem22; alkem22; alkem23; alkem24; alkem25; alkem26</x:v>
      </x:c>
    </x:row>
    <x:row r="73" ht="19" customHeight="1">
      <x:c r="A73" s="7" t="str">
        <x:v>Alkem Labs</x:v>
      </x:c>
      <x:c r="B73" s="7" t="str">
        <x:v>CNS — mix</x:v>
      </x:c>
      <x:c r="C73" s="7" t="str">
        <x:v>%</x:v>
      </x:c>
      <x:c r="D73" s="13"/>
      <x:c r="E73" s="13" t="n">
        <x:v>0.035</x:v>
      </x:c>
      <x:c r="F73" s="13" t="n">
        <x:v>0.038</x:v>
      </x:c>
      <x:c r="G73" s="13" t="n">
        <x:v>0.039</x:v>
      </x:c>
      <x:c r="H73" s="13" t="n">
        <x:v>0.037000000000000005</x:v>
      </x:c>
      <x:c r="I73" s="13" t="n">
        <x:v>0.04</x:v>
      </x:c>
      <x:c r="J73" s="7" t="str">
        <x:v>R: IQVIA therapy growth; D3 sales proxy</x:v>
      </x:c>
      <x:c r="K73" s="7" t="str">
        <x:v>alkem22; alkem22; alkem23; alkem24; alkem25; alkem26</x:v>
      </x:c>
    </x:row>
    <x:row r="74" ht="19" customHeight="1">
      <x:c r="A74" s="7" t="str">
        <x:v>Alkem Labs</x:v>
      </x:c>
      <x:c r="B74" s="7" t="str">
        <x:v>Diabetes — mix</x:v>
      </x:c>
      <x:c r="C74" s="7" t="str">
        <x:v>%</x:v>
      </x:c>
      <x:c r="D74" s="13"/>
      <x:c r="E74" s="13" t="n">
        <x:v>0.035</x:v>
      </x:c>
      <x:c r="F74" s="13" t="n">
        <x:v>0.04</x:v>
      </x:c>
      <x:c r="G74" s="13" t="n">
        <x:v>0.046</x:v>
      </x:c>
      <x:c r="H74" s="13" t="n">
        <x:v>0.05</x:v>
      </x:c>
      <x:c r="I74" s="13" t="n">
        <x:v>0.05</x:v>
      </x:c>
      <x:c r="J74" s="7" t="str">
        <x:v>R: IQVIA therapy growth; D3 sales proxy</x:v>
      </x:c>
      <x:c r="K74" s="7" t="str">
        <x:v>alkem22; alkem22; alkem23; alkem24; alkem25; alkem26</x:v>
      </x:c>
    </x:row>
    <x:row r="75" ht="19" customHeight="1">
      <x:c r="A75" s="7" t="str">
        <x:v>Alkem Labs</x:v>
      </x:c>
      <x:c r="B75" s="7" t="str">
        <x:v>Cardiac — mix</x:v>
      </x:c>
      <x:c r="C75" s="7" t="str">
        <x:v>%</x:v>
      </x:c>
      <x:c r="D75" s="13"/>
      <x:c r="E75" s="13" t="n">
        <x:v>0.026000000000000002</x:v>
      </x:c>
      <x:c r="F75" s="13" t="n">
        <x:v>0.023</x:v>
      </x:c>
      <x:c r="G75" s="13" t="n">
        <x:v>0.024</x:v>
      </x:c>
      <x:c r="H75" s="13" t="n">
        <x:v>0.023</x:v>
      </x:c>
      <x:c r="I75" s="13" t="n">
        <x:v>0.02</x:v>
      </x:c>
      <x:c r="J75" s="7" t="str">
        <x:v>R: IQVIA therapy growth; D3 sales proxy</x:v>
      </x:c>
      <x:c r="K75" s="7" t="str">
        <x:v>alkem22; alkem22; alkem23; alkem24; alkem25; alkem26</x:v>
      </x:c>
    </x:row>
    <x:row r="76" ht="19" customHeight="1">
      <x:c r="A76" s="7" t="str">
        <x:v>Alkem Labs</x:v>
      </x:c>
      <x:c r="B76" s="7" t="str">
        <x:v>Dermatology — mix</x:v>
      </x:c>
      <x:c r="C76" s="7" t="str">
        <x:v>%</x:v>
      </x:c>
      <x:c r="D76" s="13"/>
      <x:c r="E76" s="13" t="n">
        <x:v>0.027000000000000003</x:v>
      </x:c>
      <x:c r="F76" s="13" t="n">
        <x:v>0.027999999999999997</x:v>
      </x:c>
      <x:c r="G76" s="13" t="n">
        <x:v>0.028999999999999998</x:v>
      </x:c>
      <x:c r="H76" s="13" t="n">
        <x:v>0.024</x:v>
      </x:c>
      <x:c r="I76" s="13" t="n">
        <x:v>0.03</x:v>
      </x:c>
      <x:c r="J76" s="7" t="str">
        <x:v>R: IQVIA therapy growth; D3 sales proxy</x:v>
      </x:c>
      <x:c r="K76" s="7" t="str">
        <x:v>alkem22; alkem22; alkem23; alkem24; alkem25; alkem26</x:v>
      </x:c>
    </x:row>
    <x:row r="77" ht="19" customHeight="1">
      <x:c r="A77" s="7" t="str">
        <x:v>Alkem Labs</x:v>
      </x:c>
      <x:c r="B77" s="7" t="str">
        <x:v>Women's health — mix</x:v>
      </x:c>
      <x:c r="C77" s="7" t="str">
        <x:v>%</x:v>
      </x:c>
      <x:c r="D77" s="13"/>
      <x:c r="E77" s="13" t="n">
        <x:v>0.036000000000000004</x:v>
      </x:c>
      <x:c r="F77" s="13" t="n">
        <x:v>0.04</x:v>
      </x:c>
      <x:c r="G77" s="13" t="n">
        <x:v>0.039</x:v>
      </x:c>
      <x:c r="H77" s="13" t="n">
        <x:v>0.040999999999999995</x:v>
      </x:c>
      <x:c r="I77" s="13" t="n">
        <x:v>0.04</x:v>
      </x:c>
      <x:c r="J77" s="7" t="str">
        <x:v>R: IQVIA therapy growth; D3 sales proxy</x:v>
      </x:c>
      <x:c r="K77" s="7" t="str">
        <x:v>alkem22; alkem22; alkem23; alkem24; alkem25; alkem26</x:v>
      </x:c>
    </x:row>
    <x:row r="78" ht="19" customHeight="1">
      <x:c r="A78" s="7" t="str">
        <x:v>Alkem Labs</x:v>
      </x:c>
      <x:c r="B78" s="7" t="str">
        <x:v>Respiratory — mix</x:v>
      </x:c>
      <x:c r="C78" s="7" t="str">
        <x:v>%</x:v>
      </x:c>
      <x:c r="D78" s="13"/>
      <x:c r="E78" s="13" t="n">
        <x:v>0.033</x:v>
      </x:c>
      <x:c r="F78" s="13" t="n">
        <x:v>0.033</x:v>
      </x:c>
      <x:c r="G78" s="13" t="n">
        <x:v>0.031</x:v>
      </x:c>
      <x:c r="H78" s="13" t="n">
        <x:v>0.03</x:v>
      </x:c>
      <x:c r="I78" s="13" t="n">
        <x:v>0.03</x:v>
      </x:c>
      <x:c r="J78" s="7" t="str">
        <x:v>R: IQVIA therapy growth; D3 sales proxy</x:v>
      </x:c>
      <x:c r="K78" s="7" t="str">
        <x:v>alkem22; alkem22; alkem23; alkem24; alkem25; alkem26</x:v>
      </x:c>
    </x:row>
    <x:row r="79" ht="19" customHeight="1">
      <x:c r="A79" s="7" t="str">
        <x:v>Alkem Labs</x:v>
      </x:c>
      <x:c r="B79" s="7" t="str">
        <x:v>Anti-infectives — reported growth</x:v>
      </x:c>
      <x:c r="C79" s="7" t="str">
        <x:v>%</x:v>
      </x:c>
      <x:c r="D79" s="13"/>
      <x:c r="E79" s="13" t="n">
        <x:v>0.33799999999999997</x:v>
      </x:c>
      <x:c r="F79" s="13" t="n">
        <x:v>0.086</x:v>
      </x:c>
      <x:c r="G79" s="13" t="n">
        <x:v>0.02</x:v>
      </x:c>
      <x:c r="H79" s="13" t="n">
        <x:v>0.025</x:v>
      </x:c>
      <x:c r="I79" s="13" t="n">
        <x:v>0.044000000000000004</x:v>
      </x:c>
      <x:c r="J79" s="7" t="str">
        <x:v>R: published therapy / portfolio growth</x:v>
      </x:c>
      <x:c r="K79" s="7" t="str">
        <x:v>alkem22; alkem22; alkem23; alkem24; alkem25; alkem26</x:v>
      </x:c>
    </x:row>
    <x:row r="80" ht="19" customHeight="1">
      <x:c r="A80" s="7" t="str">
        <x:v>Alkem Labs</x:v>
      </x:c>
      <x:c r="B80" s="7" t="str">
        <x:v>Gastrointestinal — reported growth</x:v>
      </x:c>
      <x:c r="C80" s="7" t="str">
        <x:v>%</x:v>
      </x:c>
      <x:c r="D80" s="13"/>
      <x:c r="E80" s="13" t="n">
        <x:v>0.222</x:v>
      </x:c>
      <x:c r="F80" s="13" t="n">
        <x:v>0.175</x:v>
      </x:c>
      <x:c r="G80" s="13" t="n">
        <x:v>0.09</x:v>
      </x:c>
      <x:c r="H80" s="13" t="n">
        <x:v>0.114</x:v>
      </x:c>
      <x:c r="I80" s="13" t="n">
        <x:v>0.083</x:v>
      </x:c>
      <x:c r="J80" s="7" t="str">
        <x:v>R: published therapy / portfolio growth</x:v>
      </x:c>
      <x:c r="K80" s="7" t="str">
        <x:v>alkem22; alkem22; alkem23; alkem24; alkem25; alkem26</x:v>
      </x:c>
    </x:row>
    <x:row r="81" ht="19" customHeight="1">
      <x:c r="A81" s="7" t="str">
        <x:v>Alkem Labs</x:v>
      </x:c>
      <x:c r="B81" s="7" t="str">
        <x:v>Vitamins / minerals — reported growth</x:v>
      </x:c>
      <x:c r="C81" s="7" t="str">
        <x:v>%</x:v>
      </x:c>
      <x:c r="D81" s="13"/>
      <x:c r="E81" s="13" t="n">
        <x:v>0.301</x:v>
      </x:c>
      <x:c r="F81" s="13" t="n">
        <x:v>0.025</x:v>
      </x:c>
      <x:c r="G81" s="13" t="n">
        <x:v>0.09300000000000001</x:v>
      </x:c>
      <x:c r="H81" s="13" t="n">
        <x:v>0.127</x:v>
      </x:c>
      <x:c r="I81" s="13" t="n">
        <x:v>0.184</x:v>
      </x:c>
      <x:c r="J81" s="7" t="str">
        <x:v>R: published therapy / portfolio growth</x:v>
      </x:c>
      <x:c r="K81" s="7" t="str">
        <x:v>alkem22; alkem22; alkem23; alkem24; alkem25; alkem26</x:v>
      </x:c>
    </x:row>
    <x:row r="82" ht="19" customHeight="1">
      <x:c r="A82" s="7" t="str">
        <x:v>Alkem Labs</x:v>
      </x:c>
      <x:c r="B82" s="7" t="str">
        <x:v>Pain — reported growth</x:v>
      </x:c>
      <x:c r="C82" s="7" t="str">
        <x:v>%</x:v>
      </x:c>
      <x:c r="D82" s="13"/>
      <x:c r="E82" s="13" t="n">
        <x:v>0.22</x:v>
      </x:c>
      <x:c r="F82" s="13" t="n">
        <x:v>0.184</x:v>
      </x:c>
      <x:c r="G82" s="13" t="n">
        <x:v>0.053</x:v>
      </x:c>
      <x:c r="H82" s="13" t="n">
        <x:v>0.05</x:v>
      </x:c>
      <x:c r="I82" s="13" t="n">
        <x:v>0.11599999999999999</x:v>
      </x:c>
      <x:c r="J82" s="7" t="str">
        <x:v>R: published therapy / portfolio growth</x:v>
      </x:c>
      <x:c r="K82" s="7" t="str">
        <x:v>alkem22; alkem22; alkem23; alkem24; alkem25; alkem26</x:v>
      </x:c>
    </x:row>
    <x:row r="83" ht="19" customHeight="1">
      <x:c r="A83" s="7" t="str">
        <x:v>Alkem Labs</x:v>
      </x:c>
      <x:c r="B83" s="7" t="str">
        <x:v>CNS — reported growth</x:v>
      </x:c>
      <x:c r="C83" s="7" t="str">
        <x:v>%</x:v>
      </x:c>
      <x:c r="D83" s="13"/>
      <x:c r="E83" s="13" t="n">
        <x:v>0.18</x:v>
      </x:c>
      <x:c r="F83" s="13" t="n">
        <x:v>0.198</x:v>
      </x:c>
      <x:c r="G83" s="13" t="n">
        <x:v>0.085</x:v>
      </x:c>
      <x:c r="H83" s="13" t="n">
        <x:v>0.114</x:v>
      </x:c>
      <x:c r="I83" s="13" t="n">
        <x:v>0.086</x:v>
      </x:c>
      <x:c r="J83" s="7" t="str">
        <x:v>R: published therapy / portfolio growth</x:v>
      </x:c>
      <x:c r="K83" s="7" t="str">
        <x:v>alkem22; alkem22; alkem23; alkem24; alkem25; alkem26</x:v>
      </x:c>
    </x:row>
    <x:row r="84" ht="19" customHeight="1">
      <x:c r="A84" s="7" t="str">
        <x:v>Alkem Labs</x:v>
      </x:c>
      <x:c r="B84" s="7" t="str">
        <x:v>Diabetes — reported growth</x:v>
      </x:c>
      <x:c r="C84" s="7" t="str">
        <x:v>%</x:v>
      </x:c>
      <x:c r="D84" s="13"/>
      <x:c r="E84" s="13" t="n">
        <x:v>0.256</x:v>
      </x:c>
      <x:c r="F84" s="13" t="n">
        <x:v>0.294</x:v>
      </x:c>
      <x:c r="G84" s="13" t="n">
        <x:v>0.21600000000000003</x:v>
      </x:c>
      <x:c r="H84" s="13" t="n">
        <x:v>0.09699999999999999</x:v>
      </x:c>
      <x:c r="I84" s="13" t="n">
        <x:v>0.142</x:v>
      </x:c>
      <x:c r="J84" s="7" t="str">
        <x:v>R: published therapy / portfolio growth</x:v>
      </x:c>
      <x:c r="K84" s="7" t="str">
        <x:v>alkem22; alkem22; alkem23; alkem24; alkem25; alkem26</x:v>
      </x:c>
    </x:row>
    <x:row r="85" ht="19" customHeight="1">
      <x:c r="A85" s="7" t="str">
        <x:v>Alkem Labs</x:v>
      </x:c>
      <x:c r="B85" s="7" t="str">
        <x:v>Cardiac — reported growth</x:v>
      </x:c>
      <x:c r="C85" s="7" t="str">
        <x:v>%</x:v>
      </x:c>
      <x:c r="D85" s="13"/>
      <x:c r="E85" s="13" t="n">
        <x:v>0.079</x:v>
      </x:c>
      <x:c r="F85" s="13" t="n">
        <x:v>0.013000000000000001</x:v>
      </x:c>
      <x:c r="G85" s="13" t="n">
        <x:v>0.086</x:v>
      </x:c>
      <x:c r="H85" s="13" t="n">
        <x:v>0.01</x:v>
      </x:c>
      <x:c r="I85" s="13" t="n">
        <x:v>0.10300000000000001</x:v>
      </x:c>
      <x:c r="J85" s="7" t="str">
        <x:v>R: published therapy / portfolio growth</x:v>
      </x:c>
      <x:c r="K85" s="7" t="str">
        <x:v>alkem22; alkem22; alkem23; alkem24; alkem25; alkem26</x:v>
      </x:c>
    </x:row>
    <x:row r="86" ht="19" customHeight="1">
      <x:c r="A86" s="7" t="str">
        <x:v>Alkem Labs</x:v>
      </x:c>
      <x:c r="B86" s="7" t="str">
        <x:v>Dermatology — reported growth</x:v>
      </x:c>
      <x:c r="C86" s="7" t="str">
        <x:v>%</x:v>
      </x:c>
      <x:c r="D86" s="13"/>
      <x:c r="E86" s="13" t="n">
        <x:v>0.201</x:v>
      </x:c>
      <x:c r="F86" s="13" t="n">
        <x:v>0.16</x:v>
      </x:c>
      <x:c r="G86" s="13" t="n">
        <x:v>0.106</x:v>
      </x:c>
      <x:c r="H86" s="13" t="n">
        <x:v>0.08800000000000001</x:v>
      </x:c>
      <x:c r="I86" s="13" t="n">
        <x:v>0.11199999999999999</x:v>
      </x:c>
      <x:c r="J86" s="7" t="str">
        <x:v>R: published therapy / portfolio growth</x:v>
      </x:c>
      <x:c r="K86" s="7" t="str">
        <x:v>alkem22; alkem22; alkem23; alkem24; alkem25; alkem26</x:v>
      </x:c>
    </x:row>
    <x:row r="87" ht="19" customHeight="1">
      <x:c r="A87" s="7" t="str">
        <x:v>Alkem Labs</x:v>
      </x:c>
      <x:c r="B87" s="7" t="str">
        <x:v>Women's health — reported growth</x:v>
      </x:c>
      <x:c r="C87" s="7" t="str">
        <x:v>%</x:v>
      </x:c>
      <x:c r="D87" s="13"/>
      <x:c r="E87" s="13" t="n">
        <x:v>0.20600000000000002</x:v>
      </x:c>
      <x:c r="F87" s="13" t="n">
        <x:v>0.27699999999999997</x:v>
      </x:c>
      <x:c r="G87" s="13" t="n">
        <x:v>0.034</x:v>
      </x:c>
      <x:c r="H87" s="13" t="n">
        <x:v>0.068</x:v>
      </x:c>
      <x:c r="I87" s="13" t="n">
        <x:v>0.057</x:v>
      </x:c>
      <x:c r="J87" s="7" t="str">
        <x:v>R: published therapy / portfolio growth</x:v>
      </x:c>
      <x:c r="K87" s="7" t="str">
        <x:v>alkem22; alkem22; alkem23; alkem24; alkem25; alkem26</x:v>
      </x:c>
    </x:row>
    <x:row r="88" ht="19" customHeight="1">
      <x:c r="A88" s="7" t="str">
        <x:v>Alkem Labs</x:v>
      </x:c>
      <x:c r="B88" s="7" t="str">
        <x:v>Respiratory — reported growth</x:v>
      </x:c>
      <x:c r="C88" s="7" t="str">
        <x:v>%</x:v>
      </x:c>
      <x:c r="D88" s="13"/>
      <x:c r="E88" s="13" t="n">
        <x:v>0.555</x:v>
      </x:c>
      <x:c r="F88" s="13" t="n">
        <x:v>0.14800000000000002</x:v>
      </x:c>
      <x:c r="G88" s="13" t="n">
        <x:v>0</x:v>
      </x:c>
      <x:c r="H88" s="13" t="n">
        <x:v>0.049</x:v>
      </x:c>
      <x:c r="I88" s="13" t="n">
        <x:v>0.162</x:v>
      </x:c>
      <x:c r="J88" s="7" t="str">
        <x:v>R: published therapy / portfolio growth</x:v>
      </x:c>
      <x:c r="K88" s="7" t="str">
        <x:v>alkem22; alkem22; alkem23; alkem24; alkem25; alkem26</x:v>
      </x:c>
    </x:row>
    <x:row r="89" ht="19" customHeight="1">
      <x:c r="A89" s="7" t="str">
        <x:v>Abbott India</x:v>
      </x:c>
      <x:c r="B89" s="7" t="str">
        <x:v>Revenue anchor</x:v>
      </x:c>
      <x:c r="C89" s="7" t="str">
        <x:v>₹ cr</x:v>
      </x:c>
      <x:c r="D89" s="12" t="n">
        <x:v>4310.02</x:v>
      </x:c>
      <x:c r="E89" s="12" t="n">
        <x:v>4919.27</x:v>
      </x:c>
      <x:c r="F89" s="12" t="n">
        <x:v>5348.73</x:v>
      </x:c>
      <x:c r="G89" s="12" t="n">
        <x:v>5848.91</x:v>
      </x:c>
      <x:c r="H89" s="12" t="n">
        <x:v>6409.15</x:v>
      </x:c>
      <x:c r="I89" s="12" t="n">
        <x:v>6929.05</x:v>
      </x:c>
      <x:c r="J89" s="7" t="str">
        <x:v>All weights below are arbitrary, editable portfolio allocation assumptions. Constant mix forces every therapy to track entity sales; it provides no evidence of relative therapy performance. Abbott India listed entity only, including Novo Nordisk distribution; not the whole Abbott India group. Source supports portfolio categories only, NOT weights.</x:v>
      </x:c>
      <x:c r="K89" s="7" t="str">
        <x:v>abbott26; abbott26; abbott26; abbott26; abbott26; abbott26</x:v>
      </x:c>
    </x:row>
    <x:row r="90" ht="19" customHeight="1">
      <x:c r="A90" s="7" t="str">
        <x:v>Abbott India</x:v>
      </x:c>
      <x:c r="B90" s="7" t="str">
        <x:v>Diabetes / insulin — mix</x:v>
      </x:c>
      <x:c r="C90" s="7" t="str">
        <x:v>%</x:v>
      </x:c>
      <x:c r="D90" s="13" t="n">
        <x:v>0.4</x:v>
      </x:c>
      <x:c r="E90" s="13" t="n">
        <x:v>0.4</x:v>
      </x:c>
      <x:c r="F90" s="13" t="n">
        <x:v>0.4</x:v>
      </x:c>
      <x:c r="G90" s="13" t="n">
        <x:v>0.4</x:v>
      </x:c>
      <x:c r="H90" s="13" t="n">
        <x:v>0.4</x:v>
      </x:c>
      <x:c r="I90" s="13" t="n">
        <x:v>0.4</x:v>
      </x:c>
      <x:c r="J90" s="7" t="str">
        <x:v>E: neutral fixed-mix scenario; NOT historical therapy data</x:v>
      </x:c>
      <x:c r="K90" s="7" t="str">
        <x:v>abbott26; abbott26; abbott26; abbott26; abbott26; abbott26</x:v>
      </x:c>
    </x:row>
    <x:row r="91" ht="19" customHeight="1">
      <x:c r="A91" s="7" t="str">
        <x:v>Abbott India</x:v>
      </x:c>
      <x:c r="B91" s="7" t="str">
        <x:v>Gastrointestinal — mix</x:v>
      </x:c>
      <x:c r="C91" s="7" t="str">
        <x:v>%</x:v>
      </x:c>
      <x:c r="D91" s="13" t="n">
        <x:v>0.22</x:v>
      </x:c>
      <x:c r="E91" s="13" t="n">
        <x:v>0.22</x:v>
      </x:c>
      <x:c r="F91" s="13" t="n">
        <x:v>0.22</x:v>
      </x:c>
      <x:c r="G91" s="13" t="n">
        <x:v>0.22</x:v>
      </x:c>
      <x:c r="H91" s="13" t="n">
        <x:v>0.22</x:v>
      </x:c>
      <x:c r="I91" s="13" t="n">
        <x:v>0.22</x:v>
      </x:c>
      <x:c r="J91" s="7" t="str">
        <x:v>E: neutral fixed-mix scenario; NOT historical therapy data</x:v>
      </x:c>
      <x:c r="K91" s="7" t="str">
        <x:v>abbott26; abbott26; abbott26; abbott26; abbott26; abbott26</x:v>
      </x:c>
    </x:row>
    <x:row r="92" ht="19" customHeight="1">
      <x:c r="A92" s="7" t="str">
        <x:v>Abbott India</x:v>
      </x:c>
      <x:c r="B92" s="7" t="str">
        <x:v>Women's health — mix</x:v>
      </x:c>
      <x:c r="C92" s="7" t="str">
        <x:v>%</x:v>
      </x:c>
      <x:c r="D92" s="13" t="n">
        <x:v>0.15</x:v>
      </x:c>
      <x:c r="E92" s="13" t="n">
        <x:v>0.15</x:v>
      </x:c>
      <x:c r="F92" s="13" t="n">
        <x:v>0.15</x:v>
      </x:c>
      <x:c r="G92" s="13" t="n">
        <x:v>0.15</x:v>
      </x:c>
      <x:c r="H92" s="13" t="n">
        <x:v>0.15</x:v>
      </x:c>
      <x:c r="I92" s="13" t="n">
        <x:v>0.15</x:v>
      </x:c>
      <x:c r="J92" s="7" t="str">
        <x:v>E: neutral fixed-mix scenario; NOT historical therapy data</x:v>
      </x:c>
      <x:c r="K92" s="7" t="str">
        <x:v>abbott26; abbott26; abbott26; abbott26; abbott26; abbott26</x:v>
      </x:c>
    </x:row>
    <x:row r="93" ht="19" customHeight="1">
      <x:c r="A93" s="7" t="str">
        <x:v>Abbott India</x:v>
      </x:c>
      <x:c r="B93" s="7" t="str">
        <x:v>Thyroid — mix</x:v>
      </x:c>
      <x:c r="C93" s="7" t="str">
        <x:v>%</x:v>
      </x:c>
      <x:c r="D93" s="13" t="n">
        <x:v>0.1</x:v>
      </x:c>
      <x:c r="E93" s="13" t="n">
        <x:v>0.1</x:v>
      </x:c>
      <x:c r="F93" s="13" t="n">
        <x:v>0.1</x:v>
      </x:c>
      <x:c r="G93" s="13" t="n">
        <x:v>0.1</x:v>
      </x:c>
      <x:c r="H93" s="13" t="n">
        <x:v>0.1</x:v>
      </x:c>
      <x:c r="I93" s="13" t="n">
        <x:v>0.1</x:v>
      </x:c>
      <x:c r="J93" s="7" t="str">
        <x:v>E: neutral fixed-mix scenario; NOT historical therapy data</x:v>
      </x:c>
      <x:c r="K93" s="7" t="str">
        <x:v>abbott26; abbott26; abbott26; abbott26; abbott26; abbott26</x:v>
      </x:c>
    </x:row>
    <x:row r="94" ht="19" customHeight="1">
      <x:c r="A94" s="7" t="str">
        <x:v>Abbott India</x:v>
      </x:c>
      <x:c r="B94" s="7" t="str">
        <x:v>CNS — mix</x:v>
      </x:c>
      <x:c r="C94" s="7" t="str">
        <x:v>%</x:v>
      </x:c>
      <x:c r="D94" s="13" t="n">
        <x:v>0.08</x:v>
      </x:c>
      <x:c r="E94" s="13" t="n">
        <x:v>0.08</x:v>
      </x:c>
      <x:c r="F94" s="13" t="n">
        <x:v>0.08</x:v>
      </x:c>
      <x:c r="G94" s="13" t="n">
        <x:v>0.08</x:v>
      </x:c>
      <x:c r="H94" s="13" t="n">
        <x:v>0.08</x:v>
      </x:c>
      <x:c r="I94" s="13" t="n">
        <x:v>0.08</x:v>
      </x:c>
      <x:c r="J94" s="7" t="str">
        <x:v>E: neutral fixed-mix scenario; NOT historical therapy data</x:v>
      </x:c>
      <x:c r="K94" s="7" t="str">
        <x:v>abbott26; abbott26; abbott26; abbott26; abbott26; abbott26</x:v>
      </x:c>
    </x:row>
    <x:row r="95" ht="19" customHeight="1">
      <x:c r="A95" s="7" t="str">
        <x:v>Abbott India</x:v>
      </x:c>
      <x:c r="B95" s="7" t="str">
        <x:v>Other — mix</x:v>
      </x:c>
      <x:c r="C95" s="7" t="str">
        <x:v>%</x:v>
      </x:c>
      <x:c r="D95" s="13" t="n">
        <x:v>0.05</x:v>
      </x:c>
      <x:c r="E95" s="13" t="n">
        <x:v>0.05</x:v>
      </x:c>
      <x:c r="F95" s="13" t="n">
        <x:v>0.05</x:v>
      </x:c>
      <x:c r="G95" s="13" t="n">
        <x:v>0.05</x:v>
      </x:c>
      <x:c r="H95" s="13" t="n">
        <x:v>0.05</x:v>
      </x:c>
      <x:c r="I95" s="13" t="n">
        <x:v>0.05</x:v>
      </x:c>
      <x:c r="J95" s="7" t="str">
        <x:v>E: neutral fixed-mix scenario; NOT historical therapy data</x:v>
      </x:c>
      <x:c r="K95" s="7" t="str">
        <x:v>abbott26; abbott26; abbott26; abbott26; abbott26; abbott26</x:v>
      </x:c>
    </x:row>
    <x:row r="96" ht="19" customHeight="1">
      <x:c r="A96" s="7" t="str">
        <x:v>Pfizer India</x:v>
      </x:c>
      <x:c r="B96" s="7" t="str">
        <x:v>Revenue anchor</x:v>
      </x:c>
      <x:c r="C96" s="7" t="str">
        <x:v>₹ cr</x:v>
      </x:c>
      <x:c r="D96" s="12" t="n">
        <x:v>2190</x:v>
      </x:c>
      <x:c r="E96" s="12" t="n">
        <x:v>2530</x:v>
      </x:c>
      <x:c r="F96" s="12" t="n">
        <x:v>2337.63</x:v>
      </x:c>
      <x:c r="G96" s="12" t="n">
        <x:v>2081.04</x:v>
      </x:c>
      <x:c r="H96" s="12" t="n">
        <x:v>2128.36</x:v>
      </x:c>
      <x:c r="I96" s="12" t="n">
        <x:v>2377.11</x:v>
      </x:c>
      <x:c r="J96" s="7" t="str">
        <x:v>All weights below are arbitrary, editable portfolio allocation assumptions. Constant mix forces every therapy to track entity sales; it provides no evidence of relative therapy performance. Uses product sales, excluding other operating revenue. FY21/FY22 rounded product sales from FY26 ten-year table. Source supports brand categories only, NOT weights.</x:v>
      </x:c>
      <x:c r="K96" s="7" t="str">
        <x:v>pfizer26; pfizer26; pfizer26; pfizer26; pfizer26; pfizer26</x:v>
      </x:c>
    </x:row>
    <x:row r="97" ht="19" customHeight="1">
      <x:c r="A97" s="7" t="str">
        <x:v>Pfizer India</x:v>
      </x:c>
      <x:c r="B97" s="7" t="str">
        <x:v>Anti-infectives — mix</x:v>
      </x:c>
      <x:c r="C97" s="7" t="str">
        <x:v>%</x:v>
      </x:c>
      <x:c r="D97" s="13" t="n">
        <x:v>0.25</x:v>
      </x:c>
      <x:c r="E97" s="13" t="n">
        <x:v>0.25</x:v>
      </x:c>
      <x:c r="F97" s="13" t="n">
        <x:v>0.25</x:v>
      </x:c>
      <x:c r="G97" s="13" t="n">
        <x:v>0.25</x:v>
      </x:c>
      <x:c r="H97" s="13" t="n">
        <x:v>0.25</x:v>
      </x:c>
      <x:c r="I97" s="13" t="n">
        <x:v>0.25</x:v>
      </x:c>
      <x:c r="J97" s="7" t="str">
        <x:v>E: neutral fixed-mix scenario; NOT historical therapy data</x:v>
      </x:c>
      <x:c r="K97" s="7" t="str">
        <x:v>pfizer26; pfizer26; pfizer26; pfizer26; pfizer26; pfizer26</x:v>
      </x:c>
    </x:row>
    <x:row r="98" ht="19" customHeight="1">
      <x:c r="A98" s="7" t="str">
        <x:v>Pfizer India</x:v>
      </x:c>
      <x:c r="B98" s="7" t="str">
        <x:v>Vaccines — mix</x:v>
      </x:c>
      <x:c r="C98" s="7" t="str">
        <x:v>%</x:v>
      </x:c>
      <x:c r="D98" s="13" t="n">
        <x:v>0.2</x:v>
      </x:c>
      <x:c r="E98" s="13" t="n">
        <x:v>0.2</x:v>
      </x:c>
      <x:c r="F98" s="13" t="n">
        <x:v>0.2</x:v>
      </x:c>
      <x:c r="G98" s="13" t="n">
        <x:v>0.2</x:v>
      </x:c>
      <x:c r="H98" s="13" t="n">
        <x:v>0.2</x:v>
      </x:c>
      <x:c r="I98" s="13" t="n">
        <x:v>0.2</x:v>
      </x:c>
      <x:c r="J98" s="7" t="str">
        <x:v>E: neutral fixed-mix scenario; NOT historical therapy data</x:v>
      </x:c>
      <x:c r="K98" s="7" t="str">
        <x:v>pfizer26; pfizer26; pfizer26; pfizer26; pfizer26; pfizer26</x:v>
      </x:c>
    </x:row>
    <x:row r="99" ht="19" customHeight="1">
      <x:c r="A99" s="7" t="str">
        <x:v>Pfizer India</x:v>
      </x:c>
      <x:c r="B99" s="7" t="str">
        <x:v>Cardiac — mix</x:v>
      </x:c>
      <x:c r="C99" s="7" t="str">
        <x:v>%</x:v>
      </x:c>
      <x:c r="D99" s="13" t="n">
        <x:v>0.15</x:v>
      </x:c>
      <x:c r="E99" s="13" t="n">
        <x:v>0.15</x:v>
      </x:c>
      <x:c r="F99" s="13" t="n">
        <x:v>0.15</x:v>
      </x:c>
      <x:c r="G99" s="13" t="n">
        <x:v>0.15</x:v>
      </x:c>
      <x:c r="H99" s="13" t="n">
        <x:v>0.15</x:v>
      </x:c>
      <x:c r="I99" s="13" t="n">
        <x:v>0.15</x:v>
      </x:c>
      <x:c r="J99" s="7" t="str">
        <x:v>E: neutral fixed-mix scenario; NOT historical therapy data</x:v>
      </x:c>
      <x:c r="K99" s="7" t="str">
        <x:v>pfizer26; pfizer26; pfizer26; pfizer26; pfizer26; pfizer26</x:v>
      </x:c>
    </x:row>
    <x:row r="100" ht="19" customHeight="1">
      <x:c r="A100" s="7" t="str">
        <x:v>Pfizer India</x:v>
      </x:c>
      <x:c r="B100" s="7" t="str">
        <x:v>Vitamins / minerals — mix</x:v>
      </x:c>
      <x:c r="C100" s="7" t="str">
        <x:v>%</x:v>
      </x:c>
      <x:c r="D100" s="13" t="n">
        <x:v>0.15</x:v>
      </x:c>
      <x:c r="E100" s="13" t="n">
        <x:v>0.15</x:v>
      </x:c>
      <x:c r="F100" s="13" t="n">
        <x:v>0.15</x:v>
      </x:c>
      <x:c r="G100" s="13" t="n">
        <x:v>0.15</x:v>
      </x:c>
      <x:c r="H100" s="13" t="n">
        <x:v>0.15</x:v>
      </x:c>
      <x:c r="I100" s="13" t="n">
        <x:v>0.15</x:v>
      </x:c>
      <x:c r="J100" s="7" t="str">
        <x:v>E: neutral fixed-mix scenario; NOT historical therapy data</x:v>
      </x:c>
      <x:c r="K100" s="7" t="str">
        <x:v>pfizer26; pfizer26; pfizer26; pfizer26; pfizer26; pfizer26</x:v>
      </x:c>
    </x:row>
    <x:row r="101" ht="19" customHeight="1">
      <x:c r="A101" s="7" t="str">
        <x:v>Pfizer India</x:v>
      </x:c>
      <x:c r="B101" s="7" t="str">
        <x:v>Respiratory — mix</x:v>
      </x:c>
      <x:c r="C101" s="7" t="str">
        <x:v>%</x:v>
      </x:c>
      <x:c r="D101" s="13" t="n">
        <x:v>0.1</x:v>
      </x:c>
      <x:c r="E101" s="13" t="n">
        <x:v>0.1</x:v>
      </x:c>
      <x:c r="F101" s="13" t="n">
        <x:v>0.1</x:v>
      </x:c>
      <x:c r="G101" s="13" t="n">
        <x:v>0.1</x:v>
      </x:c>
      <x:c r="H101" s="13" t="n">
        <x:v>0.1</x:v>
      </x:c>
      <x:c r="I101" s="13" t="n">
        <x:v>0.1</x:v>
      </x:c>
      <x:c r="J101" s="7" t="str">
        <x:v>E: neutral fixed-mix scenario; NOT historical therapy data</x:v>
      </x:c>
      <x:c r="K101" s="7" t="str">
        <x:v>pfizer26; pfizer26; pfizer26; pfizer26; pfizer26; pfizer26</x:v>
      </x:c>
    </x:row>
    <x:row r="102" ht="19" customHeight="1">
      <x:c r="A102" s="7" t="str">
        <x:v>Pfizer India</x:v>
      </x:c>
      <x:c r="B102" s="7" t="str">
        <x:v>Women's health — mix</x:v>
      </x:c>
      <x:c r="C102" s="7" t="str">
        <x:v>%</x:v>
      </x:c>
      <x:c r="D102" s="13" t="n">
        <x:v>0.05</x:v>
      </x:c>
      <x:c r="E102" s="13" t="n">
        <x:v>0.05</x:v>
      </x:c>
      <x:c r="F102" s="13" t="n">
        <x:v>0.05</x:v>
      </x:c>
      <x:c r="G102" s="13" t="n">
        <x:v>0.05</x:v>
      </x:c>
      <x:c r="H102" s="13" t="n">
        <x:v>0.05</x:v>
      </x:c>
      <x:c r="I102" s="13" t="n">
        <x:v>0.05</x:v>
      </x:c>
      <x:c r="J102" s="7" t="str">
        <x:v>E: neutral fixed-mix scenario; NOT historical therapy data</x:v>
      </x:c>
      <x:c r="K102" s="7" t="str">
        <x:v>pfizer26; pfizer26; pfizer26; pfizer26; pfizer26; pfizer26</x:v>
      </x:c>
    </x:row>
    <x:row r="103" ht="19" customHeight="1">
      <x:c r="A103" s="7" t="str">
        <x:v>Pfizer India</x:v>
      </x:c>
      <x:c r="B103" s="7" t="str">
        <x:v>CNS — mix</x:v>
      </x:c>
      <x:c r="C103" s="7" t="str">
        <x:v>%</x:v>
      </x:c>
      <x:c r="D103" s="13" t="n">
        <x:v>0.05</x:v>
      </x:c>
      <x:c r="E103" s="13" t="n">
        <x:v>0.05</x:v>
      </x:c>
      <x:c r="F103" s="13" t="n">
        <x:v>0.05</x:v>
      </x:c>
      <x:c r="G103" s="13" t="n">
        <x:v>0.05</x:v>
      </x:c>
      <x:c r="H103" s="13" t="n">
        <x:v>0.05</x:v>
      </x:c>
      <x:c r="I103" s="13" t="n">
        <x:v>0.05</x:v>
      </x:c>
      <x:c r="J103" s="7" t="str">
        <x:v>E: neutral fixed-mix scenario; NOT historical therapy data</x:v>
      </x:c>
      <x:c r="K103" s="7" t="str">
        <x:v>pfizer26; pfizer26; pfizer26; pfizer26; pfizer26; pfizer26</x:v>
      </x:c>
    </x:row>
    <x:row r="104" ht="19" customHeight="1">
      <x:c r="A104" s="7" t="str">
        <x:v>Pfizer India</x:v>
      </x:c>
      <x:c r="B104" s="7" t="str">
        <x:v>Other — mix</x:v>
      </x:c>
      <x:c r="C104" s="7" t="str">
        <x:v>%</x:v>
      </x:c>
      <x:c r="D104" s="13" t="n">
        <x:v>0.05</x:v>
      </x:c>
      <x:c r="E104" s="13" t="n">
        <x:v>0.05</x:v>
      </x:c>
      <x:c r="F104" s="13" t="n">
        <x:v>0.05</x:v>
      </x:c>
      <x:c r="G104" s="13" t="n">
        <x:v>0.05</x:v>
      </x:c>
      <x:c r="H104" s="13" t="n">
        <x:v>0.05</x:v>
      </x:c>
      <x:c r="I104" s="13" t="n">
        <x:v>0.05</x:v>
      </x:c>
      <x:c r="J104" s="7" t="str">
        <x:v>E: neutral fixed-mix scenario; NOT historical therapy data</x:v>
      </x:c>
      <x:c r="K104" s="7" t="str">
        <x:v>pfizer26; pfizer26; pfizer26; pfizer26; pfizer26; pfizer26</x:v>
      </x:c>
    </x:row>
    <x:row r="105" ht="19" customHeight="1">
      <x:c r="A105" s="7" t="str">
        <x:v>Novartis India</x:v>
      </x:c>
      <x:c r="B105" s="7" t="str">
        <x:v>Revenue anchor</x:v>
      </x:c>
      <x:c r="C105" s="7" t="str">
        <x:v>₹ cr</x:v>
      </x:c>
      <x:c r="D105" s="12" t="n">
        <x:v>381.35</x:v>
      </x:c>
      <x:c r="E105" s="12" t="n">
        <x:v>399.87</x:v>
      </x:c>
      <x:c r="F105" s="12" t="n">
        <x:v>378.74</x:v>
      </x:c>
      <x:c r="G105" s="12" t="n">
        <x:v>335.07</x:v>
      </x:c>
      <x:c r="H105" s="12" t="n">
        <x:v>356.27</x:v>
      </x:c>
      <x:c r="I105" s="12" t="n">
        <x:v>354.33</x:v>
      </x:c>
      <x:c r="J105" s="7" t="str">
        <x:v>All weights below are arbitrary, editable portfolio allocation assumptions. Constant mix forces every therapy to track entity sales; it provides no evidence of relative therapy performance. Listed Novartis India (now Evonile), excluding Novartis Healthcare Pvt Ltd. Source supports categories only, NOT weights. Reported portfolio growth shown separately in main sheet.</x:v>
      </x:c>
      <x:c r="K105" s="7" t="str">
        <x:v>novartis26; novartis26; novartis26; novartis26; novartis26; novartis26</x:v>
      </x:c>
    </x:row>
    <x:row r="106" ht="19" customHeight="1">
      <x:c r="A106" s="7" t="str">
        <x:v>Novartis India</x:v>
      </x:c>
      <x:c r="B106" s="7" t="str">
        <x:v>Pain — mix</x:v>
      </x:c>
      <x:c r="C106" s="7" t="str">
        <x:v>%</x:v>
      </x:c>
      <x:c r="D106" s="13" t="n">
        <x:v>0.45</x:v>
      </x:c>
      <x:c r="E106" s="13" t="n">
        <x:v>0.45</x:v>
      </x:c>
      <x:c r="F106" s="13" t="n">
        <x:v>0.45</x:v>
      </x:c>
      <x:c r="G106" s="13" t="n">
        <x:v>0.45</x:v>
      </x:c>
      <x:c r="H106" s="13" t="n">
        <x:v>0.45</x:v>
      </x:c>
      <x:c r="I106" s="13" t="n">
        <x:v>0.45</x:v>
      </x:c>
      <x:c r="J106" s="7" t="str">
        <x:v>E: neutral fixed-mix scenario; NOT historical therapy data</x:v>
      </x:c>
      <x:c r="K106" s="7" t="str">
        <x:v>novartis26; novartis26; novartis26; novartis26; novartis26; novartis26</x:v>
      </x:c>
    </x:row>
    <x:row r="107" ht="19" customHeight="1">
      <x:c r="A107" s="7" t="str">
        <x:v>Novartis India</x:v>
      </x:c>
      <x:c r="B107" s="7" t="str">
        <x:v>Transplant — mix</x:v>
      </x:c>
      <x:c r="C107" s="7" t="str">
        <x:v>%</x:v>
      </x:c>
      <x:c r="D107" s="13" t="n">
        <x:v>0.3</x:v>
      </x:c>
      <x:c r="E107" s="13" t="n">
        <x:v>0.3</x:v>
      </x:c>
      <x:c r="F107" s="13" t="n">
        <x:v>0.3</x:v>
      </x:c>
      <x:c r="G107" s="13" t="n">
        <x:v>0.3</x:v>
      </x:c>
      <x:c r="H107" s="13" t="n">
        <x:v>0.3</x:v>
      </x:c>
      <x:c r="I107" s="13" t="n">
        <x:v>0.3</x:v>
      </x:c>
      <x:c r="J107" s="7" t="str">
        <x:v>E: neutral fixed-mix scenario; NOT historical therapy data</x:v>
      </x:c>
      <x:c r="K107" s="7" t="str">
        <x:v>novartis26; novartis26; novartis26; novartis26; novartis26; novartis26</x:v>
      </x:c>
    </x:row>
    <x:row r="108" ht="19" customHeight="1">
      <x:c r="A108" s="7" t="str">
        <x:v>Novartis India</x:v>
      </x:c>
      <x:c r="B108" s="7" t="str">
        <x:v>CNS — mix</x:v>
      </x:c>
      <x:c r="C108" s="7" t="str">
        <x:v>%</x:v>
      </x:c>
      <x:c r="D108" s="13" t="n">
        <x:v>0.15</x:v>
      </x:c>
      <x:c r="E108" s="13" t="n">
        <x:v>0.15</x:v>
      </x:c>
      <x:c r="F108" s="13" t="n">
        <x:v>0.15</x:v>
      </x:c>
      <x:c r="G108" s="13" t="n">
        <x:v>0.15</x:v>
      </x:c>
      <x:c r="H108" s="13" t="n">
        <x:v>0.15</x:v>
      </x:c>
      <x:c r="I108" s="13" t="n">
        <x:v>0.15</x:v>
      </x:c>
      <x:c r="J108" s="7" t="str">
        <x:v>E: neutral fixed-mix scenario; NOT historical therapy data</x:v>
      </x:c>
      <x:c r="K108" s="7" t="str">
        <x:v>novartis26; novartis26; novartis26; novartis26; novartis26; novartis26</x:v>
      </x:c>
    </x:row>
    <x:row r="109" ht="19" customHeight="1">
      <x:c r="A109" s="7" t="str">
        <x:v>Novartis India</x:v>
      </x:c>
      <x:c r="B109" s="7" t="str">
        <x:v>Vitamins / calcium — mix</x:v>
      </x:c>
      <x:c r="C109" s="7" t="str">
        <x:v>%</x:v>
      </x:c>
      <x:c r="D109" s="13" t="n">
        <x:v>0.08</x:v>
      </x:c>
      <x:c r="E109" s="13" t="n">
        <x:v>0.08</x:v>
      </x:c>
      <x:c r="F109" s="13" t="n">
        <x:v>0.08</x:v>
      </x:c>
      <x:c r="G109" s="13" t="n">
        <x:v>0.08</x:v>
      </x:c>
      <x:c r="H109" s="13" t="n">
        <x:v>0.08</x:v>
      </x:c>
      <x:c r="I109" s="13" t="n">
        <x:v>0.08</x:v>
      </x:c>
      <x:c r="J109" s="7" t="str">
        <x:v>E: neutral fixed-mix scenario; NOT historical therapy data</x:v>
      </x:c>
      <x:c r="K109" s="7" t="str">
        <x:v>novartis26; novartis26; novartis26; novartis26; novartis26; novartis26</x:v>
      </x:c>
    </x:row>
    <x:row r="110" ht="19" customHeight="1">
      <x:c r="A110" s="7" t="str">
        <x:v>Novartis India</x:v>
      </x:c>
      <x:c r="B110" s="7" t="str">
        <x:v>Other — mix</x:v>
      </x:c>
      <x:c r="C110" s="7" t="str">
        <x:v>%</x:v>
      </x:c>
      <x:c r="D110" s="13" t="n">
        <x:v>0.02</x:v>
      </x:c>
      <x:c r="E110" s="13" t="n">
        <x:v>0.02</x:v>
      </x:c>
      <x:c r="F110" s="13" t="n">
        <x:v>0.02</x:v>
      </x:c>
      <x:c r="G110" s="13" t="n">
        <x:v>0.02</x:v>
      </x:c>
      <x:c r="H110" s="13" t="n">
        <x:v>0.02</x:v>
      </x:c>
      <x:c r="I110" s="13" t="n">
        <x:v>0.02</x:v>
      </x:c>
      <x:c r="J110" s="7" t="str">
        <x:v>E: neutral fixed-mix scenario; NOT historical therapy data</x:v>
      </x:c>
      <x:c r="K110" s="7" t="str">
        <x:v>novartis26; novartis26; novartis26; novartis26; novartis26; novartis26</x:v>
      </x:c>
    </x:row>
    <x:row r="111" ht="19" customHeight="1">
      <x:c r="A111" s="7" t="str">
        <x:v>Novartis India</x:v>
      </x:c>
      <x:c r="B111" s="7" t="str">
        <x:v>Transplant — reported growth</x:v>
      </x:c>
      <x:c r="C111" s="7" t="str">
        <x:v>%</x:v>
      </x:c>
      <x:c r="D111" s="13"/>
      <x:c r="E111" s="13"/>
      <x:c r="F111" s="13"/>
      <x:c r="G111" s="13"/>
      <x:c r="H111" s="13" t="n">
        <x:v>0.14</x:v>
      </x:c>
      <x:c r="I111" s="13" t="n">
        <x:v>0.05</x:v>
      </x:c>
      <x:c r="J111" s="7" t="str">
        <x:v>R: published therapy / portfolio growth</x:v>
      </x:c>
      <x:c r="K111" s="7" t="str">
        <x:v>novartis25 (FY25); novartis26 (FY26)</x:v>
      </x:c>
    </x:row>
    <x:row r="112" ht="19" customHeight="1">
      <x:c r="A112" s="7" t="str">
        <x:v>Novartis India</x:v>
      </x:c>
      <x:c r="B112" s="7" t="str">
        <x:v>Vitamins / calcium — reported growth</x:v>
      </x:c>
      <x:c r="C112" s="7" t="str">
        <x:v>%</x:v>
      </x:c>
      <x:c r="D112" s="13"/>
      <x:c r="E112" s="13"/>
      <x:c r="F112" s="13"/>
      <x:c r="G112" s="13"/>
      <x:c r="H112" s="13"/>
      <x:c r="I112" s="13" t="n">
        <x:v>0.12</x:v>
      </x:c>
      <x:c r="J112" s="7" t="str">
        <x:v>R: published therapy / portfolio growth</x:v>
      </x:c>
      <x:c r="K112" s="7" t="str">
        <x:v>novartis25 (FY25); novartis26 (FY26)</x:v>
      </x:c>
    </x:row>
    <x:row r="113" ht="19" customHeight="1">
      <x:c r="A113" s="7" t="str">
        <x:v>Novartis India</x:v>
      </x:c>
      <x:c r="B113" s="7" t="str">
        <x:v>Pain — reported growth</x:v>
      </x:c>
      <x:c r="C113" s="7" t="str">
        <x:v>%</x:v>
      </x:c>
      <x:c r="D113" s="13"/>
      <x:c r="E113" s="13"/>
      <x:c r="F113" s="13"/>
      <x:c r="G113" s="13"/>
      <x:c r="H113" s="13" t="n">
        <x:v>0.06</x:v>
      </x:c>
      <x:c r="I113" s="13"/>
      <x:c r="J113" s="7" t="str">
        <x:v>R: published therapy / portfolio growth</x:v>
      </x:c>
      <x:c r="K113" s="7" t="str">
        <x:v>novartis25 (FY25); novartis26 (FY26)</x:v>
      </x:c>
    </x:row>
    <x:row r="114" ht="19" customHeight="1">
      <x:c r="A114" s="7" t="str">
        <x:v>Sanofi India</x:v>
      </x:c>
      <x:c r="B114" s="7" t="str">
        <x:v>Revenue anchor</x:v>
      </x:c>
      <x:c r="C114" s="7" t="str">
        <x:v>₹ cr</x:v>
      </x:c>
      <x:c r="D114" s="12" t="n">
        <x:v>2901.9</x:v>
      </x:c>
      <x:c r="E114" s="12" t="n">
        <x:v>2956.6</x:v>
      </x:c>
      <x:c r="F114" s="12" t="n">
        <x:v>2770.1</x:v>
      </x:c>
      <x:c r="G114" s="12" t="n">
        <x:v>2851.1</x:v>
      </x:c>
      <x:c r="H114" s="12" t="n">
        <x:v>2013.2</x:v>
      </x:c>
      <x:c r="I114" s="12" t="n">
        <x:v>1837.4</x:v>
      </x:c>
      <x:c r="J114" s="7" t="str">
        <x:v>All weights below are arbitrary, editable portfolio allocation assumptions. Constant mix forces every therapy to track entity sales; it provides no evidence of relative therapy performance. Calendar years CY20–CY25; includes exports. CHC demerger breaks CY24 comparison. Scenario weights deliberately held fixed and should not be read as reconstructed historical mix.</x:v>
      </x:c>
      <x:c r="K114" s="7" t="str">
        <x:v>sanofi25; sanofi25; sanofi25; sanofi25; sanofi25; sanofi25</x:v>
      </x:c>
    </x:row>
    <x:row r="115" ht="19" customHeight="1">
      <x:c r="A115" s="7" t="str">
        <x:v>Sanofi India</x:v>
      </x:c>
      <x:c r="B115" s="7" t="str">
        <x:v>Diabetes / insulin — mix</x:v>
      </x:c>
      <x:c r="C115" s="7" t="str">
        <x:v>%</x:v>
      </x:c>
      <x:c r="D115" s="13" t="n">
        <x:v>0.6</x:v>
      </x:c>
      <x:c r="E115" s="13" t="n">
        <x:v>0.6</x:v>
      </x:c>
      <x:c r="F115" s="13" t="n">
        <x:v>0.6</x:v>
      </x:c>
      <x:c r="G115" s="13" t="n">
        <x:v>0.6</x:v>
      </x:c>
      <x:c r="H115" s="13" t="n">
        <x:v>0.6</x:v>
      </x:c>
      <x:c r="I115" s="13" t="n">
        <x:v>0.6</x:v>
      </x:c>
      <x:c r="J115" s="7" t="str">
        <x:v>E: neutral fixed-mix scenario; NOT historical therapy data</x:v>
      </x:c>
      <x:c r="K115" s="7" t="str">
        <x:v>sanofi25; sanofi25; sanofi25; sanofi25; sanofi25; sanofi25</x:v>
      </x:c>
    </x:row>
    <x:row r="116" ht="19" customHeight="1">
      <x:c r="A116" s="7" t="str">
        <x:v>Sanofi India</x:v>
      </x:c>
      <x:c r="B116" s="7" t="str">
        <x:v>Cardiac / thrombosis — mix</x:v>
      </x:c>
      <x:c r="C116" s="7" t="str">
        <x:v>%</x:v>
      </x:c>
      <x:c r="D116" s="13" t="n">
        <x:v>0.2</x:v>
      </x:c>
      <x:c r="E116" s="13" t="n">
        <x:v>0.2</x:v>
      </x:c>
      <x:c r="F116" s="13" t="n">
        <x:v>0.2</x:v>
      </x:c>
      <x:c r="G116" s="13" t="n">
        <x:v>0.2</x:v>
      </x:c>
      <x:c r="H116" s="13" t="n">
        <x:v>0.2</x:v>
      </x:c>
      <x:c r="I116" s="13" t="n">
        <x:v>0.2</x:v>
      </x:c>
      <x:c r="J116" s="7" t="str">
        <x:v>E: neutral fixed-mix scenario; NOT historical therapy data</x:v>
      </x:c>
      <x:c r="K116" s="7" t="str">
        <x:v>sanofi25; sanofi25; sanofi25; sanofi25; sanofi25; sanofi25</x:v>
      </x:c>
    </x:row>
    <x:row r="117" ht="19" customHeight="1">
      <x:c r="A117" s="7" t="str">
        <x:v>Sanofi India</x:v>
      </x:c>
      <x:c r="B117" s="7" t="str">
        <x:v>CNS — mix</x:v>
      </x:c>
      <x:c r="C117" s="7" t="str">
        <x:v>%</x:v>
      </x:c>
      <x:c r="D117" s="13" t="n">
        <x:v>0.1</x:v>
      </x:c>
      <x:c r="E117" s="13" t="n">
        <x:v>0.1</x:v>
      </x:c>
      <x:c r="F117" s="13" t="n">
        <x:v>0.1</x:v>
      </x:c>
      <x:c r="G117" s="13" t="n">
        <x:v>0.1</x:v>
      </x:c>
      <x:c r="H117" s="13" t="n">
        <x:v>0.1</x:v>
      </x:c>
      <x:c r="I117" s="13" t="n">
        <x:v>0.1</x:v>
      </x:c>
      <x:c r="J117" s="7" t="str">
        <x:v>E: neutral fixed-mix scenario; NOT historical therapy data</x:v>
      </x:c>
      <x:c r="K117" s="7" t="str">
        <x:v>sanofi25; sanofi25; sanofi25; sanofi25; sanofi25; sanofi25</x:v>
      </x:c>
    </x:row>
    <x:row r="118" ht="19" customHeight="1">
      <x:c r="A118" s="7" t="str">
        <x:v>Sanofi India</x:v>
      </x:c>
      <x:c r="B118" s="7" t="str">
        <x:v>Anti-infectives — mix</x:v>
      </x:c>
      <x:c r="C118" s="7" t="str">
        <x:v>%</x:v>
      </x:c>
      <x:c r="D118" s="13" t="n">
        <x:v>0.05</x:v>
      </x:c>
      <x:c r="E118" s="13" t="n">
        <x:v>0.05</x:v>
      </x:c>
      <x:c r="F118" s="13" t="n">
        <x:v>0.05</x:v>
      </x:c>
      <x:c r="G118" s="13" t="n">
        <x:v>0.05</x:v>
      </x:c>
      <x:c r="H118" s="13" t="n">
        <x:v>0.05</x:v>
      </x:c>
      <x:c r="I118" s="13" t="n">
        <x:v>0.05</x:v>
      </x:c>
      <x:c r="J118" s="7" t="str">
        <x:v>E: neutral fixed-mix scenario; NOT historical therapy data</x:v>
      </x:c>
      <x:c r="K118" s="7" t="str">
        <x:v>sanofi25; sanofi25; sanofi25; sanofi25; sanofi25; sanofi25</x:v>
      </x:c>
    </x:row>
    <x:row r="119" ht="19" customHeight="1">
      <x:c r="A119" s="7" t="str">
        <x:v>Sanofi India</x:v>
      </x:c>
      <x:c r="B119" s="7" t="str">
        <x:v>Other — mix</x:v>
      </x:c>
      <x:c r="C119" s="7" t="str">
        <x:v>%</x:v>
      </x:c>
      <x:c r="D119" s="13" t="n">
        <x:v>0.05</x:v>
      </x:c>
      <x:c r="E119" s="13" t="n">
        <x:v>0.05</x:v>
      </x:c>
      <x:c r="F119" s="13" t="n">
        <x:v>0.05</x:v>
      </x:c>
      <x:c r="G119" s="13" t="n">
        <x:v>0.05</x:v>
      </x:c>
      <x:c r="H119" s="13" t="n">
        <x:v>0.05</x:v>
      </x:c>
      <x:c r="I119" s="13" t="n">
        <x:v>0.05</x:v>
      </x:c>
      <x:c r="J119" s="7" t="str">
        <x:v>E: neutral fixed-mix scenario; NOT historical therapy data</x:v>
      </x:c>
      <x:c r="K119" s="7" t="str">
        <x:v>sanofi25; sanofi25; sanofi25; sanofi25; sanofi25; sanofi25</x:v>
      </x:c>
    </x:row>
    <x:row r="120" ht="19" customHeight="1">
      <x:c r="A120" s="7"/>
      <x:c r="B120" s="7"/>
      <x:c r="C120" s="7"/>
      <x:c r="D120" s="7"/>
      <x:c r="E120" s="7"/>
      <x:c r="F120" s="7"/>
      <x:c r="G120" s="7"/>
      <x:c r="H120" s="7"/>
      <x:c r="I120" s="7"/>
      <x:c r="J120" s="7"/>
      <x:c r="K120" s="7"/>
    </x:row>
    <x:row r="121" ht="19" customHeight="1">
      <x:c r="A121" s="9" t="str">
        <x:v>Source register</x:v>
      </x:c>
      <x:c r="B121" s="9"/>
      <x:c r="C121" s="9"/>
      <x:c r="D121" s="9"/>
      <x:c r="E121" s="7"/>
      <x:c r="F121" s="7"/>
      <x:c r="G121" s="7"/>
      <x:c r="H121" s="7"/>
      <x:c r="I121" s="7"/>
      <x:c r="J121" s="7"/>
      <x:c r="K121" s="7"/>
    </x:row>
    <x:row r="122" ht="19" customHeight="1">
      <x:c r="A122" s="9" t="str">
        <x:v>Source ID</x:v>
      </x:c>
      <x:c r="B122" s="9" t="str">
        <x:v>Document / location</x:v>
      </x:c>
      <x:c r="C122" s="9" t="str"/>
      <x:c r="D122" s="9" t="str"/>
      <x:c r="E122" s="9" t="str"/>
      <x:c r="F122" s="9" t="str"/>
      <x:c r="G122" s="9" t="str"/>
      <x:c r="H122" s="9" t="str"/>
      <x:c r="I122" s="9" t="str"/>
      <x:c r="J122" s="9" t="str">
        <x:v>URL</x:v>
      </x:c>
      <x:c r="K122" s="9" t="str">
        <x:v>Use</x:v>
      </x:c>
    </x:row>
    <x:row r="123" ht="62" customHeight="1">
      <x:c r="A123" s="7" t="str">
        <x:v>astr22</x:v>
      </x:c>
      <x:c r="B123" s="7" t="str">
        <x:v>Note 43; PDF p68</x:v>
      </x:c>
      <x:c r="C123" s="7" t="str"/>
      <x:c r="D123" s="7" t="str"/>
      <x:c r="E123" s="7" t="str"/>
      <x:c r="F123" s="7" t="str"/>
      <x:c r="G123" s="7" t="str"/>
      <x:c r="H123" s="7" t="str"/>
      <x:c r="I123" s="7" t="str"/>
      <x:c r="J123" s="14" t="str">
        <x:v>https://www.astrazeneca.in/content/dam/az-in/pdf/2022/investor-relations/Annual%20Report%202021-22.pdf</x:v>
      </x:c>
      <x:c r="K123" s="7" t="str">
        <x:v>Numerical disclosure for D/R; category descriptions only for E</x:v>
      </x:c>
    </x:row>
    <x:row r="124" ht="62" customHeight="1">
      <x:c r="A124" s="7" t="str">
        <x:v>astr23</x:v>
      </x:c>
      <x:c r="B124" s="7" t="str">
        <x:v>Note 43; printed p148</x:v>
      </x:c>
      <x:c r="C124" s="7" t="str"/>
      <x:c r="D124" s="7" t="str"/>
      <x:c r="E124" s="7" t="str"/>
      <x:c r="F124" s="7" t="str"/>
      <x:c r="G124" s="7" t="str"/>
      <x:c r="H124" s="7" t="str"/>
      <x:c r="I124" s="7" t="str"/>
      <x:c r="J124" s="14" t="str">
        <x:v>https://www.astrazeneca.in/content/dam/az-in/pdf/2023/Annual%20Report%202022-23.pdf</x:v>
      </x:c>
      <x:c r="K124" s="7" t="str">
        <x:v>Numerical disclosure for D/R; category descriptions only for E</x:v>
      </x:c>
    </x:row>
    <x:row r="125" ht="62" customHeight="1">
      <x:c r="A125" s="7" t="str">
        <x:v>astr24</x:v>
      </x:c>
      <x:c r="B125" s="7" t="str">
        <x:v>Note 43; printed p174–175</x:v>
      </x:c>
      <x:c r="C125" s="7" t="str"/>
      <x:c r="D125" s="7" t="str"/>
      <x:c r="E125" s="7" t="str"/>
      <x:c r="F125" s="7" t="str"/>
      <x:c r="G125" s="7" t="str"/>
      <x:c r="H125" s="7" t="str"/>
      <x:c r="I125" s="7" t="str"/>
      <x:c r="J125" s="14" t="str">
        <x:v>https://www.astrazeneca.in/content/dam/az-in/pdf/2024/July/Annual%20Report%202023-24.pdf</x:v>
      </x:c>
      <x:c r="K125" s="7" t="str">
        <x:v>Numerical disclosure for D/R; category descriptions only for E</x:v>
      </x:c>
    </x:row>
    <x:row r="126" ht="62" customHeight="1">
      <x:c r="A126" s="7" t="str">
        <x:v>astr26</x:v>
      </x:c>
      <x:c r="B126" s="7" t="str">
        <x:v>Note 43; printed p191</x:v>
      </x:c>
      <x:c r="C126" s="7" t="str"/>
      <x:c r="D126" s="7" t="str"/>
      <x:c r="E126" s="7" t="str"/>
      <x:c r="F126" s="7" t="str"/>
      <x:c r="G126" s="7" t="str"/>
      <x:c r="H126" s="7" t="str"/>
      <x:c r="I126" s="7" t="str"/>
      <x:c r="J126" s="14" t="str">
        <x:v>https://www.astrazeneca.in/content/dam/az-in/pdf/2026/Annual_Report-2025-26/Annual-Report-2025-26.pdf</x:v>
      </x:c>
      <x:c r="K126" s="7" t="str">
        <x:v>Numerical disclosure for D/R; category descriptions only for E</x:v>
      </x:c>
    </x:row>
    <x:row r="127" ht="62" customHeight="1">
      <x:c r="A127" s="7" t="str">
        <x:v>gsk23</x:v>
      </x:c>
      <x:c r="B127" s="7" t="str">
        <x:v>Financial history / comparative base</x:v>
      </x:c>
      <x:c r="C127" s="7" t="str"/>
      <x:c r="D127" s="7" t="str"/>
      <x:c r="E127" s="7" t="str"/>
      <x:c r="F127" s="7" t="str"/>
      <x:c r="G127" s="7" t="str"/>
      <x:c r="H127" s="7" t="str"/>
      <x:c r="I127" s="7" t="str"/>
      <x:c r="J127" s="14" t="str">
        <x:v>https://india-pharma.gsk.com/media/3zidjfia/annual-report-2022-23.pdf</x:v>
      </x:c>
      <x:c r="K127" s="7" t="str">
        <x:v>Numerical disclosure for D/R; category descriptions only for E</x:v>
      </x:c>
    </x:row>
    <x:row r="128" ht="62" customHeight="1">
      <x:c r="A128" s="7" t="str">
        <x:v>gsk24</x:v>
      </x:c>
      <x:c r="B128" s="7" t="str">
        <x:v>About company; PDF p34</x:v>
      </x:c>
      <x:c r="C128" s="7" t="str"/>
      <x:c r="D128" s="7" t="str"/>
      <x:c r="E128" s="7" t="str"/>
      <x:c r="F128" s="7" t="str"/>
      <x:c r="G128" s="7" t="str"/>
      <x:c r="H128" s="7" t="str"/>
      <x:c r="I128" s="7" t="str"/>
      <x:c r="J128" s="14" t="str">
        <x:v>https://india-pharma.gsk.com/media/4ysjvjwl/annual-report-2023-24.pdf</x:v>
      </x:c>
      <x:c r="K128" s="7" t="str">
        <x:v>Numerical disclosure for D/R; category descriptions only for E</x:v>
      </x:c>
    </x:row>
    <x:row r="129" ht="62" customHeight="1">
      <x:c r="A129" s="7" t="str">
        <x:v>gsk25</x:v>
      </x:c>
      <x:c r="B129" s="7" t="str">
        <x:v>About company; PDF p38</x:v>
      </x:c>
      <x:c r="C129" s="7" t="str"/>
      <x:c r="D129" s="7" t="str"/>
      <x:c r="E129" s="7" t="str"/>
      <x:c r="F129" s="7" t="str"/>
      <x:c r="G129" s="7" t="str"/>
      <x:c r="H129" s="7" t="str"/>
      <x:c r="I129" s="7" t="str"/>
      <x:c r="J129" s="14" t="str">
        <x:v>https://india-pharma.gsk.com/media/7913/annual-report-2024-25.pdf</x:v>
      </x:c>
      <x:c r="K129" s="7" t="str">
        <x:v>Numerical disclosure for D/R; category descriptions only for E</x:v>
      </x:c>
    </x:row>
    <x:row r="130" ht="62" customHeight="1">
      <x:c r="A130" s="7" t="str">
        <x:v>gsk26</x:v>
      </x:c>
      <x:c r="B130" s="7" t="str">
        <x:v>Revenue mix; PDF p29</x:v>
      </x:c>
      <x:c r="C130" s="7" t="str"/>
      <x:c r="D130" s="7" t="str"/>
      <x:c r="E130" s="7" t="str"/>
      <x:c r="F130" s="7" t="str"/>
      <x:c r="G130" s="7" t="str"/>
      <x:c r="H130" s="7" t="str"/>
      <x:c r="I130" s="7" t="str"/>
      <x:c r="J130" s="14" t="str">
        <x:v>https://india-pharma.gsk.com/media/scfg3eux/annual-report-2025-26.pdf</x:v>
      </x:c>
      <x:c r="K130" s="7" t="str">
        <x:v>Numerical disclosure for D/R; category descriptions only for E</x:v>
      </x:c>
    </x:row>
    <x:row r="131" ht="62" customHeight="1">
      <x:c r="A131" s="7" t="str">
        <x:v>mankind26</x:v>
      </x:c>
      <x:c r="B131" s="7" t="str">
        <x:v>Therapy-wise share history; financial history / domestic sales</x:v>
      </x:c>
      <x:c r="C131" s="7" t="str"/>
      <x:c r="D131" s="7" t="str"/>
      <x:c r="E131" s="7" t="str"/>
      <x:c r="F131" s="7" t="str"/>
      <x:c r="G131" s="7" t="str"/>
      <x:c r="H131" s="7" t="str"/>
      <x:c r="I131" s="7" t="str"/>
      <x:c r="J131" s="14" t="str">
        <x:v>https://www.mankindpharma.com/wp-content/uploads/2026/07/Mankind-AR-2025-26_Final.pdf</x:v>
      </x:c>
      <x:c r="K131" s="7" t="str">
        <x:v>Numerical disclosure for D/R; category descriptions only for E</x:v>
      </x:c>
    </x:row>
    <x:row r="132" ht="62" customHeight="1">
      <x:c r="A132" s="7" t="str">
        <x:v>torrent22</x:v>
      </x:c>
      <x:c r="B132" s="7" t="str">
        <x:v>India business / therapy pie; PDF p125</x:v>
      </x:c>
      <x:c r="C132" s="7" t="str"/>
      <x:c r="D132" s="7" t="str"/>
      <x:c r="E132" s="7" t="str"/>
      <x:c r="F132" s="7" t="str"/>
      <x:c r="G132" s="7" t="str"/>
      <x:c r="H132" s="7" t="str"/>
      <x:c r="I132" s="7" t="str"/>
      <x:c r="J132" s="14" t="str">
        <x:v>https://torrentpharma.com/pdf/investors/AR-2021-22.pdf</x:v>
      </x:c>
      <x:c r="K132" s="7" t="str">
        <x:v>Numerical disclosure for D/R; category descriptions only for E</x:v>
      </x:c>
    </x:row>
    <x:row r="133" ht="62" customHeight="1">
      <x:c r="A133" s="7" t="str">
        <x:v>torrent23</x:v>
      </x:c>
      <x:c r="B133" s="7" t="str">
        <x:v>India business / mix; PDF p70</x:v>
      </x:c>
      <x:c r="C133" s="7" t="str"/>
      <x:c r="D133" s="7" t="str"/>
      <x:c r="E133" s="7" t="str"/>
      <x:c r="F133" s="7" t="str"/>
      <x:c r="G133" s="7" t="str"/>
      <x:c r="H133" s="7" t="str"/>
      <x:c r="I133" s="7" t="str"/>
      <x:c r="J133" s="14" t="str">
        <x:v>https://torrentpharma.com/pdf/investors/AR-2022-23.pdf</x:v>
      </x:c>
      <x:c r="K133" s="7" t="str">
        <x:v>Numerical disclosure for D/R; category descriptions only for E</x:v>
      </x:c>
    </x:row>
    <x:row r="134" ht="62" customHeight="1">
      <x:c r="A134" s="7" t="str">
        <x:v>torrent24</x:v>
      </x:c>
      <x:c r="B134" s="7" t="str">
        <x:v>India business / mix; PDF p69</x:v>
      </x:c>
      <x:c r="C134" s="7" t="str"/>
      <x:c r="D134" s="7" t="str"/>
      <x:c r="E134" s="7" t="str"/>
      <x:c r="F134" s="7" t="str"/>
      <x:c r="G134" s="7" t="str"/>
      <x:c r="H134" s="7" t="str"/>
      <x:c r="I134" s="7" t="str"/>
      <x:c r="J134" s="14" t="str">
        <x:v>https://torrentpharma.com/pdf/investors/AR-2023-24.pdf</x:v>
      </x:c>
      <x:c r="K134" s="7" t="str">
        <x:v>Numerical disclosure for D/R; category descriptions only for E</x:v>
      </x:c>
    </x:row>
    <x:row r="135" ht="62" customHeight="1">
      <x:c r="A135" s="7" t="str">
        <x:v>torrent25</x:v>
      </x:c>
      <x:c r="B135" s="7" t="str">
        <x:v>India business / mix; PDF p68</x:v>
      </x:c>
      <x:c r="C135" s="7" t="str"/>
      <x:c r="D135" s="7" t="str"/>
      <x:c r="E135" s="7" t="str"/>
      <x:c r="F135" s="7" t="str"/>
      <x:c r="G135" s="7" t="str"/>
      <x:c r="H135" s="7" t="str"/>
      <x:c r="I135" s="7" t="str"/>
      <x:c r="J135" s="14" t="str">
        <x:v>https://torrentpharma.com/pdf/investors/AR-2024-25.pdf</x:v>
      </x:c>
      <x:c r="K135" s="7" t="str">
        <x:v>Numerical disclosure for D/R; category descriptions only for E</x:v>
      </x:c>
    </x:row>
    <x:row r="136" ht="62" customHeight="1">
      <x:c r="A136" s="7" t="str">
        <x:v>torrent26</x:v>
      </x:c>
      <x:c r="B136" s="7" t="str">
        <x:v>India business / mix; PDF p77</x:v>
      </x:c>
      <x:c r="C136" s="7" t="str"/>
      <x:c r="D136" s="7" t="str"/>
      <x:c r="E136" s="7" t="str"/>
      <x:c r="F136" s="7" t="str"/>
      <x:c r="G136" s="7" t="str"/>
      <x:c r="H136" s="7" t="str"/>
      <x:c r="I136" s="7" t="str"/>
      <x:c r="J136" s="14" t="str">
        <x:v>https://www.torrentpharma.com/pdf/investors/AR-2025-26.pdf</x:v>
      </x:c>
      <x:c r="K136" s="7" t="str">
        <x:v>Numerical disclosure for D/R; category descriptions only for E</x:v>
      </x:c>
    </x:row>
    <x:row r="137" ht="62" customHeight="1">
      <x:c r="A137" s="7" t="str">
        <x:v>sun22</x:v>
      </x:c>
      <x:c r="B137" s="7" t="str">
        <x:v>India therapy mix; printed p25</x:v>
      </x:c>
      <x:c r="C137" s="7" t="str"/>
      <x:c r="D137" s="7" t="str"/>
      <x:c r="E137" s="7" t="str"/>
      <x:c r="F137" s="7" t="str"/>
      <x:c r="G137" s="7" t="str"/>
      <x:c r="H137" s="7" t="str"/>
      <x:c r="I137" s="7" t="str"/>
      <x:c r="J137" s="14" t="str">
        <x:v>https://sunpharma.com/wp-content/uploads/2022/08/Sun-Pharma_AR21-22-Managing-Directors-Message-and-Management-Discussion-Analysis.pdf</x:v>
      </x:c>
      <x:c r="K137" s="7" t="str">
        <x:v>Numerical disclosure for D/R; category descriptions only for E</x:v>
      </x:c>
    </x:row>
    <x:row r="138" ht="62" customHeight="1">
      <x:c r="A138" s="7" t="str">
        <x:v>sun23</x:v>
      </x:c>
      <x:c r="B138" s="7" t="str">
        <x:v>India mix; printed p27</x:v>
      </x:c>
      <x:c r="C138" s="7" t="str"/>
      <x:c r="D138" s="7" t="str"/>
      <x:c r="E138" s="7" t="str"/>
      <x:c r="F138" s="7" t="str"/>
      <x:c r="G138" s="7" t="str"/>
      <x:c r="H138" s="7" t="str"/>
      <x:c r="I138" s="7" t="str"/>
      <x:c r="J138" s="14" t="str">
        <x:v>https://sunpharma.com/wp-content/uploads/2023/07/SPIL-AR2022-23-Managing-Directors-Message-and-Management-Discussion-Analysis.pdf</x:v>
      </x:c>
      <x:c r="K138" s="7" t="str">
        <x:v>Numerical disclosure for D/R; category descriptions only for E</x:v>
      </x:c>
    </x:row>
    <x:row r="139" ht="62" customHeight="1">
      <x:c r="A139" s="7" t="str">
        <x:v>sun24</x:v>
      </x:c>
      <x:c r="B139" s="7" t="str">
        <x:v>India mix; printed p28</x:v>
      </x:c>
      <x:c r="C139" s="7" t="str"/>
      <x:c r="D139" s="7" t="str"/>
      <x:c r="E139" s="7" t="str"/>
      <x:c r="F139" s="7" t="str"/>
      <x:c r="G139" s="7" t="str"/>
      <x:c r="H139" s="7" t="str"/>
      <x:c r="I139" s="7" t="str"/>
      <x:c r="J139" s="14" t="str">
        <x:v>https://sunpharma.com/wp-content/uploads/2024/07/SPIL-Annual-Report-2023-24.pdf</x:v>
      </x:c>
      <x:c r="K139" s="7" t="str">
        <x:v>Numerical disclosure for D/R; category descriptions only for E</x:v>
      </x:c>
    </x:row>
    <x:row r="140" ht="62" customHeight="1">
      <x:c r="A140" s="7" t="str">
        <x:v>sun25</x:v>
      </x:c>
      <x:c r="B140" s="7" t="str">
        <x:v>India mix; printed p30</x:v>
      </x:c>
      <x:c r="C140" s="7" t="str"/>
      <x:c r="D140" s="7" t="str"/>
      <x:c r="E140" s="7" t="str"/>
      <x:c r="F140" s="7" t="str"/>
      <x:c r="G140" s="7" t="str"/>
      <x:c r="H140" s="7" t="str"/>
      <x:c r="I140" s="7" t="str"/>
      <x:c r="J140" s="14" t="str">
        <x:v>https://sunpharma.com/wp-content/uploads/2025/07/SPIL-Annual-Report-2024-25.pdf</x:v>
      </x:c>
      <x:c r="K140" s="7" t="str">
        <x:v>Numerical disclosure for D/R; category descriptions only for E</x:v>
      </x:c>
    </x:row>
    <x:row r="141" ht="62" customHeight="1">
      <x:c r="A141" s="7" t="str">
        <x:v>sun26</x:v>
      </x:c>
      <x:c r="B141" s="7" t="str">
        <x:v>India mix / revenue; PDF p39</x:v>
      </x:c>
      <x:c r="C141" s="7" t="str"/>
      <x:c r="D141" s="7" t="str"/>
      <x:c r="E141" s="7" t="str"/>
      <x:c r="F141" s="7" t="str"/>
      <x:c r="G141" s="7" t="str"/>
      <x:c r="H141" s="7" t="str"/>
      <x:c r="I141" s="7" t="str"/>
      <x:c r="J141" s="14" t="str">
        <x:v>https://sunpharma.com/wp-content/uploads/2026/07/Sun-Pharma_AR-2025-26.pdf</x:v>
      </x:c>
      <x:c r="K141" s="7" t="str">
        <x:v>Numerical disclosure for D/R; category descriptions only for E</x:v>
      </x:c>
    </x:row>
    <x:row r="142" ht="62" customHeight="1">
      <x:c r="A142" s="7" t="str">
        <x:v>alkem22</x:v>
      </x:c>
      <x:c r="B142" s="7" t="str">
        <x:v>Domestic business therapy table</x:v>
      </x:c>
      <x:c r="C142" s="7" t="str"/>
      <x:c r="D142" s="7" t="str"/>
      <x:c r="E142" s="7" t="str"/>
      <x:c r="F142" s="7" t="str"/>
      <x:c r="G142" s="7" t="str"/>
      <x:c r="H142" s="7" t="str"/>
      <x:c r="I142" s="7" t="str"/>
      <x:c r="J142" s="14" t="str">
        <x:v>https://www.alkemlabs.com/pdf/annual-report/Annual%20Report%202021-22.pdf</x:v>
      </x:c>
      <x:c r="K142" s="7" t="str">
        <x:v>Numerical disclosure for D/R; category descriptions only for E</x:v>
      </x:c>
    </x:row>
    <x:row r="143" ht="62" customHeight="1">
      <x:c r="A143" s="7" t="str">
        <x:v>alkem23</x:v>
      </x:c>
      <x:c r="B143" s="7" t="str">
        <x:v>Domestic business therapy table; printed p44</x:v>
      </x:c>
      <x:c r="C143" s="7" t="str"/>
      <x:c r="D143" s="7" t="str"/>
      <x:c r="E143" s="7" t="str"/>
      <x:c r="F143" s="7" t="str"/>
      <x:c r="G143" s="7" t="str"/>
      <x:c r="H143" s="7" t="str"/>
      <x:c r="I143" s="7" t="str"/>
      <x:c r="J143" s="14" t="str">
        <x:v>https://admin.alkemlabs.com/uploads/Alkem_Laboratories_AR_2022_23_C2_C_single_page_view_for_web_upload_140723_compressed_c192bf30c3.pdf</x:v>
      </x:c>
      <x:c r="K143" s="7" t="str">
        <x:v>Numerical disclosure for D/R; category descriptions only for E</x:v>
      </x:c>
    </x:row>
    <x:row r="144" ht="62" customHeight="1">
      <x:c r="A144" s="7" t="str">
        <x:v>alkem24</x:v>
      </x:c>
      <x:c r="B144" s="7" t="str">
        <x:v>Domestic business therapy table; PDF p53</x:v>
      </x:c>
      <x:c r="C144" s="7" t="str"/>
      <x:c r="D144" s="7" t="str"/>
      <x:c r="E144" s="7" t="str"/>
      <x:c r="F144" s="7" t="str"/>
      <x:c r="G144" s="7" t="str"/>
      <x:c r="H144" s="7" t="str"/>
      <x:c r="I144" s="7" t="str"/>
      <x:c r="J144" s="14" t="str">
        <x:v>https://admin.alkemlabs.com/uploads/alkem_labs_ar_2023_24_C2_C_26_07_2024_high_res_1890c8a8ec.pdf</x:v>
      </x:c>
      <x:c r="K144" s="7" t="str">
        <x:v>Numerical disclosure for D/R; category descriptions only for E</x:v>
      </x:c>
    </x:row>
    <x:row r="145" ht="62" customHeight="1">
      <x:c r="A145" s="7" t="str">
        <x:v>alkem25</x:v>
      </x:c>
      <x:c r="B145" s="7" t="str">
        <x:v>Domestic business therapy table; PDF p75</x:v>
      </x:c>
      <x:c r="C145" s="7" t="str"/>
      <x:c r="D145" s="7" t="str"/>
      <x:c r="E145" s="7" t="str"/>
      <x:c r="F145" s="7" t="str"/>
      <x:c r="G145" s="7" t="str"/>
      <x:c r="H145" s="7" t="str"/>
      <x:c r="I145" s="7" t="str"/>
      <x:c r="J145" s="14" t="str">
        <x:v>https://admin.alkemlabs.com/uploads/Alkem_Labs_AR_2024_25_d712ae10bd.pdf</x:v>
      </x:c>
      <x:c r="K145" s="7" t="str">
        <x:v>Numerical disclosure for D/R; category descriptions only for E</x:v>
      </x:c>
    </x:row>
    <x:row r="146" ht="62" customHeight="1">
      <x:c r="A146" s="7" t="str">
        <x:v>alkem26</x:v>
      </x:c>
      <x:c r="B146" s="7" t="str">
        <x:v>Domestic business therapy table; PDF p88</x:v>
      </x:c>
      <x:c r="C146" s="7" t="str"/>
      <x:c r="D146" s="7" t="str"/>
      <x:c r="E146" s="7" t="str"/>
      <x:c r="F146" s="7" t="str"/>
      <x:c r="G146" s="7" t="str"/>
      <x:c r="H146" s="7" t="str"/>
      <x:c r="I146" s="7" t="str"/>
      <x:c r="J146" s="14" t="str">
        <x:v>https://admin.alkemlabs.com/uploads/Alkem_Labs_AR_2025_26_C2_C_Web_ready_Interactive_PDF_6bdc9ba197.pdf</x:v>
      </x:c>
      <x:c r="K146" s="7" t="str">
        <x:v>Numerical disclosure for D/R; category descriptions only for E</x:v>
      </x:c>
    </x:row>
    <x:row r="147" ht="62" customHeight="1">
      <x:c r="A147" s="7" t="str">
        <x:v>abbott26</x:v>
      </x:c>
      <x:c r="B147" s="7" t="str">
        <x:v>Management discussion / therapy portfolio</x:v>
      </x:c>
      <x:c r="C147" s="7" t="str"/>
      <x:c r="D147" s="7" t="str"/>
      <x:c r="E147" s="7" t="str"/>
      <x:c r="F147" s="7" t="str"/>
      <x:c r="G147" s="7" t="str"/>
      <x:c r="H147" s="7" t="str"/>
      <x:c r="I147" s="7" t="str"/>
      <x:c r="J147" s="14" t="str">
        <x:v>https://www.abbott.co.in/content/dam/corp/abbott/en-ind/pdf/financials/2025-26-Annual-Report.pdf</x:v>
      </x:c>
      <x:c r="K147" s="7" t="str">
        <x:v>Numerical disclosure for D/R; category descriptions only for E</x:v>
      </x:c>
    </x:row>
    <x:row r="148" ht="62" customHeight="1">
      <x:c r="A148" s="7" t="str">
        <x:v>pfizer26</x:v>
      </x:c>
      <x:c r="B148" s="7" t="str">
        <x:v>Ten-year product sales PDF p5; sales p26; portfolio discussion</x:v>
      </x:c>
      <x:c r="C148" s="7" t="str"/>
      <x:c r="D148" s="7" t="str"/>
      <x:c r="E148" s="7" t="str"/>
      <x:c r="F148" s="7" t="str"/>
      <x:c r="G148" s="7" t="str"/>
      <x:c r="H148" s="7" t="str"/>
      <x:c r="I148" s="7" t="str"/>
      <x:c r="J148" s="14" t="str">
        <x:v>https://www.pfizerltd.co.in/files/Pfizer_Limited_-_Annual_Report_FY_2026.pdf</x:v>
      </x:c>
      <x:c r="K148" s="7" t="str">
        <x:v>Numerical disclosure for D/R; category descriptions only for E</x:v>
      </x:c>
    </x:row>
    <x:row r="149" ht="62" customHeight="1">
      <x:c r="A149" s="7" t="str">
        <x:v>novartis26</x:v>
      </x:c>
      <x:c r="B149" s="7" t="str">
        <x:v>Digital report mirror: management discussion; portfolio growth</x:v>
      </x:c>
      <x:c r="C149" s="7" t="str"/>
      <x:c r="D149" s="7" t="str"/>
      <x:c r="E149" s="7" t="str"/>
      <x:c r="F149" s="7" t="str"/>
      <x:c r="G149" s="7" t="str"/>
      <x:c r="H149" s="7" t="str"/>
      <x:c r="I149" s="7" t="str"/>
      <x:c r="J149" s="14" t="str">
        <x:v>https://financialfilings.com/filings/novartis-india-limited/annual-report/2026/59439578/</x:v>
      </x:c>
      <x:c r="K149" s="7" t="str">
        <x:v>Numerical disclosure for D/R; category descriptions only for E</x:v>
      </x:c>
    </x:row>
    <x:row r="150" ht="62" customHeight="1">
      <x:c r="A150" s="7" t="str">
        <x:v>sanofi25</x:v>
      </x:c>
      <x:c r="B150" s="7" t="str">
        <x:v>Management discussion; calendar-year financials</x:v>
      </x:c>
      <x:c r="C150" s="7" t="str"/>
      <x:c r="D150" s="7" t="str"/>
      <x:c r="E150" s="7" t="str"/>
      <x:c r="F150" s="7" t="str"/>
      <x:c r="G150" s="7" t="str"/>
      <x:c r="H150" s="7" t="str"/>
      <x:c r="I150" s="7" t="str"/>
      <x:c r="J150" s="14" t="str">
        <x:v>https://www.sanofi.com/assets/countries/india/docs/Investors/annual-reports/2005/Annual-Report-2025.pdf</x:v>
      </x:c>
      <x:c r="K150" s="7" t="str">
        <x:v>Numerical disclosure for D/R; category descriptions only for E</x:v>
      </x:c>
    </x:row>
    <x:row r="151" ht="62" customHeight="1">
      <x:c r="A151" s="7" t="str">
        <x:v>alkemrelease</x:v>
      </x:c>
      <x:c r="B151" s="7" t="str">
        <x:v>Alkem FY26 results release; domestic primary sales anchor</x:v>
      </x:c>
      <x:c r="C151" s="7" t="str"/>
      <x:c r="D151" s="7" t="str"/>
      <x:c r="E151" s="7" t="str"/>
      <x:c r="F151" s="7" t="str"/>
      <x:c r="G151" s="7" t="str"/>
      <x:c r="H151" s="7" t="str"/>
      <x:c r="I151" s="7" t="str"/>
      <x:c r="J151" s="14" t="str">
        <x:v>https://admin.alkemlabs.com/uploads/Q4_and_FY_26_Results_Press_Release_and_Results_Presentation_52dad86930.pdf</x:v>
      </x:c>
      <x:c r="K151" s="7" t="str">
        <x:v>Primary domestic revenue anchors</x:v>
      </x:c>
    </x:row>
    <x:row r="152" ht="62" customHeight="1">
      <x:c r="A152" s="7" t="str">
        <x:v>novartis25</x:v>
      </x:c>
      <x:c r="B152" s="7" t="str">
        <x:v>Novartis FY25 management discussion; transplant and Voveran growth</x:v>
      </x:c>
      <x:c r="C152" s="7" t="str"/>
      <x:c r="D152" s="7" t="str"/>
      <x:c r="E152" s="7" t="str"/>
      <x:c r="F152" s="7" t="str"/>
      <x:c r="G152" s="7" t="str"/>
      <x:c r="H152" s="7" t="str"/>
      <x:c r="I152" s="7" t="str"/>
      <x:c r="J152" s="14" t="str">
        <x:v>https://www.novartis.com/in-en/sites/novartis_in/files/77th%20Annual%20Report-2024-2025.pdf</x:v>
      </x:c>
      <x:c r="K152" s="7" t="str">
        <x:v>Numerical disclosure for D/R; category descriptions only for E</x:v>
      </x:c>
    </x:row>
    <x:row r="153" ht="19" customHeight="1">
      <x:c r="A153" s="7"/>
      <x:c r="B153" s="7"/>
      <x:c r="C153" s="7"/>
      <x:c r="D153" s="7"/>
      <x:c r="E153" s="7"/>
      <x:c r="F153" s="7"/>
      <x:c r="G153" s="7"/>
      <x:c r="H153" s="7"/>
      <x:c r="I153" s="7"/>
      <x:c r="J153" s="7"/>
      <x:c r="K153" s="7"/>
    </x:row>
    <x:row r="154" ht="19" customHeight="1">
      <x:c r="A154" s="7"/>
      <x:c r="B154" s="7"/>
      <x:c r="C154" s="7"/>
      <x:c r="D154" s="7"/>
      <x:c r="E154" s="7"/>
      <x:c r="F154" s="7"/>
      <x:c r="G154" s="7"/>
      <x:c r="H154" s="7"/>
      <x:c r="I154" s="7"/>
      <x:c r="J154" s="7"/>
      <x:c r="K154" s="7"/>
    </x:row>
  </x:sheetData>
  <x:pageMargins left="0.7" right="0.7" top="0.75" bottom="0.75" header="0.3" footer="0.3"/>
</x:worksheet>
</file>