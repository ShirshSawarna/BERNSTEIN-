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4331b628b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528fc882d4bb4678"/>
    <x:sheet xmlns:r="http://schemas.openxmlformats.org/officeDocument/2006/relationships" name="Calculations" sheetId="2" r:id="R30711526c3fd48be"/>
    <x:sheet xmlns:r="http://schemas.openxmlformats.org/officeDocument/2006/relationships" name="Inputs" sheetId="3" r:id="R2da9c1a9c76e47ce"/>
    <x:sheet xmlns:r="http://schemas.openxmlformats.org/officeDocument/2006/relationships" name="Method and sources" sheetId="4" r:id="R5feb30e61ef5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0.00&quot;x&quot;"/>
    <x:numFmt numFmtId="203" formatCode="0.0&quot;x&quot;"/>
  </x:numFmts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b/>
      <x:sz val="15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25d2c7f064842" /><Relationship Type="http://schemas.openxmlformats.org/officeDocument/2006/relationships/theme" Target="/xl/theme/theme1.xml" Id="Rf510e4408b094723" /><Relationship Type="http://schemas.openxmlformats.org/officeDocument/2006/relationships/sharedStrings" Target="/xl/sharedStrings.xml" Id="Rf0403768b8eb416d" /><Relationship Type="http://schemas.openxmlformats.org/officeDocument/2006/relationships/worksheet" Target="/xl/worksheets/sheet1.xml" Id="R528fc882d4bb4678" /><Relationship Type="http://schemas.openxmlformats.org/officeDocument/2006/relationships/worksheet" Target="/xl/worksheets/sheet2.xml" Id="R30711526c3fd48be" /><Relationship Type="http://schemas.openxmlformats.org/officeDocument/2006/relationships/worksheet" Target="/xl/worksheets/sheet3.xml" Id="R2da9c1a9c76e47ce" /><Relationship Type="http://schemas.openxmlformats.org/officeDocument/2006/relationships/worksheet" Target="/xl/worksheets/sheet4.xml" Id="R5feb30e61ef547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d0c608b63c4c1f" /><Relationship Type="http://schemas.openxmlformats.org/officeDocument/2006/relationships/chart" Target="/xl/drawings/charts/chart2.xml" Id="R9fb7f38114fb4c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Annual-growth PEG: MNC subsidiaries versus Indian peers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GSK India</c:v>
          </c:tx>
          <c:spPr>
            <a:solidFill xmlns:a="http://schemas.openxmlformats.org/drawingml/2006/main">
              <a:srgbClr val="00589C"/>
            </a:solidFill>
            <a:ln xmlns:a="http://schemas.openxmlformats.org/drawingml/2006/main" w="19050">
              <a:solidFill>
                <a:srgbClr val="00589C"/>
              </a:solidFill>
            </a:ln>
          </c:spPr>
          <c:marker>
            <c:symbol val="none"/>
          </c:marker>
          <c:cat>
            <c:strRef>
              <c:f>'Chart data'!$A$6:$A$11</c:f>
              <c:strCache>
                <c:ptCount val="0"/>
              </c:strCache>
            </c:strRef>
          </c:cat>
          <c:val>
            <c:numRef>
              <c:f>'Chart data'!$B$6:$B$11</c:f>
              <c:numCache>
                <c:formatCode>0.00"x"</c:formatCode>
                <c:ptCount val="0"/>
              </c:numCache>
            </c:numRef>
          </c:val>
          <c:smooth val="0"/>
        </c:ser>
        <c:ser>
          <c:idx val="1"/>
          <c:order val="1"/>
          <c:tx>
            <c:v>Pfizer India</c:v>
          </c:tx>
          <c:spPr>
            <a:solidFill xmlns:a="http://schemas.openxmlformats.org/drawingml/2006/main">
              <a:srgbClr val="27A6BB"/>
            </a:solidFill>
            <a:ln xmlns:a="http://schemas.openxmlformats.org/drawingml/2006/main" w="19050">
              <a:solidFill>
                <a:srgbClr val="27A6BB"/>
              </a:solidFill>
            </a:ln>
          </c:spPr>
          <c:marker>
            <c:symbol val="none"/>
          </c:marker>
          <c:dLbls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750"/>
                  </a:pPr>
                </a:p>
              </c:txPr>
              <c:showVal val="1"/>
            </c:dLbl>
          </c:dLbls>
          <c:cat>
            <c:strRef>
              <c:f>'Chart data'!$A$6:$A$11</c:f>
              <c:strCache>
                <c:ptCount val="0"/>
              </c:strCache>
            </c:strRef>
          </c:cat>
          <c:val>
            <c:numRef>
              <c:f>'Chart data'!$C$6:$C$11</c:f>
              <c:numCache>
                <c:formatCode>0.00"x"</c:formatCode>
                <c:ptCount val="0"/>
              </c:numCache>
            </c:numRef>
          </c:val>
          <c:smooth val="0"/>
        </c:ser>
        <c:ser>
          <c:idx val="2"/>
          <c:order val="2"/>
          <c:tx>
            <c:v>Abbott India</c:v>
          </c:tx>
          <c:spPr>
            <a:solidFill xmlns:a="http://schemas.openxmlformats.org/drawingml/2006/main">
              <a:srgbClr val="003F6B"/>
            </a:solidFill>
            <a:ln xmlns:a="http://schemas.openxmlformats.org/drawingml/2006/main" w="19050">
              <a:solidFill>
                <a:srgbClr val="003F6B"/>
              </a:solidFill>
            </a:ln>
          </c:spPr>
          <c:marker>
            <c:symbol val="none"/>
          </c:marker>
          <c:cat>
            <c:strRef>
              <c:f>'Chart data'!$A$6:$A$11</c:f>
              <c:strCache>
                <c:ptCount val="0"/>
              </c:strCache>
            </c:strRef>
          </c:cat>
          <c:val>
            <c:numRef>
              <c:f>'Chart data'!$D$6:$D$11</c:f>
              <c:numCache>
                <c:formatCode>0.00"x"</c:formatCode>
                <c:ptCount val="0"/>
              </c:numCache>
            </c:numRef>
          </c:val>
          <c:smooth val="0"/>
        </c:ser>
        <c:ser>
          <c:idx val="3"/>
          <c:order val="3"/>
          <c:tx>
            <c:v>Indian peer median</c:v>
          </c:tx>
          <c:spPr>
            <a:solidFill xmlns:a="http://schemas.openxmlformats.org/drawingml/2006/main">
              <a:srgbClr val="9B9B9B"/>
            </a:solidFill>
            <a:ln xmlns:a="http://schemas.openxmlformats.org/drawingml/2006/main" w="19050">
              <a:solidFill>
                <a:srgbClr val="9B9B9B"/>
              </a:solidFill>
            </a:ln>
          </c:spPr>
          <c:marker>
            <c:symbol val="none"/>
          </c:marker>
          <c:cat>
            <c:strRef>
              <c:f>'Chart data'!$A$6:$A$11</c:f>
              <c:strCache>
                <c:ptCount val="0"/>
              </c:strCache>
            </c:strRef>
          </c:cat>
          <c:val>
            <c:numRef>
              <c:f>'Chart data'!$E$6:$E$11</c:f>
              <c:numCache>
                <c:formatCode>0.00"x"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numFmt formatCode="0.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Forward PEG: FY27E P/E / FY26-29E EPS CAGR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Forward PEG</c:v>
          </c:tx>
          <c:spPr>
            <a:solidFill xmlns:a="http://schemas.openxmlformats.org/drawingml/2006/main">
              <a:srgbClr val="00589C"/>
            </a:solidFill>
          </c:spPr>
          <c:invertIfNegative val="0"/>
          <c:cat>
            <c:strRef>
              <c:f>'Chart data'!$A$18:$A$26</c:f>
              <c:strCache>
                <c:ptCount val="0"/>
              </c:strCache>
            </c:strRef>
          </c:cat>
          <c:val>
            <c:numRef>
              <c:f>'Chart data'!$D$18:$D$26</c:f>
              <c:numCache>
                <c:formatCode>0.00"x"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numFmt formatCode="0.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d0c608b63c4c1f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b7f38114fb4c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01050f90b84b4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11" t="str">
        <x:v>Pfizer screens cheaper on PEG; GSK retains a premium and Abbott needs stronger growth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</x:row>
    <x:row r="2">
      <x:c r="A2" s="2" t="str">
        <x:v>Prices at 27-Oct-2026 | FY24-26 historical; FY27-29 forecasts | Five peers: Sun, Cipla, Torrent, Alkem and Mankind.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Annual PEG is context; use the FY26-29 CAGR-based forward comparison for the valuation conclusion. Lower PEG means less P/E paid per growth point.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5" t="str">
        <x:v>Period</x:v>
      </x:c>
      <x:c r="B5" s="5" t="str">
        <x:v>GSK India</x:v>
      </x:c>
      <x:c r="C5" s="5" t="str">
        <x:v>Pfizer India</x:v>
      </x:c>
      <x:c r="D5" s="5" t="str">
        <x:v>Abbott India</x:v>
      </x:c>
      <x:c r="E5" s="5" t="str">
        <x:v>Indian peer median</x:v>
      </x:c>
      <x:c r="F5" s="5" t="str">
        <x:v>Valid peers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FY24A</x:v>
      </x:c>
      <x:c r="B6" s="9" t="e">
        <x:f>IF(ISNUMBER(Calculations!B30),Calculations!B30,NA())</x:f>
        <x:v>#N/A</x:v>
      </x:c>
      <x:c r="C6" s="9" t="e">
        <x:f>IF(ISNUMBER(Calculations!B31),Calculations!B31,NA())</x:f>
        <x:v>#N/A</x:v>
      </x:c>
      <x:c r="D6" s="9" t="n">
        <x:f>IF(ISNUMBER(Calculations!B32),Calculations!B32,NA())</x:f>
        <x:v>1.7984534768277687</x:v>
      </x:c>
      <x:c r="E6" s="9" t="n">
        <x:f>IF(ISNUMBER(Calculations!B40),Calculations!B40,NA())</x:f>
        <x:v>0.6422343115124154</x:v>
      </x:c>
      <x:c r="F6" s="1" t="n">
        <x:f>Calculations!B41</x:f>
        <x:v>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FY25A</x:v>
      </x:c>
      <x:c r="B7" s="9" t="n">
        <x:f>IF(ISNUMBER(Calculations!C30),Calculations!C30,NA())</x:f>
        <x:v>0.917403086390314</x:v>
      </x:c>
      <x:c r="C7" s="9" t="n">
        <x:f>IF(ISNUMBER(Calculations!C31),Calculations!C31,NA())</x:f>
        <x:v>0.6088689217758982</x:v>
      </x:c>
      <x:c r="D7" s="9" t="n">
        <x:f>IF(ISNUMBER(Calculations!C32),Calculations!C32,NA())</x:f>
        <x:v>2.602744269483753</x:v>
      </x:c>
      <x:c r="E7" s="9" t="n">
        <x:f>IF(ISNUMBER(Calculations!C40),Calculations!C40,NA())</x:f>
        <x:v>2.659999999999997</x:v>
      </x:c>
      <x:c r="F7" s="1" t="n">
        <x:f>Calculations!C41</x:f>
        <x:v>5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FY26A</x:v>
      </x:c>
      <x:c r="B8" s="9" t="n">
        <x:f>IF(ISNUMBER(Calculations!D30),Calculations!D30,NA())</x:f>
        <x:v>3.1918473442652893</x:v>
      </x:c>
      <x:c r="C8" s="9" t="e">
        <x:f>IF(ISNUMBER(Calculations!D31),Calculations!D31,NA())</x:f>
        <x:v>#N/A</x:v>
      </x:c>
      <x:c r="D8" s="9" t="n">
        <x:f>IF(ISNUMBER(Calculations!D32),Calculations!D32,NA())</x:f>
        <x:v>3.6499088662341697</x:v>
      </x:c>
      <x:c r="E8" s="9" t="n">
        <x:f>IF(ISNUMBER(Calculations!D40),Calculations!D40,NA())</x:f>
        <x:v>5.002711409395972</x:v>
      </x:c>
      <x:c r="F8" s="1" t="n">
        <x:f>Calculations!D41</x:f>
        <x:v>3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FY27E</x:v>
      </x:c>
      <x:c r="B9" s="9" t="n">
        <x:f>IF(ISNUMBER(Calculations!E30),Calculations!E30,NA())</x:f>
        <x:v>2.766382566225155</x:v>
      </x:c>
      <x:c r="C9" s="9" t="n">
        <x:f>IF(ISNUMBER(Calculations!E31),Calculations!E31,NA())</x:f>
        <x:v>1.4010127000071764</x:v>
      </x:c>
      <x:c r="D9" s="9" t="n">
        <x:f>IF(ISNUMBER(Calculations!E32),Calculations!E32,NA())</x:f>
        <x:v>3.2395885830213365</x:v>
      </x:c>
      <x:c r="E9" s="9" t="n">
        <x:f>IF(ISNUMBER(Calculations!E40),Calculations!E40,NA())</x:f>
        <x:v>3.2148791078358006</x:v>
      </x:c>
      <x:c r="F9" s="1" t="n">
        <x:f>Calculations!E41</x:f>
        <x:v>4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FY28E</x:v>
      </x:c>
      <x:c r="B10" s="9" t="n">
        <x:f>IF(ISNUMBER(Calculations!F30),Calculations!F30,NA())</x:f>
        <x:v>2.525567656450484</x:v>
      </x:c>
      <x:c r="C10" s="9" t="n">
        <x:f>IF(ISNUMBER(Calculations!F31),Calculations!F31,NA())</x:f>
        <x:v>1.3906295044485306</x:v>
      </x:c>
      <x:c r="D10" s="9" t="n">
        <x:f>IF(ISNUMBER(Calculations!F32),Calculations!F32,NA())</x:f>
        <x:v>4.354204128369836</x:v>
      </x:c>
      <x:c r="E10" s="9" t="n">
        <x:f>IF(ISNUMBER(Calculations!F40),Calculations!F40,NA())</x:f>
        <x:v>1.4337096987981828</x:v>
      </x:c>
      <x:c r="F10" s="1" t="n">
        <x:f>Calculations!F41</x:f>
        <x:v>5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FY29E</x:v>
      </x:c>
      <x:c r="B11" s="9" t="n">
        <x:f>IF(ISNUMBER(Calculations!G30),Calculations!G30,NA())</x:f>
        <x:v>2.5469371557222154</x:v>
      </x:c>
      <x:c r="C11" s="9" t="n">
        <x:f>IF(ISNUMBER(Calculations!G31),Calculations!G31,NA())</x:f>
        <x:v>1.2302245371709875</x:v>
      </x:c>
      <x:c r="D11" s="9" t="n">
        <x:f>IF(ISNUMBER(Calculations!G32),Calculations!G32,NA())</x:f>
        <x:v>2.924812367125554</x:v>
      </x:c>
      <x:c r="E11" s="9" t="n">
        <x:f>IF(ISNUMBER(Calculations!G40),Calculations!G40,NA())</x:f>
        <x:v>1.4410201026453924</x:v>
      </x:c>
      <x:c r="F11" s="1" t="n">
        <x:f>Calculations!G41</x:f>
        <x:v>5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2" t="str">
        <x:v>Gaps are deliberate: PEG is NM where EPS growth is zero/negative. These are not missing sales estimates. Peer median excludes NM observations.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 t="str">
        <x:v>Historical observations use realized annual growth, not contemporaneous forward-consensus estimates. Forecast P/Es use a fixed current price, not a forecast share price.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0" customHeight="1">
      <x:c r="A17" s="5" t="str">
        <x:v>Company</x:v>
      </x:c>
      <x:c r="B17" s="5" t="str">
        <x:v>FY27E PE</x:v>
      </x:c>
      <x:c r="C17" s="5" t="str">
        <x:v>FY26-29 EPS CAGR</x:v>
      </x:c>
      <x:c r="D17" s="5" t="str">
        <x:v>Forward PEG</x:v>
      </x:c>
      <x:c r="E17" s="5" t="str">
        <x:v>FY28E PE</x:v>
      </x:c>
      <x:c r="F17" s="5" t="str">
        <x:v>PEG on FY28 PE</x:v>
      </x:c>
      <x:c r="G17" s="5" t="str">
        <x:v>FY23-26 EPS CAGR</x:v>
      </x:c>
      <x:c r="H17" s="5" t="str">
        <x:v>EPS forecast basis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9" customHeight="1">
      <x:c r="A18" s="1" t="str">
        <x:f>Calculations!A46</x:f>
        <x:v>GSK India</x:v>
      </x:c>
      <x:c r="B18" s="12" t="n">
        <x:f>Calculations!I46</x:f>
        <x:v>36.009390027850365</x:v>
      </x:c>
      <x:c r="C18" s="8" t="n">
        <x:f>Calculations!H46</x:f>
        <x:v>0.1231448211422217</x:v>
      </x:c>
      <x:c r="D18" s="9" t="n">
        <x:f>Calculations!K46</x:f>
        <x:v>2.9241497688532605</x:v>
      </x:c>
      <x:c r="E18" s="9" t="n">
        <x:f>Calculations!J46</x:f>
        <x:v>31.963978909588867</x:v>
      </x:c>
      <x:c r="F18" s="9" t="n">
        <x:f>Calculations!L46</x:f>
        <x:v>2.5956413443220008</x:v>
      </x:c>
      <x:c r="G18" s="8" t="n">
        <x:f>Calculations!G46</x:f>
        <x:v>0.19463489433600945</x:v>
      </x:c>
      <x:c r="H18" s="2" t="str">
        <x:v>Uploaded house model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9" customHeight="1">
      <x:c r="A19" s="1" t="str">
        <x:f>Calculations!A47</x:f>
        <x:v>Pfizer India</x:v>
      </x:c>
      <x:c r="B19" s="12" t="n">
        <x:f>Calculations!I47</x:f>
        <x:v>20.496132596685083</x:v>
      </x:c>
      <x:c r="C19" s="8" t="n">
        <x:f>Calculations!H47</x:f>
        <x:v>0.1356648512956653</x:v>
      </x:c>
      <x:c r="D19" s="9" t="n">
        <x:f>Calculations!K47</x:f>
        <x:v>1.5107916605470797</x:v>
      </x:c>
      <x:c r="E19" s="9" t="n">
        <x:f>Calculations!J47</x:f>
        <x:v>18.131964809384165</x:v>
      </x:c>
      <x:c r="F19" s="9" t="n">
        <x:f>Calculations!L47</x:f>
        <x:v>1.3365263468182866</x:v>
      </x:c>
      <x:c r="G19" s="8" t="n">
        <x:f>Calculations!G47</x:f>
        <x:v>0.04999988917038434</x:v>
      </x:c>
      <x:c r="H19" s="2" t="str">
        <x:v>Public consensus; FY29 extrapolated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9" customHeight="1">
      <x:c r="A20" s="1" t="str">
        <x:f>Calculations!A48</x:f>
        <x:v>Abbott India</x:v>
      </x:c>
      <x:c r="B20" s="12" t="n">
        <x:f>Calculations!I48</x:f>
        <x:v>31.811133127206208</x:v>
      </x:c>
      <x:c r="C20" s="8" t="n">
        <x:f>Calculations!H48</x:f>
        <x:v>0.0864901681762078</x:v>
      </x:c>
      <x:c r="D20" s="9" t="n">
        <x:f>Calculations!K48</x:f>
        <x:v>3.6780056968321393</x:v>
      </x:c>
      <x:c r="E20" s="9" t="n">
        <x:f>Calculations!J48</x:f>
        <x:v>29.775047077232024</x:v>
      </x:c>
      <x:c r="F20" s="9" t="n">
        <x:f>Calculations!L48</x:f>
        <x:v>3.442593268702039</x:v>
      </x:c>
      <x:c r="G20" s="8" t="n">
        <x:f>Calculations!G48</x:f>
        <x:v>0.1780056429974357</x:v>
      </x:c>
      <x:c r="H20" s="2" t="str">
        <x:v>Uploaded house model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9" customHeight="1">
      <x:c r="A21" s="1" t="str">
        <x:f>Calculations!A49</x:f>
        <x:v>Sun Pharma</x:v>
      </x:c>
      <x:c r="B21" s="12" t="n">
        <x:f>Calculations!I49</x:f>
        <x:v>32.513924990716674</x:v>
      </x:c>
      <x:c r="C21" s="8" t="n">
        <x:f>Calculations!H49</x:f>
        <x:v>0.15807500667894026</x:v>
      </x:c>
      <x:c r="D21" s="9" t="n">
        <x:f>Calculations!K49</x:f>
        <x:v>2.0568669060223033</x:v>
      </x:c>
      <x:c r="E21" s="9" t="n">
        <x:f>Calculations!J49</x:f>
        <x:v>27.311291328758575</x:v>
      </x:c>
      <x:c r="F21" s="9" t="n">
        <x:f>Calculations!L49</x:f>
        <x:v>1.7277425383400067</x:v>
      </x:c>
      <x:c r="G21" s="8" t="n">
        <x:f>Calculations!G49</x:f>
        <x:v>0.10632925589365261</x:v>
      </x:c>
      <x:c r="H21" s="2" t="str">
        <x:v>Public consensus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9" customHeight="1">
      <x:c r="A22" s="1" t="str">
        <x:f>Calculations!A50</x:f>
        <x:v>Cipla</x:v>
      </x:c>
      <x:c r="B22" s="12" t="n">
        <x:f>Calculations!I50</x:f>
        <x:v>26.331187829139846</x:v>
      </x:c>
      <x:c r="C22" s="8" t="n">
        <x:f>Calculations!H50</x:f>
        <x:v>0.14482022480026213</x:v>
      </x:c>
      <x:c r="D22" s="9" t="n">
        <x:f>Calculations!K50</x:f>
        <x:v>1.8181982430600525</x:v>
      </x:c>
      <x:c r="E22" s="9" t="n">
        <x:f>Calculations!J50</x:f>
        <x:v>21.18311627177154</x:v>
      </x:c>
      <x:c r="F22" s="9" t="n">
        <x:f>Calculations!L50</x:f>
        <x:v>1.462718090721621</x:v>
      </x:c>
      <x:c r="G22" s="8" t="n">
        <x:f>Calculations!G50</x:f>
        <x:v>0.11432612496337602</x:v>
      </x:c>
      <x:c r="H22" s="2" t="str">
        <x:v>Public consensus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9" customHeight="1">
      <x:c r="A23" s="1" t="str">
        <x:f>Calculations!A51</x:f>
        <x:v>Torrent Pharma</x:v>
      </x:c>
      <x:c r="B23" s="12" t="n">
        <x:f>Calculations!I51</x:f>
        <x:v>70.74654377880185</x:v>
      </x:c>
      <x:c r="C23" s="8" t="n">
        <x:f>Calculations!H51</x:f>
        <x:v>0.21270740189656956</x:v>
      </x:c>
      <x:c r="D23" s="9" t="n">
        <x:f>Calculations!K51</x:f>
        <x:v>3.326002910477128</x:v>
      </x:c>
      <x:c r="E23" s="9" t="n">
        <x:f>Calculations!J51</x:f>
        <x:v>51.23025583982203</x:v>
      </x:c>
      <x:c r="F23" s="9" t="n">
        <x:f>Calculations!L51</x:f>
        <x:v>2.4084848662075755</x:v>
      </x:c>
      <x:c r="G23" s="8" t="n">
        <x:f>Calculations!G51</x:f>
        <x:v>0.33625092104632914</x:v>
      </x:c>
      <x:c r="H23" s="2" t="str">
        <x:v>Public consensus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9" customHeight="1">
      <x:c r="A24" s="1" t="str">
        <x:f>Calculations!A52</x:f>
        <x:v>Alkem</x:v>
      </x:c>
      <x:c r="B24" s="12" t="n">
        <x:f>Calculations!I52</x:f>
        <x:v>26.447916666666668</x:v>
      </x:c>
      <x:c r="C24" s="8" t="n">
        <x:f>Calculations!H52</x:f>
        <x:v>0.09983182288117742</x:v>
      </x:c>
      <x:c r="D24" s="9" t="n">
        <x:f>Calculations!K52</x:f>
        <x:v>2.6492470941000152</x:v>
      </x:c>
      <x:c r="E24" s="9" t="n">
        <x:f>Calculations!J52</x:f>
        <x:v>22.97737556561086</x:v>
      </x:c>
      <x:c r="F24" s="9" t="n">
        <x:f>Calculations!L52</x:f>
        <x:v>2.301608335145714</x:v>
      </x:c>
      <x:c r="G24" s="8" t="n">
        <x:f>Calculations!G52</x:f>
        <x:v>0.3273721786752535</x:v>
      </x:c>
      <x:c r="H24" s="2" t="str">
        <x:v>Public consensus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9" customHeight="1">
      <x:c r="A25" s="1" t="str">
        <x:f>Calculations!A53</x:f>
        <x:v>Mankind</x:v>
      </x:c>
      <x:c r="B25" s="12" t="n">
        <x:f>Calculations!I53</x:f>
        <x:v>42.60299625468165</x:v>
      </x:c>
      <x:c r="C25" s="8" t="n">
        <x:f>Calculations!H53</x:f>
        <x:v>0.23431273852422452</x:v>
      </x:c>
      <x:c r="D25" s="9" t="n">
        <x:f>Calculations!K53</x:f>
        <x:v>1.818210846026074</x:v>
      </x:c>
      <x:c r="E25" s="9" t="n">
        <x:f>Calculations!J53</x:f>
        <x:v>34.64147286821706</x:v>
      </x:c>
      <x:c r="F25" s="9" t="n">
        <x:f>Calculations!L53</x:f>
        <x:v>1.4784289188202049</x:v>
      </x:c>
      <x:c r="G25" s="8" t="n">
        <x:f>Calculations!G53</x:f>
        <x:v>0.13087461981287252</x:v>
      </x:c>
      <x:c r="H25" s="2" t="str">
        <x:v>Public consensus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9" customHeight="1">
      <x:c r="A26" s="1" t="str">
        <x:f>Calculations!A55</x:f>
        <x:v>Indian peer median</x:v>
      </x:c>
      <x:c r="B26" s="12" t="n">
        <x:f>Calculations!I55</x:f>
        <x:v>32.513924990716674</x:v>
      </x:c>
      <x:c r="C26" s="8" t="n">
        <x:f>Calculations!H55</x:f>
        <x:v>0.15807500667894026</x:v>
      </x:c>
      <x:c r="D26" s="9" t="n">
        <x:f>Calculations!K55</x:f>
        <x:v>2.0568669060223033</x:v>
      </x:c>
      <x:c r="E26" s="9" t="n">
        <x:f>Calculations!J55</x:f>
        <x:v>27.311291328758575</x:v>
      </x:c>
      <x:c r="F26" s="9" t="n">
        <x:f>Calculations!L55</x:f>
        <x:v>1.7277425383400067</x:v>
      </x:c>
      <x:c r="G26" s="8" t="n">
        <x:f>Calculations!G55</x:f>
        <x:v>0.13087461981287252</x:v>
      </x:c>
      <x:c r="H26" s="2" t="str">
        <x:v>Median of five Indian peers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2" t="str">
        <x:v>Sources: uploaded GSK/Abbott models; MarketScreener reported/consensus data; cited 27-Oct-26 price sources. Pfizer FY29 is analyst extrapolation, not house-model EPS.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 t="str">
        <x:v>This is a listed-company comparison, not an IPM valuation. Reported EPS includes exceptional items and acquisition effects. Refresh consensus and normalise EPS before publication.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</x:sheetData>
  <x:mergeCells>
    <x:mergeCell ref="A1:Q1"/>
    <x:mergeCell ref="A2:Q2"/>
    <x:mergeCell ref="A3:Q3"/>
    <x:mergeCell ref="A13:Q13"/>
    <x:mergeCell ref="A14:Q14"/>
    <x:mergeCell ref="A28:Q28"/>
    <x:mergeCell ref="A29:Q29"/>
  </x:mergeCells>
  <x:pageMargins left="0.7" right="0.7" top="0.75" bottom="0.75" header="0.3" footer="0.3"/>
  <x:drawing xmlns:r="http://schemas.openxmlformats.org/officeDocument/2006/relationships" r:id="R1901050f90b84b46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55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2" t="str">
        <x:v>PEG calculation bridge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 t="str">
        <x:v>Annual PEG = fiscal-year P/E / same-year EPS growth in percentage points. Historical P/E is provider-reported; forecast P/E holds the 27-Oct-26 price fixed.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NM = non-positive EPS or non-positive growth. Do not interpret a negative PEG as cheap.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5" t="str">
        <x:v>Company</x:v>
      </x:c>
      <x:c r="B5" s="5" t="str">
        <x:v>FY24A</x:v>
      </x:c>
      <x:c r="C5" s="5" t="str">
        <x:v>FY25A</x:v>
      </x:c>
      <x:c r="D5" s="5" t="str">
        <x:v>FY26A</x:v>
      </x:c>
      <x:c r="E5" s="5" t="str">
        <x:v>FY27E</x:v>
      </x:c>
      <x:c r="F5" s="5" t="str">
        <x:v>FY28E</x:v>
      </x:c>
      <x:c r="G5" s="5" t="str">
        <x:v>FY29E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f>Inputs!A6</x:f>
        <x:v>GSK India</x:v>
      </x:c>
      <x:c r="B6" s="8" t="n">
        <x:f>IF(AND(Inputs!E6&gt;0,Inputs!D6&gt;0),Inputs!E6/Inputs!D6-1,"NM")</x:f>
        <x:v>-0.02908699767888845</x:v>
      </x:c>
      <x:c r="C6" s="8" t="n">
        <x:f>IF(AND(Inputs!F6&gt;0,Inputs!E6&gt;0),Inputs!F6/Inputs!E6-1,"NM")</x:f>
        <x:v>0.5722675318934298</x:v>
      </x:c>
      <x:c r="D6" s="8" t="n">
        <x:f>IF(AND(Inputs!G6&gt;0,Inputs!F6&gt;0),Inputs!G6/Inputs!F6-1,"NM")</x:f>
        <x:v>0.11686022537079022</x:v>
      </x:c>
      <x:c r="E6" s="8" t="n">
        <x:f>IF(AND(Inputs!H6&gt;0,Inputs!G6&gt;0),Inputs!H6/Inputs!G6-1,"NM")</x:f>
        <x:v>0.13016778831492815</x:v>
      </x:c>
      <x:c r="F6" s="8" t="n">
        <x:f>IF(AND(Inputs!I6&gt;0,Inputs!H6&gt;0),Inputs!I6/Inputs!H6-1,"NM")</x:f>
        <x:v>0.12656156261722207</x:v>
      </x:c>
      <x:c r="G6" s="8" t="n">
        <x:f>IF(AND(Inputs!J6&gt;0,Inputs!I6&gt;0),Inputs!J6/Inputs!I6-1,"NM")</x:f>
        <x:v>0.1127802840291654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f>Inputs!A7</x:f>
        <x:v>Pfizer India</x:v>
      </x:c>
      <x:c r="B7" s="8" t="n">
        <x:f>IF(AND(Inputs!E7&gt;0,Inputs!D7&gt;0),Inputs!E7/Inputs!D7-1,"NM")</x:f>
        <x:v>-0.11656891495601174</x:v>
      </x:c>
      <x:c r="C7" s="8" t="n">
        <x:f>IF(AND(Inputs!F7&gt;0,Inputs!E7&gt;0),Inputs!F7/Inputs!E7-1,"NM")</x:f>
        <x:v>0.39253112033195037</x:v>
      </x:c>
      <x:c r="D7" s="8" t="n">
        <x:f>IF(AND(Inputs!G7&gt;0,Inputs!F7&gt;0),Inputs!G7/Inputs!F7-1,"NM")</x:f>
        <x:v>-0.05899880810488678</x:v>
      </x:c>
      <x:c r="E7" s="8" t="n">
        <x:f>IF(AND(Inputs!H7&gt;0,Inputs!G7&gt;0),Inputs!H7/Inputs!G7-1,"NM")</x:f>
        <x:v>0.14629512349588336</x:v>
      </x:c>
      <x:c r="F7" s="8" t="n">
        <x:f>IF(AND(Inputs!I7&gt;0,Inputs!H7&gt;0),Inputs!I7/Inputs!H7-1,"NM")</x:f>
        <x:v>0.13038674033149178</x:v>
      </x:c>
      <x:c r="G7" s="8" t="n">
        <x:f>IF(AND(Inputs!J7&gt;0,Inputs!I7&gt;0),Inputs!J7/Inputs!I7-1,"NM")</x:f>
        <x:v>0.13038674033149178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f>Inputs!A8</x:f>
        <x:v>Abbott India</x:v>
      </x:c>
      <x:c r="B8" s="8" t="n">
        <x:f>IF(AND(Inputs!E8&gt;0,Inputs!D8&gt;0),Inputs!E8/Inputs!D8-1,"NM")</x:f>
        <x:v>0.26522787836656425</x:v>
      </x:c>
      <x:c r="C8" s="8" t="n">
        <x:f>IF(AND(Inputs!F8&gt;0,Inputs!E8&gt;0),Inputs!F8/Inputs!E8-1,"NM")</x:f>
        <x:v>0.17750495329748106</x:v>
      </x:c>
      <x:c r="D8" s="8" t="n">
        <x:f>IF(AND(Inputs!G8&gt;0,Inputs!F8&gt;0),Inputs!G8/Inputs!F8-1,"NM")</x:f>
        <x:v>0.09726270244283519</x:v>
      </x:c>
      <x:c r="E8" s="8" t="n">
        <x:f>IF(AND(Inputs!H8&gt;0,Inputs!G8&gt;0),Inputs!H8/Inputs!G8-1,"NM")</x:f>
        <x:v>0.0981949785041476</x:v>
      </x:c>
      <x:c r="F8" s="8" t="n">
        <x:f>IF(AND(Inputs!I8&gt;0,Inputs!H8&gt;0),Inputs!I8/Inputs!H8-1,"NM")</x:f>
        <x:v>0.06838229490260361</x:v>
      </x:c>
      <x:c r="G8" s="8" t="n">
        <x:f>IF(AND(Inputs!J8&gt;0,Inputs!I8&gt;0),Inputs!J8/Inputs!I8-1,"NM")</x:f>
        <x:v>0.09312862273578948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f>Inputs!A9</x:f>
        <x:v>Sun Pharma</x:v>
      </x:c>
      <x:c r="B9" s="8" t="n">
        <x:f>IF(AND(Inputs!E9&gt;0,Inputs!D9&gt;0),Inputs!E9/Inputs!D9-1,"NM")</x:f>
        <x:v>0.13031161473087827</x:v>
      </x:c>
      <x:c r="C9" s="8" t="n">
        <x:f>IF(AND(Inputs!F9&gt;0,Inputs!E9&gt;0),Inputs!F9/Inputs!E9-1,"NM")</x:f>
        <x:v>0.14285714285714302</x:v>
      </x:c>
      <x:c r="D9" s="8" t="n">
        <x:f>IF(AND(Inputs!G9&gt;0,Inputs!F9&gt;0),Inputs!G9/Inputs!F9-1,"NM")</x:f>
        <x:v>0.048245614035087536</x:v>
      </x:c>
      <x:c r="E9" s="8" t="n">
        <x:f>IF(AND(Inputs!H9&gt;0,Inputs!G9&gt;0),Inputs!H9/Inputs!G9-1,"NM")</x:f>
        <x:v>0.12677824267782434</x:v>
      </x:c>
      <x:c r="F9" s="8" t="n">
        <x:f>IF(AND(Inputs!I9&gt;0,Inputs!H9&gt;0),Inputs!I9/Inputs!H9-1,"NM")</x:f>
        <x:v>0.19049387300408482</x:v>
      </x:c>
      <x:c r="G9" s="8" t="n">
        <x:f>IF(AND(Inputs!J9&gt;0,Inputs!I9&gt;0),Inputs!J9/Inputs!I9-1,"NM")</x:f>
        <x:v>0.1578290704928258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f>Inputs!A10</x:f>
        <x:v>Cipla</x:v>
      </x:c>
      <x:c r="B10" s="8" t="n">
        <x:f>IF(AND(Inputs!E10&gt;0,Inputs!D10&gt;0),Inputs!E10/Inputs!D10-1,"NM")</x:f>
        <x:v>0.47045257999423473</x:v>
      </x:c>
      <x:c r="C10" s="8" t="n">
        <x:f>IF(AND(Inputs!F10&gt;0,Inputs!E10&gt;0),Inputs!F10/Inputs!E10-1,"NM")</x:f>
        <x:v>0.2789649088414037</x:v>
      </x:c>
      <x:c r="D10" s="8" t="n">
        <x:f>IF(AND(Inputs!G10&gt;0,Inputs!F10&gt;0),Inputs!G10/Inputs!F10-1,"NM")</x:f>
        <x:v>-0.26425505824647455</x:v>
      </x:c>
      <x:c r="E10" s="8" t="n">
        <x:f>IF(AND(Inputs!H10&gt;0,Inputs!G10&gt;0),Inputs!H10/Inputs!G10-1,"NM")</x:f>
        <x:v>0.06812499999999999</x:v>
      </x:c>
      <x:c r="F10" s="8" t="n">
        <x:f>IF(AND(Inputs!I10&gt;0,Inputs!H10&gt;0),Inputs!I10/Inputs!H10-1,"NM")</x:f>
        <x:v>0.24302711137117217</x:v>
      </x:c>
      <x:c r="G10" s="8" t="n">
        <x:f>IF(AND(Inputs!J10&gt;0,Inputs!I10&gt;0),Inputs!J10/Inputs!I10-1,"NM")</x:f>
        <x:v>0.13008002510591554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f>Inputs!A11</x:f>
        <x:v>Torrent Pharma</x:v>
      </x:c>
      <x:c r="B11" s="8" t="n">
        <x:f>IF(AND(Inputs!E11&gt;0,Inputs!D11&gt;0),Inputs!E11/Inputs!D11-1,"NM")</x:f>
        <x:v>0.8268010451661068</x:v>
      </x:c>
      <x:c r="C11" s="8" t="n">
        <x:f>IF(AND(Inputs!F11&gt;0,Inputs!E11&gt;0),Inputs!F11/Inputs!E11-1,"NM")</x:f>
        <x:v>0.15386187167960763</x:v>
      </x:c>
      <x:c r="D11" s="8" t="n">
        <x:f>IF(AND(Inputs!G11&gt;0,Inputs!F11&gt;0),Inputs!G11/Inputs!F11-1,"NM")</x:f>
        <x:v>0.1319284575880999</x:v>
      </x:c>
      <x:c r="E11" s="8" t="n">
        <x:f>IF(AND(Inputs!H11&gt;0,Inputs!G11&gt;0),Inputs!H11/Inputs!G11-1,"NM")</x:f>
        <x:v>0.01846057571964943</x:v>
      </x:c>
      <x:c r="F11" s="8" t="n">
        <x:f>IF(AND(Inputs!I11&gt;0,Inputs!H11&gt;0),Inputs!I11/Inputs!H11-1,"NM")</x:f>
        <x:v>0.38095238095238115</x:v>
      </x:c>
      <x:c r="G11" s="8" t="n">
        <x:f>IF(AND(Inputs!J11&gt;0,Inputs!I11&gt;0),Inputs!J11/Inputs!I11-1,"NM")</x:f>
        <x:v>0.26807563959955494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f>Inputs!A12</x:f>
        <x:v>Alkem</x:v>
      </x:c>
      <x:c r="B12" s="8" t="n">
        <x:f>IF(AND(Inputs!E12&gt;0,Inputs!D12&gt;0),Inputs!E12/Inputs!D12-1,"NM")</x:f>
        <x:v>0.8248086502247598</x:v>
      </x:c>
      <x:c r="C12" s="8" t="n">
        <x:f>IF(AND(Inputs!F12&gt;0,Inputs!E12&gt;0),Inputs!F12/Inputs!E12-1,"NM")</x:f>
        <x:v>0.2057256990679095</x:v>
      </x:c>
      <x:c r="D12" s="8" t="n">
        <x:f>IF(AND(Inputs!G12&gt;0,Inputs!F12&gt;0),Inputs!G12/Inputs!F12-1,"NM")</x:f>
        <x:v>0.06294864715626725</x:v>
      </x:c>
      <x:c r="E12" s="8" t="n">
        <x:f>IF(AND(Inputs!H12&gt;0,Inputs!G12&gt;0),Inputs!H12/Inputs!G12-1,"NM")</x:f>
        <x:v>-0.0025974025974025983</x:v>
      </x:c>
      <x:c r="F12" s="8" t="n">
        <x:f>IF(AND(Inputs!I12&gt;0,Inputs!H12&gt;0),Inputs!I12/Inputs!H12-1,"NM")</x:f>
        <x:v>0.15104166666666674</x:v>
      </x:c>
      <x:c r="G12" s="8" t="n">
        <x:f>IF(AND(Inputs!J12&gt;0,Inputs!I12&gt;0),Inputs!J12/Inputs!I12-1,"NM")</x:f>
        <x:v>0.1588235294117648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f>Inputs!A13</x:f>
        <x:v>Mankind</x:v>
      </x:c>
      <x:c r="B13" s="8" t="n">
        <x:f>IF(AND(Inputs!E13&gt;0,Inputs!D13&gt;0),Inputs!E13/Inputs!D13-1,"NM")</x:f>
        <x:v>0.49</x:v>
      </x:c>
      <x:c r="C13" s="8" t="n">
        <x:f>IF(AND(Inputs!F13&gt;0,Inputs!E13&gt;0),Inputs!F13/Inputs!E13-1,"NM")</x:f>
        <x:v>0.03187919463087252</x:v>
      </x:c>
      <x:c r="D13" s="8" t="n">
        <x:f>IF(AND(Inputs!G13&gt;0,Inputs!F13&gt;0),Inputs!G13/Inputs!F13-1,"NM")</x:f>
        <x:v>-0.05934959349593494</x:v>
      </x:c>
      <x:c r="E13" s="8" t="n">
        <x:f>IF(AND(Inputs!H13&gt;0,Inputs!G13&gt;0),Inputs!H13/Inputs!G13-1,"NM")</x:f>
        <x:v>0.26923076923076916</x:v>
      </x:c>
      <x:c r="F13" s="8" t="n">
        <x:f>IF(AND(Inputs!I13&gt;0,Inputs!H13&gt;0),Inputs!I13/Inputs!H13-1,"NM")</x:f>
        <x:v>0.22982635342185898</x:v>
      </x:c>
      <x:c r="G13" s="8" t="n">
        <x:f>IF(AND(Inputs!J13&gt;0,Inputs!I13&gt;0),Inputs!J13/Inputs!I13-1,"NM")</x:f>
        <x:v>0.20473421926910307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0" customHeight="1">
      <x:c r="A17" s="5" t="str">
        <x:v>Company</x:v>
      </x:c>
      <x:c r="B17" s="5" t="str">
        <x:v>FY24A</x:v>
      </x:c>
      <x:c r="C17" s="5" t="str">
        <x:v>FY25A</x:v>
      </x:c>
      <x:c r="D17" s="5" t="str">
        <x:v>FY26A</x:v>
      </x:c>
      <x:c r="E17" s="5" t="str">
        <x:v>FY27E</x:v>
      </x:c>
      <x:c r="F17" s="5" t="str">
        <x:v>FY28E</x:v>
      </x:c>
      <x:c r="G17" s="5" t="str">
        <x:v>FY29E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 t="str">
        <x:f>Inputs!A6</x:f>
        <x:v>GSK India</x:v>
      </x:c>
      <x:c r="B18" s="9" t="n">
        <x:f>Inputs!K6</x:f>
        <x:v>55.8</x:v>
      </x:c>
      <x:c r="C18" s="9" t="n">
        <x:f>Inputs!L6</x:f>
        <x:v>52.5</x:v>
      </x:c>
      <x:c r="D18" s="9" t="n">
        <x:f>Inputs!M6</x:f>
        <x:v>37.3</x:v>
      </x:c>
      <x:c r="E18" s="9" t="n">
        <x:f>IF(Inputs!H6&gt;0,Inputs!C6/Inputs!H6,"NM")</x:f>
        <x:v>36.009390027850365</x:v>
      </x:c>
      <x:c r="F18" s="9" t="n">
        <x:f>IF(Inputs!I6&gt;0,Inputs!C6/Inputs!I6,"NM")</x:f>
        <x:v>31.963978909588867</x:v>
      </x:c>
      <x:c r="G18" s="9" t="n">
        <x:f>IF(Inputs!J6&gt;0,Inputs!C6/Inputs!J6,"NM")</x:f>
        <x:v>28.724429582678614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f>Inputs!A7</x:f>
        <x:v>Pfizer India</x:v>
      </x:c>
      <x:c r="B19" s="9" t="n">
        <x:f>Inputs!K7</x:f>
        <x:v>34.8</x:v>
      </x:c>
      <x:c r="C19" s="9" t="n">
        <x:f>Inputs!L7</x:f>
        <x:v>23.9</x:v>
      </x:c>
      <x:c r="D19" s="9" t="n">
        <x:f>Inputs!M7</x:f>
        <x:v>29.9</x:v>
      </x:c>
      <x:c r="E19" s="9" t="n">
        <x:f>IF(Inputs!H7&gt;0,Inputs!C7/Inputs!H7,"NM")</x:f>
        <x:v>20.496132596685083</x:v>
      </x:c>
      <x:c r="F19" s="9" t="n">
        <x:f>IF(Inputs!I7&gt;0,Inputs!C7/Inputs!I7,"NM")</x:f>
        <x:v>18.131964809384165</x:v>
      </x:c>
      <x:c r="G19" s="9" t="n">
        <x:f>IF(Inputs!J7&gt;0,Inputs!C7/Inputs!J7,"NM")</x:f>
        <x:v>16.04049672775432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f>Inputs!A8</x:f>
        <x:v>Abbott India</x:v>
      </x:c>
      <x:c r="B20" s="9" t="n">
        <x:f>Inputs!K8</x:f>
        <x:v>47.7</x:v>
      </x:c>
      <x:c r="C20" s="9" t="n">
        <x:f>Inputs!L8</x:f>
        <x:v>46.2</x:v>
      </x:c>
      <x:c r="D20" s="9" t="n">
        <x:f>Inputs!M8</x:f>
        <x:v>35.5</x:v>
      </x:c>
      <x:c r="E20" s="9" t="n">
        <x:f>IF(Inputs!H8&gt;0,Inputs!C8/Inputs!H8,"NM")</x:f>
        <x:v>31.811133127206208</x:v>
      </x:c>
      <x:c r="F20" s="9" t="n">
        <x:f>IF(Inputs!I8&gt;0,Inputs!C8/Inputs!I8,"NM")</x:f>
        <x:v>29.775047077232024</x:v>
      </x:c>
      <x:c r="G20" s="9" t="n">
        <x:f>IF(Inputs!J8&gt;0,Inputs!C8/Inputs!J8,"NM")</x:f>
        <x:v>27.23837475110071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 t="str">
        <x:f>Inputs!A9</x:f>
        <x:v>Sun Pharma</x:v>
      </x:c>
      <x:c r="B21" s="9" t="n">
        <x:f>Inputs!K9</x:f>
        <x:v>40.6</x:v>
      </x:c>
      <x:c r="C21" s="9" t="n">
        <x:f>Inputs!L9</x:f>
        <x:v>38</x:v>
      </x:c>
      <x:c r="D21" s="9" t="n">
        <x:f>Inputs!M9</x:f>
        <x:v>36.8</x:v>
      </x:c>
      <x:c r="E21" s="9" t="n">
        <x:f>IF(Inputs!H9&gt;0,Inputs!C9/Inputs!H9,"NM")</x:f>
        <x:v>32.513924990716674</x:v>
      </x:c>
      <x:c r="F21" s="9" t="n">
        <x:f>IF(Inputs!I9&gt;0,Inputs!C9/Inputs!I9,"NM")</x:f>
        <x:v>27.311291328758575</x:v>
      </x:c>
      <x:c r="G21" s="9" t="n">
        <x:f>IF(Inputs!J9&gt;0,Inputs!C9/Inputs!J9,"NM")</x:f>
        <x:v>23.58836206896552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 t="str">
        <x:f>Inputs!A10</x:f>
        <x:v>Cipla</x:v>
      </x:c>
      <x:c r="B22" s="9" t="n">
        <x:f>Inputs!K10</x:f>
        <x:v>29.3</x:v>
      </x:c>
      <x:c r="C22" s="9" t="n">
        <x:f>Inputs!L10</x:f>
        <x:v>22.1</x:v>
      </x:c>
      <x:c r="D22" s="9" t="n">
        <x:f>Inputs!M10</x:f>
        <x:v>25.5</x:v>
      </x:c>
      <x:c r="E22" s="9" t="n">
        <x:f>IF(Inputs!H10&gt;0,Inputs!C10/Inputs!H10,"NM")</x:f>
        <x:v>26.331187829139846</x:v>
      </x:c>
      <x:c r="F22" s="9" t="n">
        <x:f>IF(Inputs!I10&gt;0,Inputs!C10/Inputs!I10,"NM")</x:f>
        <x:v>21.18311627177154</x:v>
      </x:c>
      <x:c r="G22" s="9" t="n">
        <x:f>IF(Inputs!J10&gt;0,Inputs!C10/Inputs!J10,"NM")</x:f>
        <x:v>18.744793113024162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 t="str">
        <x:f>Inputs!A11</x:f>
        <x:v>Torrent Pharma</x:v>
      </x:c>
      <x:c r="B23" s="9" t="n">
        <x:f>Inputs!K11</x:f>
        <x:v>53.1</x:v>
      </x:c>
      <x:c r="C23" s="9" t="n">
        <x:f>Inputs!L11</x:f>
        <x:v>57.3</x:v>
      </x:c>
      <x:c r="D23" s="9" t="n">
        <x:f>Inputs!M11</x:f>
        <x:v>66</x:v>
      </x:c>
      <x:c r="E23" s="9" t="n">
        <x:f>IF(Inputs!H11&gt;0,Inputs!C11/Inputs!H11,"NM")</x:f>
        <x:v>70.74654377880185</x:v>
      </x:c>
      <x:c r="F23" s="9" t="n">
        <x:f>IF(Inputs!I11&gt;0,Inputs!C11/Inputs!I11,"NM")</x:f>
        <x:v>51.23025583982203</x:v>
      </x:c>
      <x:c r="G23" s="9" t="n">
        <x:f>IF(Inputs!J11&gt;0,Inputs!C11/Inputs!J11,"NM")</x:f>
        <x:v>40.400000000000006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 t="str">
        <x:f>Inputs!A12</x:f>
        <x:v>Alkem</x:v>
      </x:c>
      <x:c r="B24" s="9" t="n">
        <x:f>Inputs!K12</x:f>
        <x:v>32.9</x:v>
      </x:c>
      <x:c r="C24" s="9" t="n">
        <x:f>Inputs!L12</x:f>
        <x:v>27</x:v>
      </x:c>
      <x:c r="D24" s="9" t="n">
        <x:f>Inputs!M12</x:f>
        <x:v>27.5</x:v>
      </x:c>
      <x:c r="E24" s="9" t="n">
        <x:f>IF(Inputs!H12&gt;0,Inputs!C12/Inputs!H12,"NM")</x:f>
        <x:v>26.447916666666668</x:v>
      </x:c>
      <x:c r="F24" s="9" t="n">
        <x:f>IF(Inputs!I12&gt;0,Inputs!C12/Inputs!I12,"NM")</x:f>
        <x:v>22.97737556561086</x:v>
      </x:c>
      <x:c r="G24" s="9" t="n">
        <x:f>IF(Inputs!J12&gt;0,Inputs!C12/Inputs!J12,"NM")</x:f>
        <x:v>19.82819211245607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 t="str">
        <x:f>Inputs!A13</x:f>
        <x:v>Mankind</x:v>
      </x:c>
      <x:c r="B25" s="9" t="n">
        <x:f>Inputs!K13</x:f>
        <x:v>48.3</x:v>
      </x:c>
      <x:c r="C25" s="9" t="n">
        <x:f>Inputs!L13</x:f>
        <x:v>49.3</x:v>
      </x:c>
      <x:c r="D25" s="9" t="n">
        <x:f>Inputs!M13</x:f>
        <x:v>43.3</x:v>
      </x:c>
      <x:c r="E25" s="9" t="n">
        <x:f>IF(Inputs!H13&gt;0,Inputs!C13/Inputs!H13,"NM")</x:f>
        <x:v>42.60299625468165</x:v>
      </x:c>
      <x:c r="F25" s="9" t="n">
        <x:f>IF(Inputs!I13&gt;0,Inputs!C13/Inputs!I13,"NM")</x:f>
        <x:v>34.64147286821706</x:v>
      </x:c>
      <x:c r="G25" s="9" t="n">
        <x:f>IF(Inputs!J13&gt;0,Inputs!C13/Inputs!J13,"NM")</x:f>
        <x:v>28.75445248764794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9"/>
      <x:c r="C26" s="9"/>
      <x:c r="D26" s="9"/>
      <x:c r="E26" s="9"/>
      <x:c r="F26" s="9"/>
      <x:c r="G26" s="9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9"/>
      <x:c r="C27" s="9"/>
      <x:c r="D27" s="9"/>
      <x:c r="E27" s="9"/>
      <x:c r="F27" s="9"/>
      <x:c r="G27" s="9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9"/>
      <x:c r="C28" s="9"/>
      <x:c r="D28" s="9"/>
      <x:c r="E28" s="9"/>
      <x:c r="F28" s="9"/>
      <x:c r="G28" s="9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30" customHeight="1">
      <x:c r="A29" s="5" t="str">
        <x:v>Company</x:v>
      </x:c>
      <x:c r="B29" s="10" t="str">
        <x:v>FY24A</x:v>
      </x:c>
      <x:c r="C29" s="10" t="str">
        <x:v>FY25A</x:v>
      </x:c>
      <x:c r="D29" s="10" t="str">
        <x:v>FY26A</x:v>
      </x:c>
      <x:c r="E29" s="10" t="str">
        <x:v>FY27E</x:v>
      </x:c>
      <x:c r="F29" s="10" t="str">
        <x:v>FY28E</x:v>
      </x:c>
      <x:c r="G29" s="10" t="str">
        <x:v>FY29E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 t="str">
        <x:f>Inputs!A6</x:f>
        <x:v>GSK India</x:v>
      </x:c>
      <x:c r="B30" s="9" t="str">
        <x:f>IF(AND(ISNUMBER(B6),B6&gt;0,ISNUMBER(B18)),B18/(B6*100),"NM")</x:f>
        <x:v>NM</x:v>
      </x:c>
      <x:c r="C30" s="9" t="n">
        <x:f>IF(AND(ISNUMBER(C6),C6&gt;0,ISNUMBER(C18)),C18/(C6*100),"NM")</x:f>
        <x:v>0.917403086390314</x:v>
      </x:c>
      <x:c r="D30" s="9" t="n">
        <x:f>IF(AND(ISNUMBER(D6),D6&gt;0,ISNUMBER(D18)),D18/(D6*100),"NM")</x:f>
        <x:v>3.1918473442652893</x:v>
      </x:c>
      <x:c r="E30" s="9" t="n">
        <x:f>IF(AND(ISNUMBER(E6),E6&gt;0,ISNUMBER(E18)),E18/(E6*100),"NM")</x:f>
        <x:v>2.766382566225155</x:v>
      </x:c>
      <x:c r="F30" s="9" t="n">
        <x:f>IF(AND(ISNUMBER(F6),F6&gt;0,ISNUMBER(F18)),F18/(F6*100),"NM")</x:f>
        <x:v>2.525567656450484</x:v>
      </x:c>
      <x:c r="G30" s="9" t="n">
        <x:f>IF(AND(ISNUMBER(G6),G6&gt;0,ISNUMBER(G18)),G18/(G6*100),"NM")</x:f>
        <x:v>2.5469371557222154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 t="str">
        <x:f>Inputs!A7</x:f>
        <x:v>Pfizer India</x:v>
      </x:c>
      <x:c r="B31" s="9" t="str">
        <x:f>IF(AND(ISNUMBER(B7),B7&gt;0,ISNUMBER(B19)),B19/(B7*100),"NM")</x:f>
        <x:v>NM</x:v>
      </x:c>
      <x:c r="C31" s="9" t="n">
        <x:f>IF(AND(ISNUMBER(C7),C7&gt;0,ISNUMBER(C19)),C19/(C7*100),"NM")</x:f>
        <x:v>0.6088689217758982</x:v>
      </x:c>
      <x:c r="D31" s="9" t="str">
        <x:f>IF(AND(ISNUMBER(D7),D7&gt;0,ISNUMBER(D19)),D19/(D7*100),"NM")</x:f>
        <x:v>NM</x:v>
      </x:c>
      <x:c r="E31" s="9" t="n">
        <x:f>IF(AND(ISNUMBER(E7),E7&gt;0,ISNUMBER(E19)),E19/(E7*100),"NM")</x:f>
        <x:v>1.4010127000071764</x:v>
      </x:c>
      <x:c r="F31" s="9" t="n">
        <x:f>IF(AND(ISNUMBER(F7),F7&gt;0,ISNUMBER(F19)),F19/(F7*100),"NM")</x:f>
        <x:v>1.3906295044485306</x:v>
      </x:c>
      <x:c r="G31" s="9" t="n">
        <x:f>IF(AND(ISNUMBER(G7),G7&gt;0,ISNUMBER(G19)),G19/(G7*100),"NM")</x:f>
        <x:v>1.2302245371709875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 t="str">
        <x:f>Inputs!A8</x:f>
        <x:v>Abbott India</x:v>
      </x:c>
      <x:c r="B32" s="9" t="n">
        <x:f>IF(AND(ISNUMBER(B8),B8&gt;0,ISNUMBER(B20)),B20/(B8*100),"NM")</x:f>
        <x:v>1.7984534768277687</x:v>
      </x:c>
      <x:c r="C32" s="9" t="n">
        <x:f>IF(AND(ISNUMBER(C8),C8&gt;0,ISNUMBER(C20)),C20/(C8*100),"NM")</x:f>
        <x:v>2.602744269483753</x:v>
      </x:c>
      <x:c r="D32" s="9" t="n">
        <x:f>IF(AND(ISNUMBER(D8),D8&gt;0,ISNUMBER(D20)),D20/(D8*100),"NM")</x:f>
        <x:v>3.6499088662341697</x:v>
      </x:c>
      <x:c r="E32" s="9" t="n">
        <x:f>IF(AND(ISNUMBER(E8),E8&gt;0,ISNUMBER(E20)),E20/(E8*100),"NM")</x:f>
        <x:v>3.2395885830213365</x:v>
      </x:c>
      <x:c r="F32" s="9" t="n">
        <x:f>IF(AND(ISNUMBER(F8),F8&gt;0,ISNUMBER(F20)),F20/(F8*100),"NM")</x:f>
        <x:v>4.354204128369836</x:v>
      </x:c>
      <x:c r="G32" s="9" t="n">
        <x:f>IF(AND(ISNUMBER(G8),G8&gt;0,ISNUMBER(G20)),G20/(G8*100),"NM")</x:f>
        <x:v>2.924812367125554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 t="str">
        <x:f>Inputs!A9</x:f>
        <x:v>Sun Pharma</x:v>
      </x:c>
      <x:c r="B33" s="9" t="n">
        <x:f>IF(AND(ISNUMBER(B9),B9&gt;0,ISNUMBER(B21)),B21/(B9*100),"NM")</x:f>
        <x:v>3.115608695652172</x:v>
      </x:c>
      <x:c r="C33" s="9" t="n">
        <x:f>IF(AND(ISNUMBER(C9),C9&gt;0,ISNUMBER(C21)),C21/(C9*100),"NM")</x:f>
        <x:v>2.659999999999997</x:v>
      </x:c>
      <x:c r="D33" s="9" t="n">
        <x:f>IF(AND(ISNUMBER(D9),D9&gt;0,ISNUMBER(D21)),D21/(D9*100),"NM")</x:f>
        <x:v>7.627636363636392</x:v>
      </x:c>
      <x:c r="E33" s="9" t="n">
        <x:f>IF(AND(ISNUMBER(E9),E9&gt;0,ISNUMBER(E21)),E21/(E9*100),"NM")</x:f>
        <x:v>2.5646297269905216</x:v>
      </x:c>
      <x:c r="F33" s="9" t="n">
        <x:f>IF(AND(ISNUMBER(F9),F9&gt;0,ISNUMBER(F21)),F21/(F9*100),"NM")</x:f>
        <x:v>1.4337096987981828</x:v>
      </x:c>
      <x:c r="G33" s="9" t="n">
        <x:f>IF(AND(ISNUMBER(G9),G9&gt;0,ISNUMBER(G21)),G21/(G9*100),"NM")</x:f>
        <x:v>1.4945511619190421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 t="str">
        <x:f>Inputs!A10</x:f>
        <x:v>Cipla</x:v>
      </x:c>
      <x:c r="B34" s="9" t="n">
        <x:f>IF(AND(ISNUMBER(B10),B10&gt;0,ISNUMBER(B22)),B22/(B10*100),"NM")</x:f>
        <x:v>0.6228045343137254</x:v>
      </x:c>
      <x:c r="C34" s="9" t="n">
        <x:f>IF(AND(ISNUMBER(C10),C10&gt;0,ISNUMBER(C22)),C22/(C10*100),"NM")</x:f>
        <x:v>0.7922143359100491</x:v>
      </x:c>
      <x:c r="D34" s="9" t="str">
        <x:f>IF(AND(ISNUMBER(D10),D10&gt;0,ISNUMBER(D22)),D22/(D10*100),"NM")</x:f>
        <x:v>NM</x:v>
      </x:c>
      <x:c r="E34" s="9" t="n">
        <x:f>IF(AND(ISNUMBER(E10),E10&gt;0,ISNUMBER(E22)),E22/(E10*100),"NM")</x:f>
        <x:v>3.865128488681079</x:v>
      </x:c>
      <x:c r="F34" s="9" t="n">
        <x:f>IF(AND(ISNUMBER(F10),F10&gt;0,ISNUMBER(F22)),F22/(F10*100),"NM")</x:f>
        <x:v>0.8716359319853347</x:v>
      </x:c>
      <x:c r="G34" s="9" t="n">
        <x:f>IF(AND(ISNUMBER(G10),G10&gt;0,ISNUMBER(G22)),G22/(G10*100),"NM")</x:f>
        <x:v>1.4410201026453924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 t="str">
        <x:f>Inputs!A11</x:f>
        <x:v>Torrent Pharma</x:v>
      </x:c>
      <x:c r="B35" s="9" t="n">
        <x:f>IF(AND(ISNUMBER(B11),B11&gt;0,ISNUMBER(B23)),B23/(B11*100),"NM")</x:f>
        <x:v>0.6422343115124154</x:v>
      </x:c>
      <x:c r="C35" s="9" t="n">
        <x:f>IF(AND(ISNUMBER(C11),C11&gt;0,ISNUMBER(C23)),C23/(C11*100),"NM")</x:f>
        <x:v>3.7241195219123515</x:v>
      </x:c>
      <x:c r="D35" s="9" t="n">
        <x:f>IF(AND(ISNUMBER(D11),D11&gt;0,ISNUMBER(D23)),D23/(D11*100),"NM")</x:f>
        <x:v>5.002711409395972</x:v>
      </x:c>
      <x:c r="E35" s="9" t="n">
        <x:f>IF(AND(ISNUMBER(E11),E11&gt;0,ISNUMBER(E23)),E23/(E11*100),"NM")</x:f>
        <x:v>38.32304303678853</x:v>
      </x:c>
      <x:c r="F35" s="9" t="n">
        <x:f>IF(AND(ISNUMBER(F11),F11&gt;0,ISNUMBER(F23)),F23/(F11*100),"NM")</x:f>
        <x:v>1.3447942157953274</x:v>
      </x:c>
      <x:c r="G35" s="9" t="n">
        <x:f>IF(AND(ISNUMBER(G11),G11&gt;0,ISNUMBER(G23)),G23/(G11*100),"NM")</x:f>
        <x:v>1.5070373443983411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 t="str">
        <x:f>Inputs!A12</x:f>
        <x:v>Alkem</x:v>
      </x:c>
      <x:c r="B36" s="9" t="n">
        <x:f>IF(AND(ISNUMBER(B12),B12&gt;0,ISNUMBER(B24)),B24/(B12*100),"NM")</x:f>
        <x:v>0.3988803947562234</x:v>
      </x:c>
      <x:c r="C36" s="9" t="n">
        <x:f>IF(AND(ISNUMBER(C12),C12&gt;0,ISNUMBER(C24)),C24/(C12*100),"NM")</x:f>
        <x:v>1.3124271844660191</x:v>
      </x:c>
      <x:c r="D36" s="9" t="n">
        <x:f>IF(AND(ISNUMBER(D12),D12&gt;0,ISNUMBER(D24)),D24/(D12*100),"NM")</x:f>
        <x:v>4.368640350877194</x:v>
      </x:c>
      <x:c r="E36" s="9" t="str">
        <x:f>IF(AND(ISNUMBER(E12),E12&gt;0,ISNUMBER(E24)),E24/(E12*100),"NM")</x:f>
        <x:v>NM</x:v>
      </x:c>
      <x:c r="F36" s="9" t="n">
        <x:f>IF(AND(ISNUMBER(F12),F12&gt;0,ISNUMBER(F24)),F24/(F12*100),"NM")</x:f>
        <x:v>1.5212607271025114</x:v>
      </x:c>
      <x:c r="G36" s="9" t="n">
        <x:f>IF(AND(ISNUMBER(G12),G12&gt;0,ISNUMBER(G24)),G24/(G12*100),"NM")</x:f>
        <x:v>1.248441725599085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 t="str">
        <x:f>Inputs!A13</x:f>
        <x:v>Mankind</x:v>
      </x:c>
      <x:c r="B37" s="9" t="n">
        <x:f>IF(AND(ISNUMBER(B13),B13&gt;0,ISNUMBER(B25)),B25/(B13*100),"NM")</x:f>
        <x:v>0.9857142857142857</x:v>
      </x:c>
      <x:c r="C37" s="9" t="n">
        <x:f>IF(AND(ISNUMBER(C13),C13&gt;0,ISNUMBER(C25)),C25/(C13*100),"NM")</x:f>
        <x:v>15.46463157894735</x:v>
      </x:c>
      <x:c r="D37" s="9" t="str">
        <x:f>IF(AND(ISNUMBER(D13),D13&gt;0,ISNUMBER(D25)),D25/(D13*100),"NM")</x:f>
        <x:v>NM</x:v>
      </x:c>
      <x:c r="E37" s="9" t="n">
        <x:f>IF(AND(ISNUMBER(E13),E13&gt;0,ISNUMBER(E25)),E25/(E13*100),"NM")</x:f>
        <x:v>1.5823970037453188</x:v>
      </x:c>
      <x:c r="F37" s="9" t="n">
        <x:f>IF(AND(ISNUMBER(F13),F13&gt;0,ISNUMBER(F25)),F25/(F13*100),"NM")</x:f>
        <x:v>1.5072889750215337</x:v>
      </x:c>
      <x:c r="G37" s="9" t="n">
        <x:f>IF(AND(ISNUMBER(G13),G13&gt;0,ISNUMBER(G25)),G25/(G13*100),"NM")</x:f>
        <x:v>1.4044771113642234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 t="str">
        <x:v>Indian peer median</x:v>
      </x:c>
      <x:c r="B40" s="9" t="n">
        <x:f>MEDIAN(B33:B37)</x:f>
        <x:v>0.6422343115124154</x:v>
      </x:c>
      <x:c r="C40" s="9" t="n">
        <x:f>MEDIAN(C33:C37)</x:f>
        <x:v>2.659999999999997</x:v>
      </x:c>
      <x:c r="D40" s="9" t="n">
        <x:f>MEDIAN(D33:D37)</x:f>
        <x:v>5.002711409395972</x:v>
      </x:c>
      <x:c r="E40" s="9" t="n">
        <x:f>MEDIAN(E33:E37)</x:f>
        <x:v>3.2148791078358006</x:v>
      </x:c>
      <x:c r="F40" s="9" t="n">
        <x:f>MEDIAN(F33:F37)</x:f>
        <x:v>1.4337096987981828</x:v>
      </x:c>
      <x:c r="G40" s="9" t="n">
        <x:f>MEDIAN(G33:G37)</x:f>
        <x:v>1.4410201026453924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 t="str">
        <x:v>Valid peer count</x:v>
      </x:c>
      <x:c r="B41" s="1" t="n">
        <x:f>COUNT(B33:B37)</x:f>
        <x:v>5</x:v>
      </x:c>
      <x:c r="C41" s="1" t="n">
        <x:f>COUNT(C33:C37)</x:f>
        <x:v>5</x:v>
      </x:c>
      <x:c r="D41" s="1" t="n">
        <x:f>COUNT(D33:D37)</x:f>
        <x:v>3</x:v>
      </x:c>
      <x:c r="E41" s="1" t="n">
        <x:f>COUNT(E33:E37)</x:f>
        <x:v>4</x:v>
      </x:c>
      <x:c r="F41" s="1" t="n">
        <x:f>COUNT(F33:F37)</x:f>
        <x:v>5</x:v>
      </x:c>
      <x:c r="G41" s="1" t="n">
        <x:f>COUNT(G33:G37)</x:f>
        <x:v>5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30" customHeight="1">
      <x:c r="A45" s="5" t="str">
        <x:v>Company</x:v>
      </x:c>
      <x:c r="B45" s="5" t="str">
        <x:v>Price INR</x:v>
      </x:c>
      <x:c r="C45" s="5" t="str">
        <x:v>EPS FY26A</x:v>
      </x:c>
      <x:c r="D45" s="5" t="str">
        <x:v>EPS FY27E</x:v>
      </x:c>
      <x:c r="E45" s="5" t="str">
        <x:v>EPS FY28E</x:v>
      </x:c>
      <x:c r="F45" s="5" t="str">
        <x:v>EPS FY29E</x:v>
      </x:c>
      <x:c r="G45" s="5" t="str">
        <x:v>EPS CAGR FY23-26</x:v>
      </x:c>
      <x:c r="H45" s="5" t="str">
        <x:v>EPS CAGR FY26-29</x:v>
      </x:c>
      <x:c r="I45" s="5" t="str">
        <x:v>FY27 PE</x:v>
      </x:c>
      <x:c r="J45" s="5" t="str">
        <x:v>FY28 PE</x:v>
      </x:c>
      <x:c r="K45" s="5" t="str">
        <x:v>Forward PEG FY27 PE</x:v>
      </x:c>
      <x:c r="L45" s="5" t="str">
        <x:v>Forward PEG FY28 PE</x:v>
      </x:c>
      <x:c r="M45" s="5" t="str">
        <x:v>Forecast basis</x:v>
      </x:c>
      <x:c r="N45" s="1"/>
      <x:c r="O45" s="1"/>
      <x:c r="P45" s="1"/>
      <x:c r="Q45" s="1"/>
    </x:row>
    <x:row r="46">
      <x:c r="A46" s="1" t="str">
        <x:f>Inputs!A6</x:f>
        <x:v>GSK India</x:v>
      </x:c>
      <x:c r="B46" s="6" t="n">
        <x:f>Inputs!C6</x:f>
        <x:v>2488.75</x:v>
      </x:c>
      <x:c r="C46" s="6" t="n">
        <x:f>Inputs!G6</x:f>
        <x:v>61.1536781459925</x:v>
      </x:c>
      <x:c r="D46" s="6" t="n">
        <x:f>Inputs!H6</x:f>
        <x:v>69.1139171775793</x:v>
      </x:c>
      <x:c r="E46" s="6" t="n">
        <x:f>Inputs!I6</x:f>
        <x:v>77.861082534171</x:v>
      </x:c>
      <x:c r="F46" s="6" t="n">
        <x:f>Inputs!J6</x:f>
        <x:v>86.6422775371931</x:v>
      </x:c>
      <x:c r="G46" s="8" t="n">
        <x:f>(Inputs!G6/Inputs!D6)^(1/3)-1</x:f>
        <x:v>0.19463489433600945</x:v>
      </x:c>
      <x:c r="H46" s="8" t="n">
        <x:f>(F46/C46)^(1/3)-1</x:f>
        <x:v>0.1231448211422217</x:v>
      </x:c>
      <x:c r="I46" s="9" t="n">
        <x:f>B46/D46</x:f>
        <x:v>36.009390027850365</x:v>
      </x:c>
      <x:c r="J46" s="9" t="n">
        <x:f>B46/E46</x:f>
        <x:v>31.963978909588867</x:v>
      </x:c>
      <x:c r="K46" s="9" t="n">
        <x:f>IF(H46&gt;0,I46/(H46*100),"NM")</x:f>
        <x:v>2.9241497688532605</x:v>
      </x:c>
      <x:c r="L46" s="9" t="n">
        <x:f>IF(H46&gt;0,J46/(H46*100),"NM")</x:f>
        <x:v>2.5956413443220008</x:v>
      </x:c>
      <x:c r="M46" s="2" t="str">
        <x:f>Inputs!P6</x:f>
        <x:v>House model; reported EPS includes exceptional items</x:v>
      </x:c>
      <x:c r="N46" s="1"/>
      <x:c r="O46" s="1"/>
      <x:c r="P46" s="1"/>
      <x:c r="Q46" s="1"/>
    </x:row>
    <x:row r="47">
      <x:c r="A47" s="1" t="str">
        <x:f>Inputs!A7</x:f>
        <x:v>Pfizer India</x:v>
      </x:c>
      <x:c r="B47" s="6" t="n">
        <x:f>Inputs!C7</x:f>
        <x:v>3709.8</x:v>
      </x:c>
      <x:c r="C47" s="6" t="n">
        <x:f>Inputs!G7</x:f>
        <x:v>157.9</x:v>
      </x:c>
      <x:c r="D47" s="6" t="n">
        <x:f>Inputs!H7</x:f>
        <x:v>181</x:v>
      </x:c>
      <x:c r="E47" s="6" t="n">
        <x:f>Inputs!I7</x:f>
        <x:v>204.6</x:v>
      </x:c>
      <x:c r="F47" s="6" t="n">
        <x:f>Inputs!J7</x:f>
        <x:v>231.2771270718232</x:v>
      </x:c>
      <x:c r="G47" s="8" t="n">
        <x:f>(Inputs!G7/Inputs!D7)^(1/3)-1</x:f>
        <x:v>0.04999988917038434</x:v>
      </x:c>
      <x:c r="H47" s="8" t="n">
        <x:f>(F47/C47)^(1/3)-1</x:f>
        <x:v>0.1356648512956653</x:v>
      </x:c>
      <x:c r="I47" s="9" t="n">
        <x:f>B47/D47</x:f>
        <x:v>20.496132596685083</x:v>
      </x:c>
      <x:c r="J47" s="9" t="n">
        <x:f>B47/E47</x:f>
        <x:v>18.131964809384165</x:v>
      </x:c>
      <x:c r="K47" s="9" t="n">
        <x:f>IF(H47&gt;0,I47/(H47*100),"NM")</x:f>
        <x:v>1.5107916605470797</x:v>
      </x:c>
      <x:c r="L47" s="9" t="n">
        <x:f>IF(H47&gt;0,J47/(H47*100),"NM")</x:f>
        <x:v>1.3365263468182866</x:v>
      </x:c>
      <x:c r="M47" s="2" t="str">
        <x:f>Inputs!P7</x:f>
        <x:v>FY27-28 public consensus; FY29 extrapolated, replace with house EPS when available</x:v>
      </x:c>
      <x:c r="N47" s="1"/>
      <x:c r="O47" s="1"/>
      <x:c r="P47" s="1"/>
      <x:c r="Q47" s="1"/>
    </x:row>
    <x:row r="48">
      <x:c r="A48" s="1" t="str">
        <x:f>Inputs!A8</x:f>
        <x:v>Abbott India</x:v>
      </x:c>
      <x:c r="B48" s="6" t="n">
        <x:f>Inputs!C8</x:f>
        <x:v>25515</x:v>
      </x:c>
      <x:c r="C48" s="6" t="n">
        <x:f>Inputs!G8</x:f>
        <x:v>730.36</x:v>
      </x:c>
      <x:c r="D48" s="6" t="n">
        <x:f>Inputs!H8</x:f>
        <x:v>802.0776845002893</x:v>
      </x:c>
      <x:c r="E48" s="6" t="n">
        <x:f>Inputs!I8</x:f>
        <x:v>856.9255972565854</x:v>
      </x:c>
      <x:c r="F48" s="6" t="n">
        <x:f>Inputs!J8</x:f>
        <x:v>936.7298979161351</x:v>
      </x:c>
      <x:c r="G48" s="8" t="n">
        <x:f>(Inputs!G8/Inputs!D8)^(1/3)-1</x:f>
        <x:v>0.1780056429974357</x:v>
      </x:c>
      <x:c r="H48" s="8" t="n">
        <x:f>(F48/C48)^(1/3)-1</x:f>
        <x:v>0.0864901681762078</x:v>
      </x:c>
      <x:c r="I48" s="9" t="n">
        <x:f>B48/D48</x:f>
        <x:v>31.811133127206208</x:v>
      </x:c>
      <x:c r="J48" s="9" t="n">
        <x:f>B48/E48</x:f>
        <x:v>29.775047077232024</x:v>
      </x:c>
      <x:c r="K48" s="9" t="n">
        <x:f>IF(H48&gt;0,I48/(H48*100),"NM")</x:f>
        <x:v>3.6780056968321393</x:v>
      </x:c>
      <x:c r="L48" s="9" t="n">
        <x:f>IF(H48&gt;0,J48/(H48*100),"NM")</x:f>
        <x:v>3.442593268702039</x:v>
      </x:c>
      <x:c r="M48" s="2" t="str">
        <x:f>Inputs!P8</x:f>
        <x:v>Latest uploaded Abbott_Revenue_Model.xlsx P&amp;L</x:v>
      </x:c>
      <x:c r="N48" s="1"/>
      <x:c r="O48" s="1"/>
      <x:c r="P48" s="1"/>
      <x:c r="Q48" s="1"/>
    </x:row>
    <x:row r="49">
      <x:c r="A49" s="1" t="str">
        <x:f>Inputs!A9</x:f>
        <x:v>Sun Pharma</x:v>
      </x:c>
      <x:c r="B49" s="6" t="n">
        <x:f>Inputs!C9</x:f>
        <x:v>1751.2</x:v>
      </x:c>
      <x:c r="C49" s="6" t="n">
        <x:f>Inputs!G9</x:f>
        <x:v>47.8</x:v>
      </x:c>
      <x:c r="D49" s="6" t="n">
        <x:f>Inputs!H9</x:f>
        <x:v>53.86</x:v>
      </x:c>
      <x:c r="E49" s="6" t="n">
        <x:f>Inputs!I9</x:f>
        <x:v>64.12</x:v>
      </x:c>
      <x:c r="F49" s="6" t="n">
        <x:f>Inputs!J9</x:f>
        <x:v>74.24</x:v>
      </x:c>
      <x:c r="G49" s="8" t="n">
        <x:f>(Inputs!G9/Inputs!D9)^(1/3)-1</x:f>
        <x:v>0.10632925589365261</x:v>
      </x:c>
      <x:c r="H49" s="8" t="n">
        <x:f>(F49/C49)^(1/3)-1</x:f>
        <x:v>0.15807500667894026</x:v>
      </x:c>
      <x:c r="I49" s="9" t="n">
        <x:f>B49/D49</x:f>
        <x:v>32.513924990716674</x:v>
      </x:c>
      <x:c r="J49" s="9" t="n">
        <x:f>B49/E49</x:f>
        <x:v>27.311291328758575</x:v>
      </x:c>
      <x:c r="K49" s="9" t="n">
        <x:f>IF(H49&gt;0,I49/(H49*100),"NM")</x:f>
        <x:v>2.0568669060223033</x:v>
      </x:c>
      <x:c r="L49" s="9" t="n">
        <x:f>IF(H49&gt;0,J49/(H49*100),"NM")</x:f>
        <x:v>1.7277425383400067</x:v>
      </x:c>
      <x:c r="M49" s="2" t="str">
        <x:f>Inputs!P9</x:f>
        <x:v>Reported history; public consensus FY27-29</x:v>
      </x:c>
      <x:c r="N49" s="1"/>
      <x:c r="O49" s="1"/>
      <x:c r="P49" s="1"/>
      <x:c r="Q49" s="1"/>
    </x:row>
    <x:row r="50">
      <x:c r="A50" s="1" t="str">
        <x:f>Inputs!A10</x:f>
        <x:v>Cipla</x:v>
      </x:c>
      <x:c r="B50" s="6" t="n">
        <x:f>Inputs!C10</x:f>
        <x:v>1350</x:v>
      </x:c>
      <x:c r="C50" s="6" t="n">
        <x:f>Inputs!G10</x:f>
        <x:v>48</x:v>
      </x:c>
      <x:c r="D50" s="6" t="n">
        <x:f>Inputs!H10</x:f>
        <x:v>51.27</x:v>
      </x:c>
      <x:c r="E50" s="6" t="n">
        <x:f>Inputs!I10</x:f>
        <x:v>63.73</x:v>
      </x:c>
      <x:c r="F50" s="6" t="n">
        <x:f>Inputs!J10</x:f>
        <x:v>72.02</x:v>
      </x:c>
      <x:c r="G50" s="8" t="n">
        <x:f>(Inputs!G10/Inputs!D10)^(1/3)-1</x:f>
        <x:v>0.11432612496337602</x:v>
      </x:c>
      <x:c r="H50" s="8" t="n">
        <x:f>(F50/C50)^(1/3)-1</x:f>
        <x:v>0.14482022480026213</x:v>
      </x:c>
      <x:c r="I50" s="9" t="n">
        <x:f>B50/D50</x:f>
        <x:v>26.331187829139846</x:v>
      </x:c>
      <x:c r="J50" s="9" t="n">
        <x:f>B50/E50</x:f>
        <x:v>21.18311627177154</x:v>
      </x:c>
      <x:c r="K50" s="9" t="n">
        <x:f>IF(H50&gt;0,I50/(H50*100),"NM")</x:f>
        <x:v>1.8181982430600525</x:v>
      </x:c>
      <x:c r="L50" s="9" t="n">
        <x:f>IF(H50&gt;0,J50/(H50*100),"NM")</x:f>
        <x:v>1.462718090721621</x:v>
      </x:c>
      <x:c r="M50" s="2" t="str">
        <x:f>Inputs!P10</x:f>
        <x:v>Reported history; public consensus FY27-29</x:v>
      </x:c>
      <x:c r="N50" s="1"/>
      <x:c r="O50" s="1"/>
      <x:c r="P50" s="1"/>
      <x:c r="Q50" s="1"/>
    </x:row>
    <x:row r="51">
      <x:c r="A51" s="1" t="str">
        <x:f>Inputs!A11</x:f>
        <x:v>Torrent Pharma</x:v>
      </x:c>
      <x:c r="B51" s="6" t="n">
        <x:f>Inputs!C11</x:f>
        <x:v>4605.6</x:v>
      </x:c>
      <x:c r="C51" s="6" t="n">
        <x:f>Inputs!G11</x:f>
        <x:v>63.92</x:v>
      </x:c>
      <x:c r="D51" s="6" t="n">
        <x:f>Inputs!H11</x:f>
        <x:v>65.1</x:v>
      </x:c>
      <x:c r="E51" s="6" t="n">
        <x:f>Inputs!I11</x:f>
        <x:v>89.9</x:v>
      </x:c>
      <x:c r="F51" s="6" t="n">
        <x:f>Inputs!J11</x:f>
        <x:v>114</x:v>
      </x:c>
      <x:c r="G51" s="8" t="n">
        <x:f>(Inputs!G11/Inputs!D11)^(1/3)-1</x:f>
        <x:v>0.33625092104632914</x:v>
      </x:c>
      <x:c r="H51" s="8" t="n">
        <x:f>(F51/C51)^(1/3)-1</x:f>
        <x:v>0.21270740189656956</x:v>
      </x:c>
      <x:c r="I51" s="9" t="n">
        <x:f>B51/D51</x:f>
        <x:v>70.74654377880185</x:v>
      </x:c>
      <x:c r="J51" s="9" t="n">
        <x:f>B51/E51</x:f>
        <x:v>51.23025583982203</x:v>
      </x:c>
      <x:c r="K51" s="9" t="n">
        <x:f>IF(H51&gt;0,I51/(H51*100),"NM")</x:f>
        <x:v>3.326002910477128</x:v>
      </x:c>
      <x:c r="L51" s="9" t="n">
        <x:f>IF(H51&gt;0,J51/(H51*100),"NM")</x:f>
        <x:v>2.4084848662075755</x:v>
      </x:c>
      <x:c r="M51" s="2" t="str">
        <x:f>Inputs!P11</x:f>
        <x:v>FY23 EPS restated; acquisition dilution means EPS and PAT growth differ</x:v>
      </x:c>
      <x:c r="N51" s="1"/>
      <x:c r="O51" s="1"/>
      <x:c r="P51" s="1"/>
      <x:c r="Q51" s="1"/>
    </x:row>
    <x:row r="52">
      <x:c r="A52" s="1" t="str">
        <x:f>Inputs!A12</x:f>
        <x:v>Alkem</x:v>
      </x:c>
      <x:c r="B52" s="6" t="n">
        <x:f>Inputs!C12</x:f>
        <x:v>5078</x:v>
      </x:c>
      <x:c r="C52" s="6" t="n">
        <x:f>Inputs!G12</x:f>
        <x:v>192.5</x:v>
      </x:c>
      <x:c r="D52" s="6" t="n">
        <x:f>Inputs!H12</x:f>
        <x:v>192</x:v>
      </x:c>
      <x:c r="E52" s="6" t="n">
        <x:f>Inputs!I12</x:f>
        <x:v>221</x:v>
      </x:c>
      <x:c r="F52" s="6" t="n">
        <x:f>Inputs!J12</x:f>
        <x:v>256.1</x:v>
      </x:c>
      <x:c r="G52" s="8" t="n">
        <x:f>(Inputs!G12/Inputs!D12)^(1/3)-1</x:f>
        <x:v>0.3273721786752535</x:v>
      </x:c>
      <x:c r="H52" s="8" t="n">
        <x:f>(F52/C52)^(1/3)-1</x:f>
        <x:v>0.09983182288117742</x:v>
      </x:c>
      <x:c r="I52" s="9" t="n">
        <x:f>B52/D52</x:f>
        <x:v>26.447916666666668</x:v>
      </x:c>
      <x:c r="J52" s="9" t="n">
        <x:f>B52/E52</x:f>
        <x:v>22.97737556561086</x:v>
      </x:c>
      <x:c r="K52" s="9" t="n">
        <x:f>IF(H52&gt;0,I52/(H52*100),"NM")</x:f>
        <x:v>2.6492470941000152</x:v>
      </x:c>
      <x:c r="L52" s="9" t="n">
        <x:f>IF(H52&gt;0,J52/(H52*100),"NM")</x:f>
        <x:v>2.301608335145714</x:v>
      </x:c>
      <x:c r="M52" s="2" t="str">
        <x:f>Inputs!P12</x:f>
        <x:v>FY27 EPS slightly contracts; annual PEG is NM</x:v>
      </x:c>
      <x:c r="N52" s="1"/>
      <x:c r="O52" s="1"/>
      <x:c r="P52" s="1"/>
      <x:c r="Q52" s="1"/>
    </x:row>
    <x:row r="53">
      <x:c r="A53" s="1" t="str">
        <x:f>Inputs!A13</x:f>
        <x:v>Mankind</x:v>
      </x:c>
      <x:c r="B53" s="6" t="n">
        <x:f>Inputs!C13</x:f>
        <x:v>2502.5</x:v>
      </x:c>
      <x:c r="C53" s="6" t="n">
        <x:f>Inputs!G13</x:f>
        <x:v>46.28</x:v>
      </x:c>
      <x:c r="D53" s="6" t="n">
        <x:f>Inputs!H13</x:f>
        <x:v>58.74</x:v>
      </x:c>
      <x:c r="E53" s="6" t="n">
        <x:f>Inputs!I13</x:f>
        <x:v>72.24</x:v>
      </x:c>
      <x:c r="F53" s="6" t="n">
        <x:f>Inputs!J13</x:f>
        <x:v>87.03</x:v>
      </x:c>
      <x:c r="G53" s="8" t="n">
        <x:f>(Inputs!G13/Inputs!D13)^(1/3)-1</x:f>
        <x:v>0.13087461981287252</x:v>
      </x:c>
      <x:c r="H53" s="8" t="n">
        <x:f>(F53/C53)^(1/3)-1</x:f>
        <x:v>0.23431273852422452</x:v>
      </x:c>
      <x:c r="I53" s="9" t="n">
        <x:f>B53/D53</x:f>
        <x:v>42.60299625468165</x:v>
      </x:c>
      <x:c r="J53" s="9" t="n">
        <x:f>B53/E53</x:f>
        <x:v>34.64147286821706</x:v>
      </x:c>
      <x:c r="K53" s="9" t="n">
        <x:f>IF(H53&gt;0,I53/(H53*100),"NM")</x:f>
        <x:v>1.818210846026074</x:v>
      </x:c>
      <x:c r="L53" s="9" t="n">
        <x:f>IF(H53&gt;0,J53/(H53*100),"NM")</x:f>
        <x:v>1.4784289188202049</x:v>
      </x:c>
      <x:c r="M53" s="2" t="str">
        <x:f>Inputs!P13</x:f>
        <x:v>Consolidated reported / public consensus, affected by acquisition accounting</x:v>
      </x:c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8"/>
      <x:c r="H54" s="8"/>
      <x:c r="I54" s="9"/>
      <x:c r="J54" s="9"/>
      <x:c r="K54" s="9"/>
      <x:c r="L54" s="9"/>
      <x:c r="M54" s="1"/>
      <x:c r="N54" s="1"/>
      <x:c r="O54" s="1"/>
      <x:c r="P54" s="1"/>
      <x:c r="Q54" s="1"/>
    </x:row>
    <x:row r="55">
      <x:c r="A55" s="1" t="str">
        <x:v>Indian peer median</x:v>
      </x:c>
      <x:c r="B55" s="1"/>
      <x:c r="C55" s="1"/>
      <x:c r="D55" s="1"/>
      <x:c r="E55" s="1"/>
      <x:c r="F55" s="1"/>
      <x:c r="G55" s="8" t="n">
        <x:f>MEDIAN(G49:G53)</x:f>
        <x:v>0.13087461981287252</x:v>
      </x:c>
      <x:c r="H55" s="8" t="n">
        <x:f>MEDIAN(H49:H53)</x:f>
        <x:v>0.15807500667894026</x:v>
      </x:c>
      <x:c r="I55" s="9" t="n">
        <x:f>MEDIAN(I49:I53)</x:f>
        <x:v>32.513924990716674</x:v>
      </x:c>
      <x:c r="J55" s="9" t="n">
        <x:f>MEDIAN(J49:J53)</x:f>
        <x:v>27.311291328758575</x:v>
      </x:c>
      <x:c r="K55" s="9" t="n">
        <x:f>MEDIAN(K49:K53)</x:f>
        <x:v>2.0568669060223033</x:v>
      </x:c>
      <x:c r="L55" s="9" t="n">
        <x:f>MEDIAN(L49:L53)</x:f>
        <x:v>1.7277425383400067</x:v>
      </x:c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</x:sheetData>
  <x:mergeCells>
    <x:mergeCell ref="A1:Q1"/>
    <x:mergeCell ref="A2:Q2"/>
    <x:mergeCell ref="A3:Q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  <x:col min="16" max="16" width="65" hidden="0" customWidth="1"/>
    <x:col min="17" max="17" width="13" hidden="0" customWidth="1"/>
  </x:cols>
  <x:sheetData>
    <x:row r="1">
      <x:c r="A1" s="2" t="str">
        <x:v>India pharma PEG inputs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 t="str">
        <x:v>Prices at 27-Oct-2026. EPS forecast basis and exact sources are identified by company. No existing model has been changed.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5" t="str">
        <x:v>Company</x:v>
      </x:c>
      <x:c r="B5" s="5" t="str">
        <x:v>Group</x:v>
      </x:c>
      <x:c r="C5" s="5" t="str">
        <x:v>Price INR</x:v>
      </x:c>
      <x:c r="D5" s="5" t="str">
        <x:v>EPS FY23A</x:v>
      </x:c>
      <x:c r="E5" s="5" t="str">
        <x:v>EPS FY24A</x:v>
      </x:c>
      <x:c r="F5" s="5" t="str">
        <x:v>EPS FY25A</x:v>
      </x:c>
      <x:c r="G5" s="5" t="str">
        <x:v>EPS FY26A</x:v>
      </x:c>
      <x:c r="H5" s="5" t="str">
        <x:v>EPS FY27E</x:v>
      </x:c>
      <x:c r="I5" s="5" t="str">
        <x:v>EPS FY28E</x:v>
      </x:c>
      <x:c r="J5" s="5" t="str">
        <x:v>EPS FY29E</x:v>
      </x:c>
      <x:c r="K5" s="5" t="str">
        <x:v>PE FY24A</x:v>
      </x:c>
      <x:c r="L5" s="5" t="str">
        <x:v>PE FY25A</x:v>
      </x:c>
      <x:c r="M5" s="5" t="str">
        <x:v>PE FY26A</x:v>
      </x:c>
      <x:c r="N5" s="5" t="str">
        <x:v>EPS / PE sources</x:v>
      </x:c>
      <x:c r="O5" s="5" t="str">
        <x:v>Price source</x:v>
      </x:c>
      <x:c r="P5" s="5" t="str">
        <x:v>Forecast basis</x:v>
      </x:c>
      <x:c r="Q5" s="1"/>
    </x:row>
    <x:row r="6" ht="45" customHeight="1">
      <x:c r="A6" s="1" t="str">
        <x:v>GSK India</x:v>
      </x:c>
      <x:c r="B6" s="1" t="str">
        <x:v>MNC</x:v>
      </x:c>
      <x:c r="C6" s="7" t="n">
        <x:v>2488.75</x:v>
      </x:c>
      <x:c r="D6" s="7" t="n">
        <x:v>35.8688122026375</x:v>
      </x:c>
      <x:c r="E6" s="7" t="n">
        <x:v>34.8254961453549</x:v>
      </x:c>
      <x:c r="F6" s="7" t="n">
        <x:v>54.7549968714213</x:v>
      </x:c>
      <x:c r="G6" s="7" t="n">
        <x:v>61.1536781459925</x:v>
      </x:c>
      <x:c r="H6" s="7" t="n">
        <x:v>69.1139171775793</x:v>
      </x:c>
      <x:c r="I6" s="7" t="n">
        <x:v>77.861082534171</x:v>
      </x:c>
      <x:c r="J6" s="7" t="n">
        <x:v>86.6422775371931</x:v>
      </x:c>
      <x:c r="K6" s="7" t="n">
        <x:v>55.8</x:v>
      </x:c>
      <x:c r="L6" s="7" t="n">
        <x:v>52.5</x:v>
      </x:c>
      <x:c r="M6" s="7" t="n">
        <x:v>37.3</x:v>
      </x:c>
      <x:c r="N6" s="1" t="str">
        <x:v>S1 / S11</x:v>
      </x:c>
      <x:c r="O6" s="1" t="str">
        <x:v>P1</x:v>
      </x:c>
      <x:c r="P6" s="2" t="str">
        <x:v>House model; reported EPS includes exceptional items</x:v>
      </x:c>
      <x:c r="Q6" s="1"/>
    </x:row>
    <x:row r="7" ht="45" customHeight="1">
      <x:c r="A7" s="1" t="str">
        <x:v>Pfizer India</x:v>
      </x:c>
      <x:c r="B7" s="1" t="str">
        <x:v>MNC</x:v>
      </x:c>
      <x:c r="C7" s="7" t="n">
        <x:v>3709.8</x:v>
      </x:c>
      <x:c r="D7" s="7" t="n">
        <x:v>136.4</x:v>
      </x:c>
      <x:c r="E7" s="7" t="n">
        <x:v>120.5</x:v>
      </x:c>
      <x:c r="F7" s="7" t="n">
        <x:v>167.8</x:v>
      </x:c>
      <x:c r="G7" s="7" t="n">
        <x:v>157.9</x:v>
      </x:c>
      <x:c r="H7" s="7" t="n">
        <x:v>181</x:v>
      </x:c>
      <x:c r="I7" s="7" t="n">
        <x:v>204.6</x:v>
      </x:c>
      <x:c r="J7" s="6" t="n">
        <x:f>I7*(I7/H7)</x:f>
        <x:v>231.2771270718232</x:v>
      </x:c>
      <x:c r="K7" s="7" t="n">
        <x:v>34.8</x:v>
      </x:c>
      <x:c r="L7" s="7" t="n">
        <x:v>23.9</x:v>
      </x:c>
      <x:c r="M7" s="7" t="n">
        <x:v>29.9</x:v>
      </x:c>
      <x:c r="N7" s="1" t="str">
        <x:v>S3 / S13</x:v>
      </x:c>
      <x:c r="O7" s="1" t="str">
        <x:v>P2</x:v>
      </x:c>
      <x:c r="P7" s="2" t="str">
        <x:v>FY27-28 public consensus; FY29 extrapolated, replace with house EPS when available</x:v>
      </x:c>
      <x:c r="Q7" s="1"/>
    </x:row>
    <x:row r="8" ht="45" customHeight="1">
      <x:c r="A8" s="1" t="str">
        <x:v>Abbott India</x:v>
      </x:c>
      <x:c r="B8" s="1" t="str">
        <x:v>MNC</x:v>
      </x:c>
      <x:c r="C8" s="7" t="n">
        <x:v>25515</x:v>
      </x:c>
      <x:c r="D8" s="7" t="n">
        <x:v>446.78117647058826</x:v>
      </x:c>
      <x:c r="E8" s="7" t="n">
        <x:v>565.28</x:v>
      </x:c>
      <x:c r="F8" s="7" t="n">
        <x:v>665.62</x:v>
      </x:c>
      <x:c r="G8" s="7" t="n">
        <x:v>730.36</x:v>
      </x:c>
      <x:c r="H8" s="7" t="n">
        <x:v>802.0776845002893</x:v>
      </x:c>
      <x:c r="I8" s="7" t="n">
        <x:v>856.9255972565854</x:v>
      </x:c>
      <x:c r="J8" s="7" t="n">
        <x:v>936.7298979161351</x:v>
      </x:c>
      <x:c r="K8" s="7" t="n">
        <x:v>47.7</x:v>
      </x:c>
      <x:c r="L8" s="7" t="n">
        <x:v>46.2</x:v>
      </x:c>
      <x:c r="M8" s="7" t="n">
        <x:v>35.5</x:v>
      </x:c>
      <x:c r="N8" s="1" t="str">
        <x:v>S2 / S12</x:v>
      </x:c>
      <x:c r="O8" s="1" t="str">
        <x:v>P3</x:v>
      </x:c>
      <x:c r="P8" s="2" t="str">
        <x:v>Latest uploaded Abbott_Revenue_Model.xlsx P&amp;L</x:v>
      </x:c>
      <x:c r="Q8" s="1"/>
    </x:row>
    <x:row r="9" ht="45" customHeight="1">
      <x:c r="A9" s="1" t="str">
        <x:v>Sun Pharma</x:v>
      </x:c>
      <x:c r="B9" s="1" t="str">
        <x:v>Indian peer</x:v>
      </x:c>
      <x:c r="C9" s="7" t="n">
        <x:v>1751.2</x:v>
      </x:c>
      <x:c r="D9" s="7" t="n">
        <x:v>35.3</x:v>
      </x:c>
      <x:c r="E9" s="7" t="n">
        <x:v>39.9</x:v>
      </x:c>
      <x:c r="F9" s="7" t="n">
        <x:v>45.6</x:v>
      </x:c>
      <x:c r="G9" s="7" t="n">
        <x:v>47.8</x:v>
      </x:c>
      <x:c r="H9" s="7" t="n">
        <x:v>53.86</x:v>
      </x:c>
      <x:c r="I9" s="7" t="n">
        <x:v>64.12</x:v>
      </x:c>
      <x:c r="J9" s="7" t="n">
        <x:v>74.24</x:v>
      </x:c>
      <x:c r="K9" s="7" t="n">
        <x:v>40.6</x:v>
      </x:c>
      <x:c r="L9" s="7" t="n">
        <x:v>38</x:v>
      </x:c>
      <x:c r="M9" s="7" t="n">
        <x:v>36.8</x:v>
      </x:c>
      <x:c r="N9" s="1" t="str">
        <x:v>S4</x:v>
      </x:c>
      <x:c r="O9" s="1" t="str">
        <x:v>P4</x:v>
      </x:c>
      <x:c r="P9" s="2" t="str">
        <x:v>Reported history; public consensus FY27-29</x:v>
      </x:c>
      <x:c r="Q9" s="1"/>
    </x:row>
    <x:row r="10" ht="45" customHeight="1">
      <x:c r="A10" s="1" t="str">
        <x:v>Cipla</x:v>
      </x:c>
      <x:c r="B10" s="1" t="str">
        <x:v>Indian peer</x:v>
      </x:c>
      <x:c r="C10" s="7" t="n">
        <x:v>1350</x:v>
      </x:c>
      <x:c r="D10" s="7" t="n">
        <x:v>34.69</x:v>
      </x:c>
      <x:c r="E10" s="7" t="n">
        <x:v>51.01</x:v>
      </x:c>
      <x:c r="F10" s="7" t="n">
        <x:v>65.24</x:v>
      </x:c>
      <x:c r="G10" s="7" t="n">
        <x:v>48</x:v>
      </x:c>
      <x:c r="H10" s="7" t="n">
        <x:v>51.27</x:v>
      </x:c>
      <x:c r="I10" s="7" t="n">
        <x:v>63.73</x:v>
      </x:c>
      <x:c r="J10" s="7" t="n">
        <x:v>72.02</x:v>
      </x:c>
      <x:c r="K10" s="7" t="n">
        <x:v>29.3</x:v>
      </x:c>
      <x:c r="L10" s="7" t="n">
        <x:v>22.1</x:v>
      </x:c>
      <x:c r="M10" s="7" t="n">
        <x:v>25.5</x:v>
      </x:c>
      <x:c r="N10" s="1" t="str">
        <x:v>S5</x:v>
      </x:c>
      <x:c r="O10" s="1" t="str">
        <x:v>P4</x:v>
      </x:c>
      <x:c r="P10" s="2" t="str">
        <x:v>Reported history; public consensus FY27-29</x:v>
      </x:c>
      <x:c r="Q10" s="1"/>
    </x:row>
    <x:row r="11" ht="45" customHeight="1">
      <x:c r="A11" s="1" t="str">
        <x:v>Torrent Pharma</x:v>
      </x:c>
      <x:c r="B11" s="1" t="str">
        <x:v>Indian peer</x:v>
      </x:c>
      <x:c r="C11" s="7" t="n">
        <x:v>4605.6</x:v>
      </x:c>
      <x:c r="D11" s="7" t="n">
        <x:v>26.79</x:v>
      </x:c>
      <x:c r="E11" s="7" t="n">
        <x:v>48.94</x:v>
      </x:c>
      <x:c r="F11" s="7" t="n">
        <x:v>56.47</x:v>
      </x:c>
      <x:c r="G11" s="7" t="n">
        <x:v>63.92</x:v>
      </x:c>
      <x:c r="H11" s="7" t="n">
        <x:v>65.1</x:v>
      </x:c>
      <x:c r="I11" s="7" t="n">
        <x:v>89.9</x:v>
      </x:c>
      <x:c r="J11" s="7" t="n">
        <x:v>114</x:v>
      </x:c>
      <x:c r="K11" s="7" t="n">
        <x:v>53.1</x:v>
      </x:c>
      <x:c r="L11" s="7" t="n">
        <x:v>57.3</x:v>
      </x:c>
      <x:c r="M11" s="7" t="n">
        <x:v>66</x:v>
      </x:c>
      <x:c r="N11" s="1" t="str">
        <x:v>S6 / S7</x:v>
      </x:c>
      <x:c r="O11" s="1" t="str">
        <x:v>P5</x:v>
      </x:c>
      <x:c r="P11" s="2" t="str">
        <x:v>FY23 EPS restated; acquisition dilution means EPS and PAT growth differ</x:v>
      </x:c>
      <x:c r="Q11" s="1"/>
    </x:row>
    <x:row r="12" ht="45" customHeight="1">
      <x:c r="A12" s="1" t="str">
        <x:v>Alkem</x:v>
      </x:c>
      <x:c r="B12" s="1" t="str">
        <x:v>Indian peer</x:v>
      </x:c>
      <x:c r="C12" s="7" t="n">
        <x:v>5078</x:v>
      </x:c>
      <x:c r="D12" s="7" t="n">
        <x:v>82.31</x:v>
      </x:c>
      <x:c r="E12" s="7" t="n">
        <x:v>150.2</x:v>
      </x:c>
      <x:c r="F12" s="7" t="n">
        <x:v>181.1</x:v>
      </x:c>
      <x:c r="G12" s="7" t="n">
        <x:v>192.5</x:v>
      </x:c>
      <x:c r="H12" s="7" t="n">
        <x:v>192</x:v>
      </x:c>
      <x:c r="I12" s="7" t="n">
        <x:v>221</x:v>
      </x:c>
      <x:c r="J12" s="7" t="n">
        <x:v>256.1</x:v>
      </x:c>
      <x:c r="K12" s="7" t="n">
        <x:v>32.9</x:v>
      </x:c>
      <x:c r="L12" s="7" t="n">
        <x:v>27</x:v>
      </x:c>
      <x:c r="M12" s="7" t="n">
        <x:v>27.5</x:v>
      </x:c>
      <x:c r="N12" s="1" t="str">
        <x:v>S8</x:v>
      </x:c>
      <x:c r="O12" s="1" t="str">
        <x:v>P6</x:v>
      </x:c>
      <x:c r="P12" s="2" t="str">
        <x:v>FY27 EPS slightly contracts; annual PEG is NM</x:v>
      </x:c>
      <x:c r="Q12" s="1"/>
    </x:row>
    <x:row r="13" ht="45" customHeight="1">
      <x:c r="A13" s="1" t="str">
        <x:v>Mankind</x:v>
      </x:c>
      <x:c r="B13" s="1" t="str">
        <x:v>Indian peer</x:v>
      </x:c>
      <x:c r="C13" s="7" t="n">
        <x:v>2502.5</x:v>
      </x:c>
      <x:c r="D13" s="7" t="n">
        <x:v>32</x:v>
      </x:c>
      <x:c r="E13" s="7" t="n">
        <x:v>47.68</x:v>
      </x:c>
      <x:c r="F13" s="7" t="n">
        <x:v>49.2</x:v>
      </x:c>
      <x:c r="G13" s="7" t="n">
        <x:v>46.28</x:v>
      </x:c>
      <x:c r="H13" s="7" t="n">
        <x:v>58.74</x:v>
      </x:c>
      <x:c r="I13" s="7" t="n">
        <x:v>72.24</x:v>
      </x:c>
      <x:c r="J13" s="7" t="n">
        <x:v>87.03</x:v>
      </x:c>
      <x:c r="K13" s="7" t="n">
        <x:v>48.3</x:v>
      </x:c>
      <x:c r="L13" s="7" t="n">
        <x:v>49.3</x:v>
      </x:c>
      <x:c r="M13" s="7" t="n">
        <x:v>43.3</x:v>
      </x:c>
      <x:c r="N13" s="1" t="str">
        <x:v>S9 / S10</x:v>
      </x:c>
      <x:c r="O13" s="1" t="str">
        <x:v>P4</x:v>
      </x:c>
      <x:c r="P13" s="2" t="str">
        <x:v>Consolidated reported / public consensus, affected by acquisition accounting</x:v>
      </x:c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80" hidden="0" customWidth="1"/>
    <x:col min="5" max="5" width="80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2" t="str">
        <x:v>Method and source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65" customHeight="1">
      <x:c r="A3" s="2" t="str">
        <x:v>Recommendation</x:v>
      </x:c>
      <x:c r="B3" s="2" t="str">
        <x:v>Use the CAGR-based forward PEG as the main valuation exhibit. The annual PEG time series is context and is very sensitive to low annual growth.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65" customHeight="1">
      <x:c r="A4" s="2" t="str">
        <x:v>Meaning</x:v>
      </x:c>
      <x:c r="B4" s="2" t="str">
        <x:v>PEG = P/E divided by EPS growth expressed as a whole percentage number. 30x PE / 15% growth = 2.0x PEG. Lower is cheaper; 1x is not a universal fair-value threshold.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65" customHeight="1">
      <x:c r="A5" s="2" t="str">
        <x:v>Six-year line</x:v>
      </x:c>
      <x:c r="B5" s="2" t="str">
        <x:v>FY24A to FY26A historical fiscal-year P/E divided by realized EPS YoY growth; FY27E to FY29E current fixed price / forecast EPS divided by annual forecast EPS growth. Not a historical series of forward-consensus PEG snapshots.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65" customHeight="1">
      <x:c r="A6" s="2" t="str">
        <x:v>Preferred forward metric</x:v>
      </x:c>
      <x:c r="B6" s="2" t="str">
        <x:v>FY27E PE divided by FY26-29E EPS CAGR in percentage points. FY28E PE sensitivity uses the same CAGR denominator. No future share-price assumption.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65" customHeight="1">
      <x:c r="A7" s="2" t="str">
        <x:v>Peer basket</x:v>
      </x:c>
      <x:c r="B7" s="2" t="str">
        <x:v>Sun, Cipla, Torrent, Alkem, Mankind. Median of valid individual PEGs; not median PE divided by median growth. These listed businesses have overseas exposure and are not the unlisted IPM.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65" customHeight="1">
      <x:c r="A8" s="2" t="str">
        <x:v>House model basis</x:v>
      </x:c>
      <x:c r="B8" s="2" t="str">
        <x:v>GSK EPS: Profit_Loss row39 in uploaded model. Abbott: latest uploaded Abbott_Revenue_Model.xlsx P&amp;L row31; FY23 baseline from older three-statement file. No original workbook changed.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65" customHeight="1">
      <x:c r="A9" s="2" t="str">
        <x:v>Pfizer limitation</x:v>
      </x:c>
      <x:c r="B9" s="2" t="str">
        <x:v>Available Pfizer workbook has revenue forecasts and no EPS/P&amp;L. FY27-28 uses public consensus; FY29 extrapolates FY28/FY27 growth. Replace with your house EPS before publishing as a house valuation exhibit.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65" customHeight="1">
      <x:c r="A10" s="2" t="str">
        <x:v>Valuation date and vintage</x:v>
      </x:c>
      <x:c r="B10" s="2" t="str">
        <x:v>Price numerators are explicitly sourced 27-Oct-2026 closes (NSE except GSK and Torrent BSE). Public consensus retrieved 28-Oct-2026; vendor caches can have differing update dates. Refresh from one terminal snapshot before publication.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65" customHeight="1">
      <x:c r="A11" s="2" t="str">
        <x:v>Accounting basis</x:v>
      </x:c>
      <x:c r="B11" s="2" t="str">
        <x:v>Historical PE is provider-reported, while GSK/Abbott EPS uses model values. Slight scope/basis differences can remain. All earnings are reported or consensus; no full exceptional-item adjustment has been made.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65" customHeight="1">
      <x:c r="A12" s="2" t="str">
        <x:v>Distortions to review</x:v>
      </x:c>
      <x:c r="B12" s="2" t="str">
        <x:v>GSK FY24-25 exceptional effects, Pfizer FY25-26 non-operating/one-off effects, and acquisition accounting/dilution at Torrent and Mankind. EPS growth differs from revenue, EBITDA and PAT growth.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65" customHeight="1">
      <x:c r="A13" s="2" t="str">
        <x:v>Undefined values</x:v>
      </x:c>
      <x:c r="B13" s="2" t="str">
        <x:v>Non-positive EPS or non-positive growth =&gt; NM. NA() is used only in the chart range to suppress undefined points. The peer median ignores NM and its sample count is shown. No negative PEG is presented as cheap.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65" customHeight="1">
      <x:c r="A14" s="2" t="str">
        <x:v>Model conclusion</x:v>
      </x:c>
      <x:c r="B14" s="2" t="str">
        <x:v>Public-data comparison is provisional. PEG alone does not capture ROE, cash/dividends, risk or duration. Do not force a uniform MNC premium or imply high PEG justifies high PE.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0" customHeight="1">
      <x:c r="A17" s="5" t="str">
        <x:v>ID</x:v>
      </x:c>
      <x:c r="B17" s="5" t="str">
        <x:v>Source</x:v>
      </x:c>
      <x:c r="C17" s="5" t="str">
        <x:v>Fields</x:v>
      </x:c>
      <x:c r="D17" s="5" t="str">
        <x:v>File / URL</x:v>
      </x:c>
      <x:c r="E17" s="5" t="str">
        <x:v>Use and caveat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65" customHeight="1">
      <x:c r="A18" s="2" t="str">
        <x:v>S1</x:v>
      </x:c>
      <x:c r="B18" s="2" t="str">
        <x:v>GSK uploaded model</x:v>
      </x:c>
      <x:c r="C18" s="2" t="str">
        <x:v>Product-level revenue, Profit_Loss diluted EPS</x:v>
      </x:c>
      <x:c r="D18" s="2" t="str">
        <x:v>GSK_India_Three_Statement_Model_FINAL_Split_Quarterly_QC.xlsx</x:v>
      </x:c>
      <x:c r="E18" s="2" t="str">
        <x:v>Profit_Loss!B39:E39,J39,O39,P39; version uploaded 15 Sep 2026; actual/forecast split FY26/FY27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65" customHeight="1">
      <x:c r="A19" s="2" t="str">
        <x:v>S2</x:v>
      </x:c>
      <x:c r="B19" s="2" t="str">
        <x:v>Abbott uploaded model</x:v>
      </x:c>
      <x:c r="C19" s="2" t="str">
        <x:v>Latest uploaded revenue workbook with P&amp;L</x:v>
      </x:c>
      <x:c r="D19" s="2" t="str">
        <x:v>Abbott_Revenue_Model.xlsx</x:v>
      </x:c>
      <x:c r="E19" s="2" t="str">
        <x:v>P&amp;L!D31:F31,K31,P31,Q31. FY23 EPS from Abbott_India_Three_Statement_Model_FY22_FY35.xlsx P&amp;L!E27. Do not substitute older generated forecasts.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65" customHeight="1">
      <x:c r="A20" s="2" t="str">
        <x:v>S3</x:v>
      </x:c>
      <x:c r="B20" s="2" t="str">
        <x:v>Pfizer public data</x:v>
      </x:c>
      <x:c r="C20" s="2" t="str">
        <x:v>Reported EPS FY23-26, consensus FY27-28</x:v>
      </x:c>
      <x:c r="D20" s="2" t="str">
        <x:v>https://in.marketscreener.com/quote/stock/PFIZER-LIMITED-9058943/finances/</x:v>
      </x:c>
      <x:c r="E20" s="2" t="str">
        <x:v>FY29 is analyst extrapolation of FY28/FY27 EPS growth, not consensus or a house-model EPS output.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65" customHeight="1">
      <x:c r="A21" s="2" t="str">
        <x:v>S4</x:v>
      </x:c>
      <x:c r="B21" s="2" t="str">
        <x:v>Sun public data</x:v>
      </x:c>
      <x:c r="C21" s="2" t="str">
        <x:v>EPS FY23-29, historical P/E</x:v>
      </x:c>
      <x:c r="D21" s="2" t="str">
        <x:v>https://www.marketscreener.com/quote/stock/SUN-PHARMACEUTICAL-INDUST-9058928/valuation/</x:v>
      </x:c>
      <x:c r="E21" s="2" t="str">
        <x:v>EPS 35.3,39.9,45.6,47.8,53.86,64.12,74.24; historical PE40.6,38,36.8.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65" customHeight="1">
      <x:c r="A22" s="2" t="str">
        <x:v>S5</x:v>
      </x:c>
      <x:c r="B22" s="2" t="str">
        <x:v>Cipla public data</x:v>
      </x:c>
      <x:c r="C22" s="2" t="str">
        <x:v>EPS FY23-29, historical P/E</x:v>
      </x:c>
      <x:c r="D22" s="2" t="str">
        <x:v>https://in.marketscreener.com/quote/stock/CIPLA-LIMITED-9058821/valuation/</x:v>
      </x:c>
      <x:c r="E22" s="2" t="str">
        <x:v>EPS 34.69,51.01,65.24,48,51.27,63.73,72.02; historical PE29.3,22.1,25.5.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65" customHeight="1">
      <x:c r="A23" s="2" t="str">
        <x:v>S6</x:v>
      </x:c>
      <x:c r="B23" s="2" t="str">
        <x:v>Torrent public data</x:v>
      </x:c>
      <x:c r="C23" s="2" t="str">
        <x:v>Reported EPS FY23-26 and consensus FY27-29</x:v>
      </x:c>
      <x:c r="D23" s="2" t="str">
        <x:v>https://in.marketscreener.com/quote/stock/TORRENT-PHARMACEUTICALS-L-6493365/calendar/</x:v>
      </x:c>
      <x:c r="E23" s="2" t="str">
        <x:v>EPS forecast used65.1,89.9,114, from retrieved calendar snapshot. Shares change after acquisition. EPS growth differs from PAT growth.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65" customHeight="1">
      <x:c r="A24" s="2" t="str">
        <x:v>S7</x:v>
      </x:c>
      <x:c r="B24" s="2" t="str">
        <x:v>Torrent historical valuation</x:v>
      </x:c>
      <x:c r="C24" s="2" t="str">
        <x:v>P/E FY24-26 and restated EPS FY23</x:v>
      </x:c>
      <x:c r="D24" s="2" t="str">
        <x:v>https://www.marketscreener.com/quote/stock/TORRENT-PHARMACEUTICALS-L-6493365/valuation/</x:v>
      </x:c>
      <x:c r="E24" s="2" t="str">
        <x:v>FY23 restated EPS26.79, not older36.79; FY24 EPS48.94; historical PE53.1,57.3,66. Restatement affects YoY growth.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65" customHeight="1">
      <x:c r="A25" s="2" t="str">
        <x:v>S8</x:v>
      </x:c>
      <x:c r="B25" s="2" t="str">
        <x:v>Alkem public data</x:v>
      </x:c>
      <x:c r="C25" s="2" t="str">
        <x:v>EPS FY23-29 and historical P/E</x:v>
      </x:c>
      <x:c r="D25" s="2" t="str">
        <x:v>https://in.marketscreener.com/quote/stock/ALKEM-LABORATORIES-LIMITE-25531345/finances/</x:v>
      </x:c>
      <x:c r="E25" s="2" t="str">
        <x:v>EPS82.31,150.2,181.1,192.5,192,221,256.1. Historical PE32.9,27,27.5 from valuation page. FY27 negative EPS growth =&gt; NM PEG.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65" customHeight="1">
      <x:c r="A26" s="2" t="str">
        <x:v>S9</x:v>
      </x:c>
      <x:c r="B26" s="2" t="str">
        <x:v>Mankind public data</x:v>
      </x:c>
      <x:c r="C26" s="2" t="str">
        <x:v>EPS FY24-29 and historical P/E</x:v>
      </x:c>
      <x:c r="D26" s="2" t="str">
        <x:v>https://www.marketscreener.com/quote/stock/MANKIND-PHARMA-LIMITED-154280476/valuation/</x:v>
      </x:c>
      <x:c r="E26" s="2" t="str">
        <x:v>EPS47.68,49.2,46.28,58.74,72.24,87.03; historical PE48.3,49.3,43.3.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65" customHeight="1">
      <x:c r="A27" s="2" t="str">
        <x:v>S10</x:v>
      </x:c>
      <x:c r="B27" s="2" t="str">
        <x:v>Mankind FY23 EPS</x:v>
      </x:c>
      <x:c r="C27" s="2" t="str">
        <x:v>EPS FY23 supporting baseline</x:v>
      </x:c>
      <x:c r="D27" s="2" t="str">
        <x:v>https://www.screener.in/company/MANKIND/consolidated/</x:v>
      </x:c>
      <x:c r="E27" s="2" t="str">
        <x:v>FY23 EPS32.00. Later period restatements differ across vendors; use a consistent source snapshot and refresh before publication.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65" customHeight="1">
      <x:c r="A28" s="2" t="str">
        <x:v>S11</x:v>
      </x:c>
      <x:c r="B28" s="2" t="str">
        <x:v>GSK historical valuation</x:v>
      </x:c>
      <x:c r="C28" s="2" t="str">
        <x:v>Historical P/E FY24-26</x:v>
      </x:c>
      <x:c r="D28" s="2" t="str">
        <x:v>https://in.marketscreener.com/quote/stock/GLAXOSMITHKLINE-PHARMACEU-6491915/valuation/</x:v>
      </x:c>
      <x:c r="E28" s="2" t="str">
        <x:v>55.8,52.5,37.3. Historical vendor P/E uses provider accounting basis; model EPS basis can differ slightly.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65" customHeight="1">
      <x:c r="A29" s="2" t="str">
        <x:v>S12</x:v>
      </x:c>
      <x:c r="B29" s="2" t="str">
        <x:v>Abbott historical valuation</x:v>
      </x:c>
      <x:c r="C29" s="2" t="str">
        <x:v>Historical P/E FY24-26</x:v>
      </x:c>
      <x:c r="D29" s="2" t="str">
        <x:v>https://in.marketscreener.com/quote/stock/ABBOTT-INDIA-LIMITED-46728677/valuation/</x:v>
      </x:c>
      <x:c r="E29" s="2" t="str">
        <x:v>47.7,46.2,35.5.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65" customHeight="1">
      <x:c r="A30" s="2" t="str">
        <x:v>S13</x:v>
      </x:c>
      <x:c r="B30" s="2" t="str">
        <x:v>Pfizer historical valuation</x:v>
      </x:c>
      <x:c r="C30" s="2" t="str">
        <x:v>Historical P/E FY24-26</x:v>
      </x:c>
      <x:c r="D30" s="2" t="str">
        <x:v>https://in.marketscreener.com/quote/stock/PFIZER-LIMITED-9058943/valuation/</x:v>
      </x:c>
      <x:c r="E30" s="2" t="str">
        <x:v>34.8,23.9,29.9.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65" customHeight="1">
      <x:c r="A31" s="2" t="str">
        <x:v>P1</x:v>
      </x:c>
      <x:c r="B31" s="2" t="str">
        <x:v>GSK price</x:v>
      </x:c>
      <x:c r="C31" s="2" t="str">
        <x:v>27 Oct 2026 BSE close</x:v>
      </x:c>
      <x:c r="D31" s="2" t="str">
        <x:v>https://in.investing.com/equities/gsk-pharmaceuticals-historical-data?cid=39478</x:v>
      </x:c>
      <x:c r="E31" s="2" t="str">
        <x:v>2488.75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65" customHeight="1">
      <x:c r="A32" s="2" t="str">
        <x:v>P2</x:v>
      </x:c>
      <x:c r="B32" s="2" t="str">
        <x:v>Pfizer price</x:v>
      </x:c>
      <x:c r="C32" s="2" t="str">
        <x:v>27 Oct 2026 NSE close</x:v>
      </x:c>
      <x:c r="D32" s="2" t="str">
        <x:v>https://www.investing.com/equities/pfizer-ltd-historical-data</x:v>
      </x:c>
      <x:c r="E32" s="2" t="str">
        <x:v>3709.80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65" customHeight="1">
      <x:c r="A33" s="2" t="str">
        <x:v>P3</x:v>
      </x:c>
      <x:c r="B33" s="2" t="str">
        <x:v>Abbott price</x:v>
      </x:c>
      <x:c r="C33" s="2" t="str">
        <x:v>27 Oct 2026 NSE quoted close</x:v>
      </x:c>
      <x:c r="D33" s="2" t="str">
        <x:v>https://www.business-standard.com/markets/abbott-india-ltd-share-price-90.html</x:v>
      </x:c>
      <x:c r="E33" s="2" t="str">
        <x:v>25515.00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65" customHeight="1">
      <x:c r="A34" s="2" t="str">
        <x:v>P4</x:v>
      </x:c>
      <x:c r="B34" s="2" t="str">
        <x:v>Sun Cipla Mankind prices</x:v>
      </x:c>
      <x:c r="C34" s="2" t="str">
        <x:v>27 Oct 2026 NSE close</x:v>
      </x:c>
      <x:c r="D34" s="2" t="str">
        <x:v>https://www.sectoralpha.in/sectors/pharma-stocks-india</x:v>
      </x:c>
      <x:c r="E34" s="2" t="str">
        <x:v>Sun1751.20;Cipla1350.00;Mankind2502.50. Public source snapshot.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65" customHeight="1">
      <x:c r="A35" s="2" t="str">
        <x:v>P5</x:v>
      </x:c>
      <x:c r="B35" s="2" t="str">
        <x:v>Torrent price</x:v>
      </x:c>
      <x:c r="C35" s="2" t="str">
        <x:v>27 Oct 2026 BSE close</x:v>
      </x:c>
      <x:c r="D35" s="2" t="str">
        <x:v>https://www.marketscreener.com/quote/stock/TORRENT-PHARMACEUTICALS-L-6493365/valuation/</x:v>
      </x:c>
      <x:c r="E35" s="2" t="str">
        <x:v>4605.60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65" customHeight="1">
      <x:c r="A36" s="2" t="str">
        <x:v>P6</x:v>
      </x:c>
      <x:c r="B36" s="2" t="str">
        <x:v>Alkem price</x:v>
      </x:c>
      <x:c r="C36" s="2" t="str">
        <x:v>27 Oct 2026 NSE close</x:v>
      </x:c>
      <x:c r="D36" s="2" t="str">
        <x:v>https://www.goodreturns.in/company/alkem-laboratories/nse-price-history-12540464.html</x:v>
      </x:c>
      <x:c r="E36" s="2" t="str">
        <x:v>5078.00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65" customHeight="1">
      <x:c r="A37" s="2"/>
      <x:c r="B37" s="2"/>
      <x:c r="C37" s="2"/>
      <x:c r="D37" s="2"/>
      <x:c r="E37" s="2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65" customHeight="1">
      <x:c r="A38" s="2"/>
      <x:c r="B38" s="2"/>
      <x:c r="C38" s="2"/>
      <x:c r="D38" s="2"/>
      <x:c r="E38" s="2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65" customHeight="1">
      <x:c r="A39" s="2"/>
      <x:c r="B39" s="2"/>
      <x:c r="C39" s="2"/>
      <x:c r="D39" s="2"/>
      <x:c r="E39" s="2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65" customHeight="1">
      <x:c r="A40" s="2"/>
      <x:c r="B40" s="2"/>
      <x:c r="C40" s="2"/>
      <x:c r="D40" s="2"/>
      <x:c r="E40" s="2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</x:sheetData>
  <x:mergeCells>
    <x:mergeCell ref="A1:Q1"/>
  </x:mergeCells>
  <x:pageMargins left="0.7" right="0.7" top="0.75" bottom="0.75" header="0.3" footer="0.3"/>
</x:worksheet>
</file>