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b48bd65f1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vity" sheetId="1" r:id="R70085d7a60fc450c"/>
    <x:sheet xmlns:r="http://schemas.openxmlformats.org/officeDocument/2006/relationships" name="MR pay" sheetId="2" r:id="R2b633f44eba94aeb"/>
    <x:sheet xmlns:r="http://schemas.openxmlformats.org/officeDocument/2006/relationships" name="Sources" sheetId="3" r:id="R50e0a0344888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"/>
    <x:numFmt numFmtId="202" formatCode="0.00"/>
    <x:numFmt numFmtId="203" formatCode="0.0%"/>
    <x:numFmt numFmtId="204" formatCode="0.00&quot;x&quot;"/>
    <x:numFmt numFmtId="205" formatCode="0.000"/>
    <x:numFmt numFmtId="206" formatCode="0.0&quot;x&quot;"/>
  </x:numFmts>
  <x:fonts count="4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54fdc55d5471c" /><Relationship Type="http://schemas.openxmlformats.org/officeDocument/2006/relationships/theme" Target="/xl/theme/theme1.xml" Id="Rc90da957f1e64bc8" /><Relationship Type="http://schemas.openxmlformats.org/officeDocument/2006/relationships/sharedStrings" Target="/xl/sharedStrings.xml" Id="Rdc3af55365904eef" /><Relationship Type="http://schemas.openxmlformats.org/officeDocument/2006/relationships/worksheet" Target="/xl/worksheets/sheet1.xml" Id="R70085d7a60fc450c" /><Relationship Type="http://schemas.openxmlformats.org/officeDocument/2006/relationships/worksheet" Target="/xl/worksheets/sheet2.xml" Id="R2b633f44eba94aeb" /><Relationship Type="http://schemas.openxmlformats.org/officeDocument/2006/relationships/worksheet" Target="/xl/worksheets/sheet3.xml" Id="R50e0a034488847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29dfac81ab437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6db595b252849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Estimated monthly sales per MR / field employee (₹ lakh)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Monthly sales / person (₹ lakh)</c:v>
          </c:tx>
          <c:spPr>
            <a:solidFill xmlns:a="http://schemas.openxmlformats.org/drawingml/2006/main">
              <a:srgbClr val="777777"/>
            </a:solidFill>
          </c:spPr>
          <c:invertIfNegative val="0"/>
          <c:cat>
            <c:strRef>
              <c:f>'Productivity'!$A$62:$A$68</c:f>
              <c:strCache>
                <c:ptCount val="0"/>
              </c:strCache>
            </c:strRef>
          </c:cat>
          <c:val>
            <c:numRef>
              <c:f>'Productivity'!$B$62:$B$68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Assumed annual MR CTC (₹ lakh), 1.5× factor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Assumed CTC (₹ lakh/year)</c:v>
          </c:tx>
          <c:spPr>
            <a:solidFill xmlns:a="http://schemas.openxmlformats.org/drawingml/2006/main">
              <a:srgbClr val="777777"/>
            </a:solidFill>
          </c:spPr>
          <c:invertIfNegative val="0"/>
          <c:cat>
            <c:strRef>
              <c:f>'MR pay'!$A$33:$A$39</c:f>
              <c:strCache>
                <c:ptCount val="0"/>
              </c:strCache>
            </c:strRef>
          </c:cat>
          <c:val>
            <c:numRef>
              <c:f>'MR pay'!$B$33:$B$39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70</xdr:row>
      <xdr:rowOff>0</xdr:rowOff>
    </xdr:from>
    <xdr:to>
      <xdr:col>10</xdr:col>
      <xdr:colOff>0</xdr:colOff>
      <xdr:row>88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29dfac81ab437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41</xdr:row>
      <xdr:rowOff>0</xdr:rowOff>
    </xdr:from>
    <xdr:to>
      <xdr:col>10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db595b252849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fb011fe4ef4c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e8f84334d144e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4" hidden="0" customWidth="1"/>
    <x:col min="4" max="4" width="24" hidden="0" customWidth="1"/>
    <x:col min="5" max="5" width="25" hidden="0" customWidth="1"/>
    <x:col min="6" max="6" width="25" hidden="0" customWidth="1"/>
    <x:col min="7" max="7" width="24" hidden="0" customWidth="1"/>
    <x:col min="8" max="8" width="25" hidden="0" customWidth="1"/>
    <x:col min="9" max="9" width="22" hidden="0" customWidth="1"/>
    <x:col min="10" max="10" width="23" hidden="0" customWidth="1"/>
    <x:col min="11" max="11" width="21" hidden="0" customWidth="1"/>
    <x:col min="12" max="12" width="57" hidden="0" customWidth="1"/>
    <x:col min="13" max="13" width="21" hidden="0" customWidth="1"/>
    <x:col min="14" max="14" width="65" hidden="0" customWidth="1"/>
    <x:col min="15" max="15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3" t="str">
        <x:v>India MR / field-force productivity estimates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 t="str">
        <x:v>FY26, except Sanofi CY25. Sales per person uses estimated annual-average company field force. As of 19 October 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 t="str">
        <x:v>All seven companies have numeric base estimates. Input assumptions and headcount sensitivities are shown below.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6" customHeight="1">
      <x:c r="A6" s="7" t="str">
        <x:v>Company</x:v>
      </x:c>
      <x:c r="B6" s="7" t="str">
        <x:v>Period</x:v>
      </x:c>
      <x:c r="C6" s="7" t="str">
        <x:v>Sales used
(₹ cr)</x:v>
      </x:c>
      <x:c r="D6" s="7" t="str">
        <x:v>Average field
force estimate</x:v>
      </x:c>
      <x:c r="E6" s="7" t="str">
        <x:v>Count basis</x:v>
      </x:c>
      <x:c r="F6" s="7" t="str">
        <x:v>Sales scope</x:v>
      </x:c>
      <x:c r="G6" s="7" t="str">
        <x:v>Annual sales / person
(₹ lakh)</x:v>
      </x:c>
      <x:c r="H6" s="7" t="str">
        <x:v>Monthly sales / person
(₹ lakh)</x:v>
      </x:c>
      <x:c r="I6" s="7" t="str">
        <x:v>Monthly low
(₹ lakh)</x:v>
      </x:c>
      <x:c r="J6" s="7" t="str">
        <x:v>Monthly high
(₹ lakh)</x:v>
      </x:c>
      <x:c r="K6" s="7" t="str">
        <x:v>Sources</x:v>
      </x:c>
      <x:c r="L6" s="7" t="str">
        <x:v>Interpretation</x:v>
      </x:c>
      <x:c r="M6" s="2"/>
      <x:c r="N6" s="2"/>
      <x:c r="O6" s="2"/>
    </x:row>
    <x:row r="7" ht="54" customHeight="1">
      <x:c r="A7" s="2" t="str">
        <x:v>GSK</x:v>
      </x:c>
      <x:c r="B7" s="2" t="str">
        <x:v>FY26</x:v>
      </x:c>
      <x:c r="C7" s="16" t="n">
        <x:f>E22</x:f>
        <x:v>3755.5109152715845</x:v>
      </x:c>
      <x:c r="D7" s="14" t="n">
        <x:f>K36</x:f>
        <x:v>2500</x:v>
      </x:c>
      <x:c r="E7" s="2" t="str">
        <x:v>Interview proxy</x:v>
      </x:c>
      <x:c r="F7" s="2" t="str">
        <x:v>India products est.</x:v>
      </x:c>
      <x:c r="G7" s="15" t="n">
        <x:f>C7*100/D7</x:f>
        <x:v>150.22043661086337</x:v>
      </x:c>
      <x:c r="H7" s="15" t="n">
        <x:f>G7/12</x:f>
        <x:v>12.518369717571948</x:v>
      </x:c>
      <x:c r="I7" s="15" t="n">
        <x:f>C7*100/M36/12</x:f>
        <x:v>11.38033610688359</x:v>
      </x:c>
      <x:c r="J7" s="15" t="n">
        <x:f>C7*100/L36/12</x:f>
        <x:v>13.909299686191055</x:v>
      </x:c>
      <x:c r="K7" s="2" t="str">
        <x:v>S01; S02</x:v>
      </x:c>
      <x:c r="L7" s="11" t="str">
        <x:v>2,500 is held flat as the average-force proxy; field managers may be included.</x:v>
      </x:c>
      <x:c r="M7" s="2"/>
      <x:c r="N7" s="2"/>
      <x:c r="O7" s="2"/>
    </x:row>
    <x:row r="8" ht="54" customHeight="1">
      <x:c r="A8" s="2" t="str">
        <x:v>Abbott India</x:v>
      </x:c>
      <x:c r="B8" s="2" t="str">
        <x:v>FY26</x:v>
      </x:c>
      <x:c r="C8" s="16" t="n">
        <x:f>E23</x:f>
        <x:v>6764.21</x:v>
      </x:c>
      <x:c r="D8" s="14" t="n">
        <x:f>K37</x:f>
        <x:v>3150</x:v>
      </x:c>
      <x:c r="E8" s="2" t="str">
        <x:v>Staff-scaled estimate</x:v>
      </x:c>
      <x:c r="F8" s="2" t="str">
        <x:v>India goods</x:v>
      </x:c>
      <x:c r="G8" s="15" t="n">
        <x:f>C8*100/D8</x:f>
        <x:v>214.7368253968254</x:v>
      </x:c>
      <x:c r="H8" s="15" t="n">
        <x:f>G8/12</x:f>
        <x:v>17.89473544973545</x:v>
      </x:c>
      <x:c r="I8" s="15" t="n">
        <x:f>C8*100/M37/12</x:f>
        <x:v>16.578946078431372</x:v>
      </x:c>
      <x:c r="J8" s="15" t="n">
        <x:f>C8*100/L37/12</x:f>
        <x:v>19.437385057471264</x:v>
      </x:c>
      <x:c r="K8" s="2" t="str">
        <x:v>S03; S04</x:v>
      </x:c>
      <x:c r="L8" s="11" t="str">
        <x:v>FY24 commercial share is applied to FY25/FY26 staff; distribution business can lift booked sales per field person.</x:v>
      </x:c>
      <x:c r="M8" s="2"/>
      <x:c r="N8" s="2"/>
      <x:c r="O8" s="2"/>
    </x:row>
    <x:row r="9" ht="54" customHeight="1">
      <x:c r="A9" s="2" t="str">
        <x:v>Pfizer Ltd</x:v>
      </x:c>
      <x:c r="B9" s="2" t="str">
        <x:v>FY26</x:v>
      </x:c>
      <x:c r="C9" s="16" t="n">
        <x:f>E24</x:f>
        <x:v>2286.2200837814776</x:v>
      </x:c>
      <x:c r="D9" s="14" t="n">
        <x:f>K38</x:f>
        <x:v>1100</x:v>
      </x:c>
      <x:c r="E9" s="2" t="str">
        <x:v>80% field-share est.</x:v>
      </x:c>
      <x:c r="F9" s="2" t="str">
        <x:v>India products est.</x:v>
      </x:c>
      <x:c r="G9" s="15" t="n">
        <x:f>C9*100/D9</x:f>
        <x:v>207.83818943467978</x:v>
      </x:c>
      <x:c r="H9" s="15" t="n">
        <x:f>G9/12</x:f>
        <x:v>17.319849119556647</x:v>
      </x:c>
      <x:c r="I9" s="15" t="n">
        <x:f>C9*100/M38/12</x:f>
        <x:v>14.655256947317163</x:v>
      </x:c>
      <x:c r="J9" s="15" t="n">
        <x:f>C9*100/L38/12</x:f>
        <x:v>21.168704479458125</x:v>
      </x:c>
      <x:c r="K9" s="2" t="str">
        <x:v>S05</x:v>
      </x:c>
      <x:c r="L9" s="11" t="str">
        <x:v>Uses average FY25/FY26 staff to capture restructuring. Partner-promoted sales remain in the numerator.</x:v>
      </x:c>
      <x:c r="M9" s="2"/>
      <x:c r="N9" s="2"/>
      <x:c r="O9" s="2"/>
    </x:row>
    <x:row r="10" ht="54" customHeight="1">
      <x:c r="A10" s="2" t="str">
        <x:v>AstraZeneca India</x:v>
      </x:c>
      <x:c r="B10" s="2" t="str">
        <x:v>FY26</x:v>
      </x:c>
      <x:c r="C10" s="16" t="n">
        <x:f>E25</x:f>
        <x:v>2155.02</x:v>
      </x:c>
      <x:c r="D10" s="14" t="n">
        <x:f>K39</x:f>
        <x:v>600</x:v>
      </x:c>
      <x:c r="E10" s="2" t="str">
        <x:v>540 anchor + growth</x:v>
      </x:c>
      <x:c r="F10" s="2" t="str">
        <x:v>Domestic products</x:v>
      </x:c>
      <x:c r="G10" s="15" t="n">
        <x:f>C10*100/D10</x:f>
        <x:v>359.17</x:v>
      </x:c>
      <x:c r="H10" s="15" t="n">
        <x:f>G10/12</x:f>
        <x:v>29.930833333333336</x:v>
      </x:c>
      <x:c r="I10" s="15" t="n">
        <x:f>C10*100/M39/12</x:f>
        <x:v>27.628461538461536</x:v>
      </x:c>
      <x:c r="J10" s="15" t="n">
        <x:f>C10*100/L39/12</x:f>
        <x:v>32.65181818181818</x:v>
      </x:c>
      <x:c r="K10" s="2" t="str">
        <x:v>S06; S07</x:v>
      </x:c>
      <x:c r="L10" s="11" t="str">
        <x:v>5% annual field-force growth assumed from FY24 anchor; current 760 total employees is a reasonableness check.</x:v>
      </x:c>
      <x:c r="M10" s="2"/>
      <x:c r="N10" s="2"/>
      <x:c r="O10" s="2"/>
    </x:row>
    <x:row r="11" ht="54" customHeight="1">
      <x:c r="A11" s="2" t="str">
        <x:v>Sanofi India</x:v>
      </x:c>
      <x:c r="B11" s="2" t="str">
        <x:v>CY25</x:v>
      </x:c>
      <x:c r="C11" s="16" t="n">
        <x:f>E26</x:f>
        <x:v>1504.819756177207</x:v>
      </x:c>
      <x:c r="D11" s="14" t="n">
        <x:f>K40</x:f>
        <x:v>650</x:v>
      </x:c>
      <x:c r="E11" s="2" t="str">
        <x:v>70% field-share est.</x:v>
      </x:c>
      <x:c r="F11" s="2" t="str">
        <x:v>India products est.</x:v>
      </x:c>
      <x:c r="G11" s="15" t="n">
        <x:f>C11*100/D11</x:f>
        <x:v>231.5107317195703</x:v>
      </x:c>
      <x:c r="H11" s="15" t="n">
        <x:f>G11/12</x:f>
        <x:v>19.292560976630856</x:v>
      </x:c>
      <x:c r="I11" s="15" t="n">
        <x:f>C11*100/M40/12</x:f>
        <x:v>16.720219513080078</x:v>
      </x:c>
      <x:c r="J11" s="15" t="n">
        <x:f>C11*100/L40/12</x:f>
        <x:v>22.800299336018284</x:v>
      </x:c>
      <x:c r="K11" s="2" t="str">
        <x:v>S09; S10</x:v>
      </x:c>
      <x:c r="L11" s="11" t="str">
        <x:v>Average CY24/CY25 employees × 70%. Sales promoted by Cipla/Emcure remain in company-booked revenue.</x:v>
      </x:c>
      <x:c r="M11" s="2"/>
      <x:c r="N11" s="2"/>
      <x:c r="O11" s="2"/>
    </x:row>
    <x:row r="12" ht="54" customHeight="1">
      <x:c r="A12" s="2" t="str">
        <x:v>Sun Pharma</x:v>
      </x:c>
      <x:c r="B12" s="2" t="str">
        <x:v>FY26</x:v>
      </x:c>
      <x:c r="C12" s="16" t="n">
        <x:f>E27</x:f>
        <x:v>19290.4</x:v>
      </x:c>
      <x:c r="D12" s="14" t="n">
        <x:f>K41</x:f>
        <x:v>15938</x:v>
      </x:c>
      <x:c r="E12" s="2" t="str">
        <x:v>Reported endpoints</x:v>
      </x:c>
      <x:c r="F12" s="2" t="str">
        <x:v>India formulations</x:v>
      </x:c>
      <x:c r="G12" s="15" t="n">
        <x:f>C12*100/D12</x:f>
        <x:v>121.03400677625801</x:v>
      </x:c>
      <x:c r="H12" s="15" t="n">
        <x:f>G12/12</x:f>
        <x:v>10.086167231354834</x:v>
      </x:c>
      <x:c r="I12" s="15" t="n">
        <x:f>C12*100/M41/12</x:f>
        <x:v>9.587483350231606</x:v>
      </x:c>
      <x:c r="J12" s="15" t="n">
        <x:f>C12*100/L41/12</x:f>
        <x:v>10.639574646457962</x:v>
      </x:c>
      <x:c r="K12" s="2" t="str">
        <x:v>S11</x:v>
      </x:c>
      <x:c r="L12" s="11" t="str">
        <x:v>Average of FY25/FY26 MR counts. This differs from the company’s closing-count productivity convention.</x:v>
      </x:c>
      <x:c r="M12" s="2"/>
      <x:c r="N12" s="2"/>
      <x:c r="O12" s="2"/>
    </x:row>
    <x:row r="13" ht="54" customHeight="1">
      <x:c r="A13" s="2" t="str">
        <x:v>Cipla</x:v>
      </x:c>
      <x:c r="B13" s="2" t="str">
        <x:v>FY26</x:v>
      </x:c>
      <x:c r="C13" s="16" t="n">
        <x:f>E28</x:f>
        <x:v>12679.44</x:v>
      </x:c>
      <x:c r="D13" s="14" t="n">
        <x:f>K42</x:f>
        <x:v>11756</x:v>
      </x:c>
      <x:c r="E13" s="2" t="str">
        <x:v>Reported + proxy</x:v>
      </x:c>
      <x:c r="F13" s="2" t="str">
        <x:v>India segment</x:v>
      </x:c>
      <x:c r="G13" s="15" t="n">
        <x:f>C13*100/D13</x:f>
        <x:v>107.85505273902687</x:v>
      </x:c>
      <x:c r="H13" s="15" t="n">
        <x:f>G13/12</x:f>
        <x:v>8.987921061585572</x:v>
      </x:c>
      <x:c r="I13" s="15" t="n">
        <x:f>C13*100/M42/12</x:f>
        <x:v>8.805166666666667</x:v>
      </x:c>
      <x:c r="J13" s="15" t="n">
        <x:f>C13*100/L42/12</x:f>
        <x:v>9.178422515635859</x:v>
      </x:c>
      <x:c r="K13" s="2" t="str">
        <x:v>S12; S13; S21</x:v>
      </x:c>
      <x:c r="L13" s="11" t="str">
        <x:v>Average of FY25 force and Jul-26 proxy. India segment includes trade generics and consumer health.</x:v>
      </x:c>
      <x:c r="M13" s="2"/>
      <x:c r="N13" s="2"/>
      <x:c r="O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A15" s="2" t="str">
        <x:v>Field-force estimates are analyst assumptions, not newly disclosed MR counts. Sensitivity bands vary headcount only; they are not confidence intervals.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A16" s="2" t="str">
        <x:v>Metric: company-booked commercial sales / own field force. Partner promotion, distribution, product prices and therapy mix affect the comparison.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A17" s="2" t="str">
        <x:v>Formula: annual ₹ lakh/person = sales in ₹ crore × 100 / average field force; monthly = annual / 12.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5" customHeight="1">
      <x:c r="A19" s="3" t="str">
        <x:v>Sales numerator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36" customHeight="1">
      <x:c r="A21" s="7" t="str">
        <x:v>Company</x:v>
      </x:c>
      <x:c r="B21" s="7" t="str">
        <x:v>Total operating
revenue (₹ cr)</x:v>
      </x:c>
      <x:c r="C21" s="7" t="str">
        <x:v>India revenue
(₹ cr)</x:v>
      </x:c>
      <x:c r="D21" s="7" t="str">
        <x:v>Total product
sales (₹ cr)</x:v>
      </x:c>
      <x:c r="E21" s="7" t="str">
        <x:v>Sales used
(₹ cr)</x:v>
      </x:c>
      <x:c r="F21" s="7" t="str">
        <x:v>Basis</x:v>
      </x:c>
      <x:c r="G21" s="7" t="str">
        <x:v>Assumption / scope</x:v>
      </x:c>
      <x:c r="H21" s="7" t="str">
        <x:v>Sources</x:v>
      </x:c>
      <x:c r="I21" s="2"/>
      <x:c r="J21" s="2"/>
      <x:c r="K21" s="2"/>
      <x:c r="L21" s="2"/>
      <x:c r="M21" s="2"/>
      <x:c r="N21" s="2"/>
      <x:c r="O21" s="2"/>
    </x:row>
    <x:row r="22" ht="44" customHeight="1">
      <x:c r="A22" s="2" t="str">
        <x:v>GSK</x:v>
      </x:c>
      <x:c r="B22" s="8" t="n">
        <x:v>3790.2027</x:v>
      </x:c>
      <x:c r="C22" s="8" t="n">
        <x:v>3783.0599</x:v>
      </x:c>
      <x:c r="D22" s="8" t="n">
        <x:v>3762.6017</x:v>
      </x:c>
      <x:c r="E22" s="8" t="n">
        <x:f>C22*D22/B22</x:f>
        <x:v>3755.5109152715845</x:v>
      </x:c>
      <x:c r="F22" s="11" t="str">
        <x:v>Estimated India product sales</x:v>
      </x:c>
      <x:c r="G22" s="11" t="str">
        <x:v>India revenue × total product share; assumes the same product mix by geography.</x:v>
      </x:c>
      <x:c r="H22" s="2" t="str">
        <x:v>S01</x:v>
      </x:c>
      <x:c r="I22" s="2"/>
      <x:c r="J22" s="2"/>
      <x:c r="K22" s="2"/>
      <x:c r="L22" s="2"/>
      <x:c r="M22" s="2"/>
      <x:c r="N22" s="2"/>
      <x:c r="O22" s="2"/>
    </x:row>
    <x:row r="23" ht="44" customHeight="1">
      <x:c r="A23" s="2" t="str">
        <x:v>Abbott India</x:v>
      </x:c>
      <x:c r="B23" s="8" t="n">
        <x:v>6929.05</x:v>
      </x:c>
      <x:c r="C23" s="8" t="n">
        <x:v>6764.21</x:v>
      </x:c>
      <x:c r="D23" s="8" t="n">
        <x:v>6846.1</x:v>
      </x:c>
      <x:c r="E23" s="8" t="n">
        <x:f>C23</x:f>
        <x:v>6764.21</x:v>
      </x:c>
      <x:c r="F23" s="11" t="str">
        <x:v>Reported India goods</x:v>
      </x:c>
      <x:c r="G23" s="11" t="str">
        <x:v>Direct India goods revenue; no geographical allocation required.</x:v>
      </x:c>
      <x:c r="H23" s="2" t="str">
        <x:v>S03</x:v>
      </x:c>
      <x:c r="I23" s="2"/>
      <x:c r="J23" s="2"/>
      <x:c r="K23" s="2"/>
      <x:c r="L23" s="2"/>
      <x:c r="M23" s="2"/>
      <x:c r="N23" s="2"/>
      <x:c r="O23" s="2"/>
    </x:row>
    <x:row r="24" ht="44" customHeight="1">
      <x:c r="A24" s="2" t="str">
        <x:v>Pfizer Ltd</x:v>
      </x:c>
      <x:c r="B24" s="8" t="n">
        <x:v>2519.65</x:v>
      </x:c>
      <x:c r="C24" s="8" t="n">
        <x:v>2423.31</x:v>
      </x:c>
      <x:c r="D24" s="8" t="n">
        <x:v>2377.11</x:v>
      </x:c>
      <x:c r="E24" s="8" t="n">
        <x:f>C24*D24/B24</x:f>
        <x:v>2286.2200837814776</x:v>
      </x:c>
      <x:c r="F24" s="11" t="str">
        <x:v>Estimated India product sales</x:v>
      </x:c>
      <x:c r="G24" s="11" t="str">
        <x:v>India revenue × total product share; excludes services on a pro-rata basis.</x:v>
      </x:c>
      <x:c r="H24" s="2" t="str">
        <x:v>S05</x:v>
      </x:c>
      <x:c r="I24" s="2"/>
      <x:c r="J24" s="2"/>
      <x:c r="K24" s="2"/>
      <x:c r="L24" s="2"/>
      <x:c r="M24" s="2"/>
      <x:c r="N24" s="2"/>
      <x:c r="O24" s="2"/>
    </x:row>
    <x:row r="25" ht="44" customHeight="1">
      <x:c r="A25" s="2" t="str">
        <x:v>AstraZeneca India</x:v>
      </x:c>
      <x:c r="B25" s="8" t="n">
        <x:v>2275.58</x:v>
      </x:c>
      <x:c r="C25" s="8" t="n">
        <x:v>2158.02</x:v>
      </x:c>
      <x:c r="D25" s="8" t="n">
        <x:v>2155.88</x:v>
      </x:c>
      <x:c r="E25" s="8" t="n">
        <x:v>2155.02</x:v>
      </x:c>
      <x:c r="F25" s="11" t="str">
        <x:v>Reported domestic products</x:v>
      </x:c>
      <x:c r="G25" s="11" t="str">
        <x:v>Domestic product sales are directly disclosed separately from rights and services.</x:v>
      </x:c>
      <x:c r="H25" s="2" t="str">
        <x:v>S06</x:v>
      </x:c>
      <x:c r="I25" s="2"/>
      <x:c r="J25" s="2"/>
      <x:c r="K25" s="2"/>
      <x:c r="L25" s="2"/>
      <x:c r="M25" s="2"/>
      <x:c r="N25" s="2"/>
      <x:c r="O25" s="2"/>
    </x:row>
    <x:row r="26" ht="44" customHeight="1">
      <x:c r="A26" s="2" t="str">
        <x:v>Sanofi India</x:v>
      </x:c>
      <x:c r="B26" s="8" t="n">
        <x:v>1837.4</x:v>
      </x:c>
      <x:c r="C26" s="8" t="n">
        <x:v>1592.9</x:v>
      </x:c>
      <x:c r="D26" s="8" t="n">
        <x:v>1735.8</x:v>
      </x:c>
      <x:c r="E26" s="8" t="n">
        <x:f>C26*D26/B26</x:f>
        <x:v>1504.819756177207</x:v>
      </x:c>
      <x:c r="F26" s="11" t="str">
        <x:v>Estimated India product sales</x:v>
      </x:c>
      <x:c r="G26" s="11" t="str">
        <x:v>India revenue × total product share; excludes services and other operating income pro rata.</x:v>
      </x:c>
      <x:c r="H26" s="2" t="str">
        <x:v>S09</x:v>
      </x:c>
      <x:c r="I26" s="2"/>
      <x:c r="J26" s="2"/>
      <x:c r="K26" s="2"/>
      <x:c r="L26" s="2"/>
      <x:c r="M26" s="2"/>
      <x:c r="N26" s="2"/>
      <x:c r="O26" s="2"/>
    </x:row>
    <x:row r="27" ht="44" customHeight="1">
      <x:c r="A27" s="2" t="str">
        <x:v>Sun Pharma</x:v>
      </x:c>
      <x:c r="B27" s="8"/>
      <x:c r="C27" s="8" t="n">
        <x:v>19290.4</x:v>
      </x:c>
      <x:c r="D27" s="8"/>
      <x:c r="E27" s="8" t="n">
        <x:f>C27</x:f>
        <x:v>19290.4</x:v>
      </x:c>
      <x:c r="F27" s="11" t="str">
        <x:v>Reported India formulations</x:v>
      </x:c>
      <x:c r="G27" s="11" t="str">
        <x:v>Direct India formulations segment. Group inputs are not needed for this calculation.</x:v>
      </x:c>
      <x:c r="H27" s="2" t="str">
        <x:v>S11</x:v>
      </x:c>
      <x:c r="I27" s="2"/>
      <x:c r="J27" s="2"/>
      <x:c r="K27" s="2"/>
      <x:c r="L27" s="2"/>
      <x:c r="M27" s="2"/>
      <x:c r="N27" s="2"/>
      <x:c r="O27" s="2"/>
    </x:row>
    <x:row r="28" ht="44" customHeight="1">
      <x:c r="A28" s="2" t="str">
        <x:v>Cipla</x:v>
      </x:c>
      <x:c r="B28" s="8" t="n">
        <x:v>28162.59</x:v>
      </x:c>
      <x:c r="C28" s="8" t="n">
        <x:v>12679.44</x:v>
      </x:c>
      <x:c r="D28" s="8" t="n">
        <x:v>27711.69</x:v>
      </x:c>
      <x:c r="E28" s="8" t="n">
        <x:f>C28</x:f>
        <x:v>12679.44</x:v>
      </x:c>
      <x:c r="F28" s="11" t="str">
        <x:v>Reported India segment</x:v>
      </x:c>
      <x:c r="G28" s="11" t="str">
        <x:v>India trade and branded generics; a broader revenue scope than prescription-only sales.</x:v>
      </x:c>
      <x:c r="H28" s="2" t="str">
        <x:v>S12</x:v>
      </x:c>
      <x:c r="I28" s="2"/>
      <x:c r="J28" s="2"/>
      <x:c r="K28" s="2"/>
      <x:c r="L28" s="2"/>
      <x:c r="M28" s="2"/>
      <x:c r="N28" s="2"/>
      <x:c r="O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2" customHeight="1">
      <x:c r="A30" s="2" t="str">
        <x:v>Cipla Rx-only floor (₹ cr)</x:v>
      </x:c>
      <x:c r="B30" s="9" t="n">
        <x:v>9500</x:v>
      </x:c>
      <x:c r="C30" s="2" t="str">
        <x:v>Monthly sales / person (₹ lakh)</x:v>
      </x:c>
      <x:c r="D30" s="10" t="n">
        <x:f>B30*100/D13/12</x:f>
        <x:v>6.734149937620505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2" customHeight="1">
      <x:c r="A31" s="2" t="str">
        <x:v>Cipla discloses a ₹9,500cr+ prescription portfolio. The floor calculation is a scope sensitivity, not an exact reported Rx productivity ratio.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5" customHeight="1">
      <x:c r="A33" s="3" t="str">
        <x:v>Field-force estimates and sensitivity inputs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36" customHeight="1">
      <x:c r="A35" s="7" t="str">
        <x:v>Company</x:v>
      </x:c>
      <x:c r="B35" s="7" t="str">
        <x:v>Opening staff
(non-workers)</x:v>
      </x:c>
      <x:c r="C35" s="7" t="str">
        <x:v>Closing staff
(non-workers)</x:v>
      </x:c>
      <x:c r="D35" s="7" t="str">
        <x:v>Field share
assumption</x:v>
      </x:c>
      <x:c r="E35" s="7" t="str">
        <x:v>Historical
field anchor</x:v>
      </x:c>
      <x:c r="F35" s="7" t="str">
        <x:v>Anchor
staff</x:v>
      </x:c>
      <x:c r="G35" s="7" t="str">
        <x:v>Annual force
growth</x:v>
      </x:c>
      <x:c r="H35" s="7" t="str">
        <x:v>Years from
anchor</x:v>
      </x:c>
      <x:c r="I35" s="7" t="str">
        <x:v>Opening field
force est.</x:v>
      </x:c>
      <x:c r="J35" s="7" t="str">
        <x:v>Closing field
force est.</x:v>
      </x:c>
      <x:c r="K35" s="7" t="str">
        <x:v>Average field
force est.</x:v>
      </x:c>
      <x:c r="L35" s="7" t="str">
        <x:v>Low field
count</x:v>
      </x:c>
      <x:c r="M35" s="7" t="str">
        <x:v>High field
count</x:v>
      </x:c>
      <x:c r="N35" s="7" t="str">
        <x:v>Method / rationale</x:v>
      </x:c>
      <x:c r="O35" s="7" t="str">
        <x:v>Sources</x:v>
      </x:c>
    </x:row>
    <x:row r="36" ht="62" customHeight="1">
      <x:c r="A36" s="2" t="str">
        <x:v>GSK</x:v>
      </x:c>
      <x:c r="B36" s="9"/>
      <x:c r="C36" s="9"/>
      <x:c r="D36" s="12"/>
      <x:c r="E36" s="9" t="n">
        <x:v>2500</x:v>
      </x:c>
      <x:c r="F36" s="9"/>
      <x:c r="G36" s="12" t="n">
        <x:v>0</x:v>
      </x:c>
      <x:c r="H36" s="2" t="n">
        <x:v>1</x:v>
      </x:c>
      <x:c r="I36" s="9" t="n">
        <x:f>E36</x:f>
        <x:v>2500</x:v>
      </x:c>
      <x:c r="J36" s="9" t="n">
        <x:f>E36</x:f>
        <x:v>2500</x:v>
      </x:c>
      <x:c r="K36" s="9" t="n">
        <x:f>AVERAGE(I36:J36)</x:f>
        <x:v>2500</x:v>
      </x:c>
      <x:c r="L36" s="9" t="n">
        <x:v>2250</x:v>
      </x:c>
      <x:c r="M36" s="9" t="n">
        <x:v>2750</x:v>
      </x:c>
      <x:c r="N36" s="11" t="str">
        <x:v>Hold the Aug-25 c.2,500 India field-force disclosure flat as an average proxy; ±10% sensitivity.</x:v>
      </x:c>
      <x:c r="O36" s="2" t="str">
        <x:v>S02</x:v>
      </x:c>
    </x:row>
    <x:row r="37" ht="62" customHeight="1">
      <x:c r="A37" s="2" t="str">
        <x:v>Abbott India</x:v>
      </x:c>
      <x:c r="B37" s="9" t="n">
        <x:v>3438</x:v>
      </x:c>
      <x:c r="C37" s="9" t="n">
        <x:v>3467</x:v>
      </x:c>
      <x:c r="D37" s="12" t="n">
        <x:f>E37/F37</x:f>
        <x:v>0.9055447199777097</x:v>
      </x:c>
      <x:c r="E37" s="9" t="n">
        <x:v>3250</x:v>
      </x:c>
      <x:c r="F37" s="9" t="n">
        <x:v>3589</x:v>
      </x:c>
      <x:c r="G37" s="12" t="n">
        <x:v>0</x:v>
      </x:c>
      <x:c r="H37" s="2" t="n">
        <x:v>2</x:v>
      </x:c>
      <x:c r="I37" s="9" t="n">
        <x:f>B37*D37</x:f>
        <x:v>3113.262747283366</x:v>
      </x:c>
      <x:c r="J37" s="9" t="n">
        <x:f>C37*D37</x:f>
        <x:v>3139.5235441627196</x:v>
      </x:c>
      <x:c r="K37" s="9" t="n">
        <x:f>ROUND(AVERAGE(I37:J37)/50,0)*50</x:f>
        <x:v>3150</x:v>
      </x:c>
      <x:c r="L37" s="9" t="n">
        <x:v>2900</x:v>
      </x:c>
      <x:c r="M37" s="9" t="n">
        <x:v>3400</x:v>
      </x:c>
      <x:c r="N37" s="11" t="str">
        <x:v>Scale FY24 3,250+ sales colleagues by non-worker employee counts, holding commercial share constant. Round average to 50.</x:v>
      </x:c>
      <x:c r="O37" s="2" t="str">
        <x:v>S03; S04</x:v>
      </x:c>
    </x:row>
    <x:row r="38" ht="62" customHeight="1">
      <x:c r="A38" s="2" t="str">
        <x:v>Pfizer Ltd</x:v>
      </x:c>
      <x:c r="B38" s="9" t="n">
        <x:v>1563</x:v>
      </x:c>
      <x:c r="C38" s="9" t="n">
        <x:v>1209</x:v>
      </x:c>
      <x:c r="D38" s="12" t="n">
        <x:v>0.8</x:v>
      </x:c>
      <x:c r="E38" s="9"/>
      <x:c r="F38" s="9"/>
      <x:c r="G38" s="12" t="n">
        <x:v>0</x:v>
      </x:c>
      <x:c r="H38" s="2" t="n">
        <x:v>1</x:v>
      </x:c>
      <x:c r="I38" s="9" t="n">
        <x:f>B38*D38</x:f>
        <x:v>1250.4</x:v>
      </x:c>
      <x:c r="J38" s="9" t="n">
        <x:f>C38*D38</x:f>
        <x:v>967.2</x:v>
      </x:c>
      <x:c r="K38" s="9" t="n">
        <x:f>ROUND(AVERAGE(I38:J38)/50,0)*50</x:f>
        <x:v>1100</x:v>
      </x:c>
      <x:c r="L38" s="9" t="n">
        <x:v>900</x:v>
      </x:c>
      <x:c r="M38" s="9" t="n">
        <x:v>1300</x:v>
      </x:c>
      <x:c r="N38" s="11" t="str">
        <x:v>Assume 80% of non-worker employees are field personnel. Average FY25/FY26 endpoints and round to 50; 20% reserved for other roles.</x:v>
      </x:c>
      <x:c r="O38" s="2" t="str">
        <x:v>S05</x:v>
      </x:c>
    </x:row>
    <x:row r="39" ht="62" customHeight="1">
      <x:c r="A39" s="2" t="str">
        <x:v>AstraZeneca India</x:v>
      </x:c>
      <x:c r="B39" s="9" t="n">
        <x:v>802</x:v>
      </x:c>
      <x:c r="C39" s="9" t="n">
        <x:v>760</x:v>
      </x:c>
      <x:c r="D39" s="12"/>
      <x:c r="E39" s="9" t="n">
        <x:v>540</x:v>
      </x:c>
      <x:c r="F39" s="9" t="n">
        <x:v>878</x:v>
      </x:c>
      <x:c r="G39" s="12" t="n">
        <x:v>0.05</x:v>
      </x:c>
      <x:c r="H39" s="2" t="n">
        <x:v>2</x:v>
      </x:c>
      <x:c r="I39" s="9" t="n">
        <x:f>E39*(1+G39)^(H39-1)</x:f>
        <x:v>567</x:v>
      </x:c>
      <x:c r="J39" s="9" t="n">
        <x:f>E39*(1+G39)^H39</x:f>
        <x:v>595.35</x:v>
      </x:c>
      <x:c r="K39" s="9" t="n">
        <x:f>ROUND(AVERAGE(I39:J39)/50,0)*50</x:f>
        <x:v>600</x:v>
      </x:c>
      <x:c r="L39" s="9" t="n">
        <x:v>550</x:v>
      </x:c>
      <x:c r="M39" s="9" t="n">
        <x:v>650</x:v>
      </x:c>
      <x:c r="N39" s="11" t="str">
        <x:v>Assume 5% annual sales-force growth from FY24 c.540. Average estimated FY25/FY26 field counts and round to 50. Workforce declines are not mapped directly to sales reps.</x:v>
      </x:c>
      <x:c r="O39" s="2" t="str">
        <x:v>S06; S07; S08</x:v>
      </x:c>
    </x:row>
    <x:row r="40" ht="62" customHeight="1">
      <x:c r="A40" s="2" t="str">
        <x:v>Sanofi India</x:v>
      </x:c>
      <x:c r="B40" s="9" t="n">
        <x:v>991</x:v>
      </x:c>
      <x:c r="C40" s="9" t="n">
        <x:v>871</x:v>
      </x:c>
      <x:c r="D40" s="12" t="n">
        <x:v>0.7</x:v>
      </x:c>
      <x:c r="E40" s="9"/>
      <x:c r="F40" s="9"/>
      <x:c r="G40" s="12" t="n">
        <x:v>0</x:v>
      </x:c>
      <x:c r="H40" s="2" t="n">
        <x:v>1</x:v>
      </x:c>
      <x:c r="I40" s="9" t="n">
        <x:f>B40*D40</x:f>
        <x:v>693.6999999999999</x:v>
      </x:c>
      <x:c r="J40" s="9" t="n">
        <x:f>C40*D40</x:f>
        <x:v>609.6999999999999</x:v>
      </x:c>
      <x:c r="K40" s="9" t="n">
        <x:f>ROUND(AVERAGE(I40:J40)/50,0)*50</x:f>
        <x:v>650</x:v>
      </x:c>
      <x:c r="L40" s="9" t="n">
        <x:v>550</x:v>
      </x:c>
      <x:c r="M40" s="9" t="n">
        <x:v>750</x:v>
      </x:c>
      <x:c r="N40" s="11" t="str">
        <x:v>Assume 70% of non-worker employees are own field personnel, allowing 30% for office, plant supervision, medical and support roles. Average endpoints; round to 50.</x:v>
      </x:c>
      <x:c r="O40" s="2" t="str">
        <x:v>S09; S10</x:v>
      </x:c>
    </x:row>
    <x:row r="41" ht="62" customHeight="1">
      <x:c r="A41" s="2" t="str">
        <x:v>Sun Pharma</x:v>
      </x:c>
      <x:c r="B41" s="9"/>
      <x:c r="C41" s="9"/>
      <x:c r="D41" s="12"/>
      <x:c r="E41" s="9"/>
      <x:c r="F41" s="9"/>
      <x:c r="G41" s="12" t="n">
        <x:v>0</x:v>
      </x:c>
      <x:c r="H41" s="2" t="n">
        <x:v>1</x:v>
      </x:c>
      <x:c r="I41" s="9" t="n">
        <x:v>15109</x:v>
      </x:c>
      <x:c r="J41" s="9" t="n">
        <x:v>16767</x:v>
      </x:c>
      <x:c r="K41" s="9" t="n">
        <x:f>AVERAGE(I41:J41)</x:f>
        <x:v>15938</x:v>
      </x:c>
      <x:c r="L41" s="9" t="n">
        <x:v>15109</x:v>
      </x:c>
      <x:c r="M41" s="9" t="n">
        <x:v>16767</x:v>
      </x:c>
      <x:c r="N41" s="11" t="str">
        <x:v>Midpoint of reported FY25/FY26 MR counts, not the exact time-weighted average. Sensitivity uses the reported endpoints.</x:v>
      </x:c>
      <x:c r="O41" s="2" t="str">
        <x:v>S11</x:v>
      </x:c>
    </x:row>
    <x:row r="42" ht="62" customHeight="1">
      <x:c r="A42" s="2" t="str">
        <x:v>Cipla</x:v>
      </x:c>
      <x:c r="B42" s="9"/>
      <x:c r="C42" s="9"/>
      <x:c r="D42" s="12"/>
      <x:c r="E42" s="9"/>
      <x:c r="F42" s="9"/>
      <x:c r="G42" s="12" t="n">
        <x:v>0</x:v>
      </x:c>
      <x:c r="H42" s="2" t="n">
        <x:v>1</x:v>
      </x:c>
      <x:c r="I42" s="9" t="n">
        <x:v>11512</x:v>
      </x:c>
      <x:c r="J42" s="9" t="n">
        <x:v>12000</x:v>
      </x:c>
      <x:c r="K42" s="9" t="n">
        <x:f>AVERAGE(I42:J42)</x:f>
        <x:v>11756</x:v>
      </x:c>
      <x:c r="L42" s="9" t="n">
        <x:v>11512</x:v>
      </x:c>
      <x:c r="M42" s="9" t="n">
        <x:v>12000</x:v>
      </x:c>
      <x:c r="N42" s="11" t="str">
        <x:v>FY25 disclosed field force and Jul-26 c.12,000 closing proxy. Midpoint approximates FY26 average; sensitivity uses those endpoints.</x:v>
      </x:c>
      <x:c r="O42" s="2" t="str">
        <x:v>S12; S13; S21</x:v>
      </x:c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2" customHeight="1">
      <x:c r="A44" s="2" t="str">
        <x:v>Pfizer 1,209 excludes 35 workers; Sanofi 871 excludes 226 workers. Annual-report total workforce is not treated as MR headcount.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2" customHeight="1">
      <x:c r="A45" s="2" t="str">
        <x:v>Pfizer 80%, Sanofi 70% and AstraZeneca 5% are explicit analyst assumptions. No field count has been reverse-engineered from a desired productivity premium.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2" customHeight="1">
      <x:c r="A46" s="2" t="str">
        <x:v>The model does not estimate partner-allocated MR equivalents. Pfizer and Sanofi ratios therefore reflect their partnership-led commercial models.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5" customHeight="1">
      <x:c r="A48" s="3" t="str">
        <x:v>Original historical benchmarks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36" customHeight="1">
      <x:c r="A50" s="7" t="str">
        <x:v>Company</x:v>
      </x:c>
      <x:c r="B50" s="7" t="str">
        <x:v>Period</x:v>
      </x:c>
      <x:c r="C50" s="7" t="str">
        <x:v>India sales (₹ cr)</x:v>
      </x:c>
      <x:c r="D50" s="7" t="str">
        <x:v>Field count</x:v>
      </x:c>
      <x:c r="E50" s="7" t="str">
        <x:v>Annual sales / person
(₹ lakh)</x:v>
      </x:c>
      <x:c r="F50" s="7" t="str">
        <x:v>Monthly sales / person
(₹ lakh)</x:v>
      </x:c>
      <x:c r="G50" s="7" t="str">
        <x:v>Sources</x:v>
      </x:c>
      <x:c r="H50" s="7" t="str">
        <x:v>Scope</x:v>
      </x:c>
      <x:c r="I50" s="2"/>
      <x:c r="J50" s="2"/>
      <x:c r="K50" s="2"/>
      <x:c r="L50" s="2"/>
      <x:c r="M50" s="2"/>
      <x:c r="N50" s="2"/>
      <x:c r="O50" s="2"/>
    </x:row>
    <x:row r="51" ht="42" customHeight="1">
      <x:c r="A51" s="2" t="str">
        <x:v>AstraZeneca India</x:v>
      </x:c>
      <x:c r="B51" s="2" t="str">
        <x:v>FY24</x:v>
      </x:c>
      <x:c r="C51" s="8" t="n">
        <x:v>1201.93</x:v>
      </x:c>
      <x:c r="D51" s="8" t="n">
        <x:v>540</x:v>
      </x:c>
      <x:c r="E51" s="8" t="n">
        <x:f>C51*100/D51</x:f>
        <x:v>222.57962962962964</x:v>
      </x:c>
      <x:c r="F51" s="8" t="n">
        <x:f>E51/12</x:f>
        <x:v>18.548302469135802</x:v>
      </x:c>
      <x:c r="G51" s="2" t="str">
        <x:v>S07; S08</x:v>
      </x:c>
      <x:c r="H51" s="11" t="str">
        <x:v>Approximate Nov-23 frontline count within FY24.</x:v>
      </x:c>
      <x:c r="I51" s="2"/>
      <x:c r="J51" s="2"/>
      <x:c r="K51" s="2"/>
      <x:c r="L51" s="2"/>
      <x:c r="M51" s="2"/>
      <x:c r="N51" s="2"/>
      <x:c r="O51" s="2"/>
    </x:row>
    <x:row r="52" ht="42" customHeight="1">
      <x:c r="A52" s="2" t="str">
        <x:v>Abbott India</x:v>
      </x:c>
      <x:c r="B52" s="2" t="str">
        <x:v>FY24</x:v>
      </x:c>
      <x:c r="C52" s="8" t="n">
        <x:v>5701.56</x:v>
      </x:c>
      <x:c r="D52" s="8" t="n">
        <x:v>3250</x:v>
      </x:c>
      <x:c r="E52" s="8" t="n">
        <x:f>C52*100/D52</x:f>
        <x:v>175.4326153846154</x:v>
      </x:c>
      <x:c r="F52" s="8" t="n">
        <x:f>E52/12</x:f>
        <x:v>14.619384615384616</x:v>
      </x:c>
      <x:c r="G52" s="2" t="str">
        <x:v>S04</x:v>
      </x:c>
      <x:c r="H52" s="11" t="str">
        <x:v>3,250+ is a minimum. The calculated value at 3,250 is an upper bound.</x:v>
      </x:c>
      <x:c r="I52" s="2"/>
      <x:c r="J52" s="2"/>
      <x:c r="K52" s="2"/>
      <x:c r="L52" s="2"/>
      <x:c r="M52" s="2"/>
      <x:c r="N52" s="2"/>
      <x:c r="O52" s="2"/>
    </x:row>
    <x:row r="53" ht="42" customHeight="1">
      <x:c r="A53" s="2" t="str">
        <x:v>Sun Pharma</x:v>
      </x:c>
      <x:c r="B53" s="2" t="str">
        <x:v>FY24</x:v>
      </x:c>
      <x:c r="C53" s="8"/>
      <x:c r="D53" s="8" t="n">
        <x:v>13984</x:v>
      </x:c>
      <x:c r="E53" s="8" t="n">
        <x:v>106</x:v>
      </x:c>
      <x:c r="F53" s="8" t="n">
        <x:f>E53/12</x:f>
        <x:v>8.833333333333334</x:v>
      </x:c>
      <x:c r="G53" s="2" t="str">
        <x:v>S11</x:v>
      </x:c>
      <x:c r="H53" s="11" t="str">
        <x:v>Directly reported annual ₹10.6m/MR, using the company’s own convention.</x:v>
      </x:c>
      <x:c r="I53" s="2"/>
      <x:c r="J53" s="2"/>
      <x:c r="K53" s="2"/>
      <x:c r="L53" s="2"/>
      <x:c r="M53" s="2"/>
      <x:c r="N53" s="2"/>
      <x:c r="O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22" customHeight="1">
      <x:c r="A55" s="2" t="str">
        <x:v>Sun FY26 closing-count PCPM</x:v>
      </x:c>
      <x:c r="B55" s="10" t="n">
        <x:f>C12*100/J41/12</x:f>
        <x:v>9.587483350231606</x:v>
      </x:c>
      <x:c r="C55" s="2" t="str">
        <x:v>Cipla latest-count PCPM</x:v>
      </x:c>
      <x:c r="D55" s="10" t="n">
        <x:f>C13*100/J42/12</x:f>
        <x:v>8.805166666666667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22" customHeight="1">
      <x:c r="A56" s="2" t="str">
        <x:v>Sun: ₹9.59 lakh/month using closing MRs versus ₹10.09 lakh/month using the midpoint. These are denominator conventions, not different sales forecasts.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22" customHeight="1">
      <x:c r="A58" s="2" t="str">
        <x:v>GSK / Sun productivity</x:v>
      </x:c>
      <x:c r="B58" s="13" t="n">
        <x:f>H7/H12</x:f>
        <x:v>1.2411423913987996</x:v>
      </x:c>
      <x:c r="C58" s="2" t="str">
        <x:v>GSK / Cipla productivity</x:v>
      </x:c>
      <x:c r="D58" s="13" t="n">
        <x:f>H7/H13</x:f>
        <x:v>1.3927992504379612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36" customHeight="1">
      <x:c r="A61" s="7" t="str">
        <x:v>Company</x:v>
      </x:c>
      <x:c r="B61" s="7" t="str">
        <x:v>Monthly sales / person (₹ lakh)</x:v>
      </x:c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22" customHeight="1">
      <x:c r="A62" s="2" t="str">
        <x:f>A10</x:f>
        <x:v>AstraZeneca India</x:v>
      </x:c>
      <x:c r="B62" s="10" t="n">
        <x:f>H10</x:f>
        <x:v>29.930833333333336</x:v>
      </x:c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22" customHeight="1">
      <x:c r="A63" s="2" t="str">
        <x:f>A11</x:f>
        <x:v>Sanofi India</x:v>
      </x:c>
      <x:c r="B63" s="10" t="n">
        <x:f>H11</x:f>
        <x:v>19.292560976630856</x:v>
      </x:c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22" customHeight="1">
      <x:c r="A64" s="2" t="str">
        <x:f>A8</x:f>
        <x:v>Abbott India</x:v>
      </x:c>
      <x:c r="B64" s="10" t="n">
        <x:f>H8</x:f>
        <x:v>17.89473544973545</x:v>
      </x:c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22" customHeight="1">
      <x:c r="A65" s="2" t="str">
        <x:f>A9</x:f>
        <x:v>Pfizer Ltd</x:v>
      </x:c>
      <x:c r="B65" s="10" t="n">
        <x:f>H9</x:f>
        <x:v>17.319849119556647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22" customHeight="1">
      <x:c r="A66" s="2" t="str">
        <x:f>A7</x:f>
        <x:v>GSK</x:v>
      </x:c>
      <x:c r="B66" s="10" t="n">
        <x:f>H7</x:f>
        <x:v>12.518369717571948</x:v>
      </x:c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22" customHeight="1">
      <x:c r="A67" s="2" t="str">
        <x:f>A12</x:f>
        <x:v>Sun Pharma</x:v>
      </x:c>
      <x:c r="B67" s="10" t="n">
        <x:f>H12</x:f>
        <x:v>10.086167231354834</x:v>
      </x:c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22" customHeight="1">
      <x:c r="A68" s="2" t="str">
        <x:f>A13</x:f>
        <x:v>Cipla</x:v>
      </x:c>
      <x:c r="B68" s="10" t="n">
        <x:f>H13</x:f>
        <x:v>8.987921061585572</x:v>
      </x:c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 ht="22" customHeight="1">
      <x:c r="A90" s="2" t="str">
        <x:v>Estimated average own field force; FY26 except Sanofi CY25. Geography/product allocations and estimated headcounts are disclosed above.</x:v>
      </x:c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</x:sheetData>
  <x:pageMargins left="0.7" right="0.7" top="0.75" bottom="0.75" header="0.3" footer="0.3"/>
  <x:drawing xmlns:r="http://schemas.openxmlformats.org/officeDocument/2006/relationships" r:id="R98fb011fe4ef4c2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7" hidden="0" customWidth="1"/>
    <x:col min="4" max="4" width="17" hidden="0" customWidth="1"/>
    <x:col min="5" max="5" width="21" hidden="0" customWidth="1"/>
    <x:col min="6" max="6" width="20" hidden="0" customWidth="1"/>
    <x:col min="7" max="7" width="21" hidden="0" customWidth="1"/>
    <x:col min="8" max="8" width="20" hidden="0" customWidth="1"/>
    <x:col min="9" max="9" width="21" hidden="0" customWidth="1"/>
    <x:col min="10" max="10" width="17" hidden="0" customWidth="1"/>
    <x:col min="11" max="11" width="18" hidden="0" customWidth="1"/>
    <x:col min="12" max="12" width="16" hidden="0" customWidth="1"/>
    <x:col min="13" max="13" width="17" hidden="0" customWidth="1"/>
    <x:col min="14" max="14" width="4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India MR assumed CTC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 t="str">
        <x:v>CTC is the source pay figure × 1.5, as instructed. This is a modelling assumption, not a company-confirmed CTC disclosure.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 t="str">
        <x:v>CTC multiplier</x:v>
      </x:c>
      <x:c r="B4" s="23" t="n">
        <x:v>1.5</x:v>
      </x:c>
      <x:c r="C4" s="2" t="str">
        <x:v>Same factor applies to every company, all salary ranges and both role-title sensitivities.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6" customHeight="1">
      <x:c r="A6" s="7" t="str">
        <x:v>Company</x:v>
      </x:c>
      <x:c r="B6" s="7" t="str">
        <x:v>Reported median</x:v>
      </x:c>
      <x:c r="C6" s="7" t="str">
        <x:v>Reported low</x:v>
      </x:c>
      <x:c r="D6" s="7" t="str">
        <x:v>Reported high</x:v>
      </x:c>
      <x:c r="E6" s="7" t="str">
        <x:v>Reported unit</x:v>
      </x:c>
      <x:c r="F6" s="7" t="str">
        <x:v>Annual factor</x:v>
      </x:c>
      <x:c r="G6" s="7" t="str">
        <x:v>Annual CTC point
(₹ lakh)</x:v>
      </x:c>
      <x:c r="H6" s="7" t="str">
        <x:v>CTC low
(₹ lakh)</x:v>
      </x:c>
      <x:c r="I6" s="7" t="str">
        <x:v>CTC high
(₹ lakh)</x:v>
      </x:c>
      <x:c r="J6" s="7" t="str">
        <x:v>Premium vs Sun</x:v>
      </x:c>
      <x:c r="K6" s="7" t="str">
        <x:v>Premium vs Cipla</x:v>
      </x:c>
      <x:c r="L6" s="7" t="str">
        <x:v>Sample count</x:v>
      </x:c>
      <x:c r="M6" s="7" t="str">
        <x:v>Sources</x:v>
      </x:c>
      <x:c r="N6" s="7" t="str">
        <x:v>Point-estimate basis</x:v>
      </x:c>
    </x:row>
    <x:row r="7" ht="38" customHeight="1">
      <x:c r="A7" s="2" t="str">
        <x:v>GSK</x:v>
      </x:c>
      <x:c r="B7" s="15" t="n">
        <x:v>6</x:v>
      </x:c>
      <x:c r="C7" s="15" t="n">
        <x:v>4</x:v>
      </x:c>
      <x:c r="D7" s="15" t="n">
        <x:v>9</x:v>
      </x:c>
      <x:c r="E7" s="2" t="str">
        <x:v>₹ lakh / year</x:v>
      </x:c>
      <x:c r="F7" s="17" t="n">
        <x:v>1</x:v>
      </x:c>
      <x:c r="G7" s="15" t="n">
        <x:f>B7*F7*$B$4</x:f>
        <x:v>9</x:v>
      </x:c>
      <x:c r="H7" s="15" t="n">
        <x:f>C7*F7*$B$4</x:f>
        <x:v>6</x:v>
      </x:c>
      <x:c r="I7" s="15" t="n">
        <x:f>D7*F7*$B$4</x:f>
        <x:v>13.5</x:v>
      </x:c>
      <x:c r="J7" s="19" t="n">
        <x:f>G7/$G$12-1</x:f>
        <x:v>0.5625</x:v>
      </x:c>
      <x:c r="K7" s="19" t="n">
        <x:f>G7/$G$13-1</x:f>
        <x:v>0.6666666666666667</x:v>
      </x:c>
      <x:c r="L7" s="20" t="str">
        <x:v>Not shown</x:v>
      </x:c>
      <x:c r="M7" s="2" t="str">
        <x:v>S14</x:v>
      </x:c>
      <x:c r="N7" s="11" t="str">
        <x:v>Source median × 1.5</x:v>
      </x:c>
    </x:row>
    <x:row r="8" ht="38" customHeight="1">
      <x:c r="A8" s="2" t="str">
        <x:v>Abbott</x:v>
      </x:c>
      <x:c r="B8" s="15" t="n">
        <x:v>6</x:v>
      </x:c>
      <x:c r="C8" s="15" t="n">
        <x:v>4</x:v>
      </x:c>
      <x:c r="D8" s="15" t="n">
        <x:v>7</x:v>
      </x:c>
      <x:c r="E8" s="2" t="str">
        <x:v>₹ lakh / year</x:v>
      </x:c>
      <x:c r="F8" s="17" t="n">
        <x:v>1</x:v>
      </x:c>
      <x:c r="G8" s="15" t="n">
        <x:f>B8*F8*$B$4</x:f>
        <x:v>9</x:v>
      </x:c>
      <x:c r="H8" s="15" t="n">
        <x:f>C8*F8*$B$4</x:f>
        <x:v>6</x:v>
      </x:c>
      <x:c r="I8" s="15" t="n">
        <x:f>D8*F8*$B$4</x:f>
        <x:v>10.5</x:v>
      </x:c>
      <x:c r="J8" s="19" t="n">
        <x:f>G8/$G$12-1</x:f>
        <x:v>0.5625</x:v>
      </x:c>
      <x:c r="K8" s="19" t="n">
        <x:f>G8/$G$13-1</x:f>
        <x:v>0.6666666666666667</x:v>
      </x:c>
      <x:c r="L8" s="20" t="str">
        <x:v>Not shown</x:v>
      </x:c>
      <x:c r="M8" s="2" t="str">
        <x:v>S15</x:v>
      </x:c>
      <x:c r="N8" s="11" t="str">
        <x:v>Source median × 1.5</x:v>
      </x:c>
    </x:row>
    <x:row r="9" ht="38" customHeight="1">
      <x:c r="A9" s="2" t="str">
        <x:v>Pfizer</x:v>
      </x:c>
      <x:c r="B9" s="15" t="str">
        <x:v>Range only</x:v>
      </x:c>
      <x:c r="C9" s="15" t="n">
        <x:v>2.5</x:v>
      </x:c>
      <x:c r="D9" s="15" t="n">
        <x:v>7.1</x:v>
      </x:c>
      <x:c r="E9" s="2" t="str">
        <x:v>₹ lakh / year</x:v>
      </x:c>
      <x:c r="F9" s="17" t="n">
        <x:v>1</x:v>
      </x:c>
      <x:c r="G9" s="15" t="n">
        <x:f>AVERAGE(C9:D9)*F9*$B$4</x:f>
        <x:v>7.199999999999999</x:v>
      </x:c>
      <x:c r="H9" s="15" t="n">
        <x:f>C9*F9*$B$4</x:f>
        <x:v>3.75</x:v>
      </x:c>
      <x:c r="I9" s="15" t="n">
        <x:f>D9*F9*$B$4</x:f>
        <x:v>10.649999999999999</x:v>
      </x:c>
      <x:c r="J9" s="19" t="n">
        <x:f>G9/$G$12-1</x:f>
        <x:v>0.25</x:v>
      </x:c>
      <x:c r="K9" s="19" t="n">
        <x:f>G9/$G$13-1</x:f>
        <x:v>0.33333333333333326</x:v>
      </x:c>
      <x:c r="L9" s="20" t="str">
        <x:v>Not shown</x:v>
      </x:c>
      <x:c r="M9" s="2" t="str">
        <x:v>S18</x:v>
      </x:c>
      <x:c r="N9" s="11" t="str">
        <x:v>Source range midpoint × 1.5; analyst estimate</x:v>
      </x:c>
    </x:row>
    <x:row r="10" ht="38" customHeight="1">
      <x:c r="A10" s="2" t="str">
        <x:v>AstraZeneca</x:v>
      </x:c>
      <x:c r="B10" s="15" t="str">
        <x:v>Range only</x:v>
      </x:c>
      <x:c r="C10" s="15" t="n">
        <x:v>4.3</x:v>
      </x:c>
      <x:c r="D10" s="15" t="n">
        <x:v>9.2</x:v>
      </x:c>
      <x:c r="E10" s="2" t="str">
        <x:v>₹ lakh / year</x:v>
      </x:c>
      <x:c r="F10" s="17" t="n">
        <x:v>1</x:v>
      </x:c>
      <x:c r="G10" s="15" t="n">
        <x:f>AVERAGE(C10:D10)*F10*$B$4</x:f>
        <x:v>10.125</x:v>
      </x:c>
      <x:c r="H10" s="15" t="n">
        <x:f>C10*F10*$B$4</x:f>
        <x:v>6.449999999999999</x:v>
      </x:c>
      <x:c r="I10" s="15" t="n">
        <x:f>D10*F10*$B$4</x:f>
        <x:v>13.799999999999999</x:v>
      </x:c>
      <x:c r="J10" s="19" t="n">
        <x:f>G10/$G$12-1</x:f>
        <x:v>0.7578125</x:v>
      </x:c>
      <x:c r="K10" s="19" t="n">
        <x:f>G10/$G$13-1</x:f>
        <x:v>0.8750000000000002</x:v>
      </x:c>
      <x:c r="L10" s="20" t="n">
        <x:v>11</x:v>
      </x:c>
      <x:c r="M10" s="2" t="str">
        <x:v>S18</x:v>
      </x:c>
      <x:c r="N10" s="11" t="str">
        <x:v>Source range midpoint × 1.5; analyst estimate</x:v>
      </x:c>
    </x:row>
    <x:row r="11" ht="38" customHeight="1">
      <x:c r="A11" s="2" t="str">
        <x:v>Sanofi</x:v>
      </x:c>
      <x:c r="B11" s="15" t="n">
        <x:v>8</x:v>
      </x:c>
      <x:c r="C11" s="15" t="n">
        <x:v>4</x:v>
      </x:c>
      <x:c r="D11" s="15" t="n">
        <x:v>10</x:v>
      </x:c>
      <x:c r="E11" s="2" t="str">
        <x:v>₹ lakh / year</x:v>
      </x:c>
      <x:c r="F11" s="17" t="n">
        <x:v>1</x:v>
      </x:c>
      <x:c r="G11" s="15" t="n">
        <x:f>B11*F11*$B$4</x:f>
        <x:v>12</x:v>
      </x:c>
      <x:c r="H11" s="15" t="n">
        <x:f>C11*F11*$B$4</x:f>
        <x:v>6</x:v>
      </x:c>
      <x:c r="I11" s="15" t="n">
        <x:f>D11*F11*$B$4</x:f>
        <x:v>15</x:v>
      </x:c>
      <x:c r="J11" s="19" t="n">
        <x:f>G11/$G$12-1</x:f>
        <x:v>1.0833333333333335</x:v>
      </x:c>
      <x:c r="K11" s="19" t="n">
        <x:f>G11/$G$13-1</x:f>
        <x:v>1.2222222222222223</x:v>
      </x:c>
      <x:c r="L11" s="20" t="str">
        <x:v>Not shown</x:v>
      </x:c>
      <x:c r="M11" s="2" t="str">
        <x:v>S17</x:v>
      </x:c>
      <x:c r="N11" s="11" t="str">
        <x:v>Source median × 1.5</x:v>
      </x:c>
    </x:row>
    <x:row r="12" ht="38" customHeight="1">
      <x:c r="A12" s="2" t="str">
        <x:v>Sun Pharma</x:v>
      </x:c>
      <x:c r="B12" s="15" t="n">
        <x:v>32</x:v>
      </x:c>
      <x:c r="C12" s="15" t="n">
        <x:v>22</x:v>
      </x:c>
      <x:c r="D12" s="15" t="n">
        <x:v>53</x:v>
      </x:c>
      <x:c r="E12" s="2" t="str">
        <x:v>₹000 / month</x:v>
      </x:c>
      <x:c r="F12" s="17" t="n">
        <x:v>0.12</x:v>
      </x:c>
      <x:c r="G12" s="15" t="n">
        <x:f>B12*F12*$B$4</x:f>
        <x:v>5.76</x:v>
      </x:c>
      <x:c r="H12" s="15" t="n">
        <x:f>C12*F12*$B$4</x:f>
        <x:v>3.9599999999999995</x:v>
      </x:c>
      <x:c r="I12" s="15" t="n">
        <x:f>D12*F12*$B$4</x:f>
        <x:v>9.54</x:v>
      </x:c>
      <x:c r="J12" s="19" t="n">
        <x:f>G12/$G$12-1</x:f>
        <x:v>0</x:v>
      </x:c>
      <x:c r="K12" s="19" t="n">
        <x:f>G12/$G$13-1</x:f>
        <x:v>0.06666666666666665</x:v>
      </x:c>
      <x:c r="L12" s="20" t="str">
        <x:v>Not shown</x:v>
      </x:c>
      <x:c r="M12" s="2" t="str">
        <x:v>S16</x:v>
      </x:c>
      <x:c r="N12" s="11" t="str">
        <x:v>Source median × 1.5</x:v>
      </x:c>
    </x:row>
    <x:row r="13" ht="38" customHeight="1">
      <x:c r="A13" s="2" t="str">
        <x:v>Cipla</x:v>
      </x:c>
      <x:c r="B13" s="15" t="n">
        <x:v>30</x:v>
      </x:c>
      <x:c r="C13" s="15" t="n">
        <x:v>24</x:v>
      </x:c>
      <x:c r="D13" s="15" t="n">
        <x:v>42</x:v>
      </x:c>
      <x:c r="E13" s="2" t="str">
        <x:v>₹000 / month</x:v>
      </x:c>
      <x:c r="F13" s="17" t="n">
        <x:v>0.12</x:v>
      </x:c>
      <x:c r="G13" s="15" t="n">
        <x:f>B13*F13*$B$4</x:f>
        <x:v>5.3999999999999995</x:v>
      </x:c>
      <x:c r="H13" s="15" t="n">
        <x:f>C13*F13*$B$4</x:f>
        <x:v>4.32</x:v>
      </x:c>
      <x:c r="I13" s="15" t="n">
        <x:f>D13*F13*$B$4</x:f>
        <x:v>7.5600000000000005</x:v>
      </x:c>
      <x:c r="J13" s="19" t="n">
        <x:f>G13/$G$12-1</x:f>
        <x:v>-0.06250000000000011</x:v>
      </x:c>
      <x:c r="K13" s="19" t="n">
        <x:f>G13/$G$13-1</x:f>
        <x:v>0</x:v>
      </x:c>
      <x:c r="L13" s="20" t="str">
        <x:v>Not shown</x:v>
      </x:c>
      <x:c r="M13" s="2" t="str">
        <x:v>S16</x:v>
      </x:c>
      <x:c r="N13" s="11" t="str">
        <x:v>Source median × 1.5</x:v>
      </x:c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5" customHeight="1">
      <x:c r="A16" s="3" t="str">
        <x:v>CTC assumptions and salary scope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2" customHeight="1">
      <x:c r="A18" s="2" t="str">
        <x:v>Source inputs</x:v>
      </x:c>
      <x:c r="B18" s="18" t="str">
        <x:v>Columns B–F preserve the salary inputs and units. Columns G–I apply the common 1.5× CTC factor.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2" customHeight="1">
      <x:c r="A19" s="2" t="str">
        <x:v>GSK / Abbott / Sanofi / Sun / Cipla</x:v>
      </x:c>
      <x:c r="B19" s="18" t="str">
        <x:v>Point CTC uses the source median total pay. Glassdoor employer labels may span Indian group entities.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2" customHeight="1">
      <x:c r="A20" s="2" t="str">
        <x:v>Pfizer / AstraZeneca</x:v>
      </x:c>
      <x:c r="B20" s="18" t="str">
        <x:v>Point CTC uses the midpoint of the source salary range × 1.5. This is an analyst estimate, not a reported mean or median.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2" customHeight="1">
      <x:c r="A21" s="2" t="str">
        <x:v>AstraZeneca sample</x:v>
      </x:c>
      <x:c r="B21" s="18" t="str">
        <x:v>AmbitionBox range: 11 reports, 1–15 years of experience. The source was updated in 2025.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2" customHeight="1">
      <x:c r="A22" s="2" t="str">
        <x:v>Adjusted ranges</x:v>
      </x:c>
      <x:c r="B22" s="18" t="str">
        <x:v>All low/high source ranges are multiplied by 1.5. Glassdoor and AmbitionBox range definitions may differ.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2" customHeight="1">
      <x:c r="A23" s="2" t="str">
        <x:v>Salary premium</x:v>
      </x:c>
      <x:c r="B23" s="18" t="str">
        <x:v>Applying the same multiplier preserves relative premiums. GSK / Abbott remain 56% above Sun and 67% above Cipla.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2" customHeight="1">
      <x:c r="A24" s="2" t="str">
        <x:v>CTC interpretation</x:v>
      </x:c>
      <x:c r="B24" s="18" t="str">
        <x:v>Survey total pay can already include incentives. The extra 1.5× uplift is a user-specified CTC assumption.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36" customHeight="1">
      <x:c r="A26" s="7" t="str">
        <x:v>Role-title sensitivity</x:v>
      </x:c>
      <x:c r="B26" s="7" t="str">
        <x:v>CTC low
(₹ lakh/year)</x:v>
      </x:c>
      <x:c r="C26" s="7" t="str">
        <x:v>CTC high
(₹ lakh/year)</x:v>
      </x:c>
      <x:c r="D26" s="7" t="str">
        <x:v>Reports</x:v>
      </x:c>
      <x:c r="E26" s="7" t="str">
        <x:v>Source</x:v>
      </x:c>
      <x:c r="F26" s="7" t="str">
        <x:v>Implication</x:v>
      </x:c>
      <x:c r="G26" s="2"/>
      <x:c r="H26" s="7" t="str">
        <x:v>Source low (₹ lakh)</x:v>
      </x:c>
      <x:c r="I26" s="7" t="str">
        <x:v>Source high (₹ lakh)</x:v>
      </x:c>
      <x:c r="J26" s="2"/>
      <x:c r="K26" s="2"/>
      <x:c r="L26" s="2"/>
      <x:c r="M26" s="2"/>
    </x:row>
    <x:row r="27" ht="52" customHeight="1">
      <x:c r="A27" s="11" t="str">
        <x:v>GSK Medical Business Associate</x:v>
      </x:c>
      <x:c r="B27" s="10" t="n">
        <x:f>H27*$B$4</x:f>
        <x:v>5.535</x:v>
      </x:c>
      <x:c r="C27" s="10" t="n">
        <x:f>I27*$B$4</x:f>
        <x:v>7.709999999999999</x:v>
      </x:c>
      <x:c r="D27" s="2" t="n">
        <x:v>60</x:v>
      </x:c>
      <x:c r="E27" s="2" t="str">
        <x:v>S19</x:v>
      </x:c>
      <x:c r="F27" s="11" t="str">
        <x:v>Different role title; lower range.</x:v>
      </x:c>
      <x:c r="G27" s="2"/>
      <x:c r="H27" s="10" t="n">
        <x:v>3.69</x:v>
      </x:c>
      <x:c r="I27" s="10" t="n">
        <x:v>5.14</x:v>
      </x:c>
      <x:c r="J27" s="2"/>
      <x:c r="K27" s="2"/>
      <x:c r="L27" s="2"/>
      <x:c r="M27" s="2"/>
    </x:row>
    <x:row r="28" ht="52" customHeight="1">
      <x:c r="A28" s="11" t="str">
        <x:v>Pfizer Medical Representative</x:v>
      </x:c>
      <x:c r="B28" s="10" t="n">
        <x:f>H28*$B$4</x:f>
        <x:v>8.100000000000001</x:v>
      </x:c>
      <x:c r="C28" s="10" t="n">
        <x:f>I28*$B$4</x:f>
        <x:v>10.8</x:v>
      </x:c>
      <x:c r="D28" s="2" t="n">
        <x:v>7</x:v>
      </x:c>
      <x:c r="E28" s="2" t="str">
        <x:v>S20</x:v>
      </x:c>
      <x:c r="F28" s="11" t="str">
        <x:v>INR overview; country filter unclear.</x:v>
      </x:c>
      <x:c r="G28" s="2"/>
      <x:c r="H28" s="10" t="n">
        <x:v>5.4</x:v>
      </x:c>
      <x:c r="I28" s="10" t="n">
        <x:v>7.2</x:v>
      </x:c>
      <x:c r="J28" s="2"/>
      <x:c r="K28" s="2"/>
      <x:c r="L28" s="2"/>
      <x:c r="M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2" customHeight="1">
      <x:c r="A30" s="2" t="str">
        <x:v>Pfizer / AstraZeneca range midpoints are explicit model inputs for point CTC. They should not be described as observed average salaries.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36" customHeight="1">
      <x:c r="A32" s="27" t="str">
        <x:v>Company</x:v>
      </x:c>
      <x:c r="B32" s="27" t="str">
        <x:v>Assumed CTC (₹ lakh/year)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2" customHeight="1">
      <x:c r="A33" s="1" t="str">
        <x:f>A11</x:f>
        <x:v>Sanofi</x:v>
      </x:c>
      <x:c r="B33" s="30" t="n">
        <x:f>G11</x:f>
        <x:v>12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2" customHeight="1">
      <x:c r="A34" s="1" t="str">
        <x:f>A10</x:f>
        <x:v>AstraZeneca</x:v>
      </x:c>
      <x:c r="B34" s="30" t="n">
        <x:f>G10</x:f>
        <x:v>10.125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2" customHeight="1">
      <x:c r="A35" s="1" t="str">
        <x:f>A7</x:f>
        <x:v>GSK</x:v>
      </x:c>
      <x:c r="B35" s="30" t="n">
        <x:f>G7</x:f>
        <x:v>9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2" customHeight="1">
      <x:c r="A36" s="1" t="str">
        <x:f>A8</x:f>
        <x:v>Abbott</x:v>
      </x:c>
      <x:c r="B36" s="30" t="n">
        <x:f>G8</x:f>
        <x:v>9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2" customHeight="1">
      <x:c r="A37" s="1" t="str">
        <x:f>A9</x:f>
        <x:v>Pfizer</x:v>
      </x:c>
      <x:c r="B37" s="30" t="n">
        <x:f>G9</x:f>
        <x:v>7.199999999999999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2" customHeight="1">
      <x:c r="A38" s="1" t="str">
        <x:f>A12</x:f>
        <x:v>Sun Pharma</x:v>
      </x:c>
      <x:c r="B38" s="30" t="n">
        <x:f>G12</x:f>
        <x:v>5.76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1" t="str">
        <x:f>A13</x:f>
        <x:v>Cipla</x:v>
      </x:c>
      <x:c r="B39" s="30" t="n">
        <x:f>G13</x:f>
        <x:v>5.3999999999999995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61">
      <x:c r="A61" t="str">
        <x:v>Pfizer and AstraZeneca points use range midpoints. Other companies use source medians. Every point and range applies the same 1.5× multiplier.</x:v>
      </x:c>
    </x:row>
  </x:sheetData>
  <x:pageMargins left="0.7" right="0.7" top="0.75" bottom="0.75" header="0.3" footer="0.3"/>
  <x:drawing xmlns:r="http://schemas.openxmlformats.org/officeDocument/2006/relationships" r:id="R1e8f84334d144e52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24" hidden="0" customWidth="1"/>
    <x:col min="4" max="4" width="47" hidden="0" customWidth="1"/>
    <x:col min="5" max="5" width="77" hidden="0" customWidth="1"/>
    <x:col min="6" max="6" width="99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5" customHeight="1">
      <x:c r="A2" s="3" t="str">
        <x:v>Sources and definitions</x:v>
      </x:c>
      <x:c r="B2" s="2"/>
      <x:c r="C2" s="2"/>
      <x:c r="D2" s="2"/>
      <x:c r="E2" s="2"/>
      <x:c r="F2" s="2"/>
    </x:row>
    <x:row r="3" ht="22" customHeight="1">
      <x:c r="A3" s="2" t="str">
        <x:v>Access date: 19 October 2026. Printed page references are used unless explicitly marked PDF.</x:v>
      </x:c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34" customHeight="1">
      <x:c r="A5" s="7" t="str">
        <x:v>ID</x:v>
      </x:c>
      <x:c r="B5" s="7" t="str">
        <x:v>Source</x:v>
      </x:c>
      <x:c r="C5" s="7" t="str">
        <x:v>Period / date</x:v>
      </x:c>
      <x:c r="D5" s="7" t="str">
        <x:v>Location</x:v>
      </x:c>
      <x:c r="E5" s="7" t="str">
        <x:v>Data / scope</x:v>
      </x:c>
      <x:c r="F5" s="7" t="str">
        <x:v>URL</x:v>
      </x:c>
    </x:row>
    <x:row r="6" ht="50" customHeight="1">
      <x:c r="A6" s="21" t="str">
        <x:v>S01</x:v>
      </x:c>
      <x:c r="B6" s="22" t="str">
        <x:v>GSK India FY26 annual report</x:v>
      </x:c>
      <x:c r="C6" s="22" t="str">
        <x:v>FY26</x:v>
      </x:c>
      <x:c r="D6" s="22" t="str">
        <x:v>Printed p112, standalone Note 27</x:v>
      </x:c>
      <x:c r="E6" s="22" t="str">
        <x:v>India revenue ₹3,783.0599cr; other operating revenue ₹27.6010cr; total revenue ₹3,790.2027cr.</x:v>
      </x:c>
      <x:c r="F6" s="22" t="str">
        <x:v>https://india-pharma.gsk.com/media/scfg3eux/annual-report-2025-26.pdf</x:v>
      </x:c>
    </x:row>
    <x:row r="7" ht="50" customHeight="1">
      <x:c r="A7" s="21" t="str">
        <x:v>S02</x:v>
      </x:c>
      <x:c r="B7" s="22" t="str">
        <x:v>PharmaNow interview: Dr Pankaj Gursahani</x:v>
      </x:c>
      <x:c r="C7" s="22" t="str">
        <x:v>1 Aug 2025</x:v>
      </x:c>
      <x:c r="D7" s="22" t="str">
        <x:v>Question: size of GSK field force</x:v>
      </x:c>
      <x:c r="E7" s="22" t="str">
        <x:v>About 2,500 in India. Executive interview with explicit personal-views disclaimer; not an audited annual-average MR count.</x:v>
      </x:c>
      <x:c r="F7" s="22" t="str">
        <x:v>https://www.pharmanow.live/pharma-interviews/dr-pankaj-gsk-sales-excellence</x:v>
      </x:c>
    </x:row>
    <x:row r="8" ht="50" customHeight="1">
      <x:c r="A8" s="21" t="str">
        <x:v>S03</x:v>
      </x:c>
      <x:c r="B8" s="22" t="str">
        <x:v>Abbott India FY26 annual report</x:v>
      </x:c>
      <x:c r="C8" s="22" t="str">
        <x:v>FY26</x:v>
      </x:c>
      <x:c r="D8" s="22" t="str">
        <x:v>Printed p97, p121 / p125 BRSR; p209 Note 24</x:v>
      </x:c>
      <x:c r="E8" s="22" t="str">
        <x:v>India goods sales ₹6,764.21cr. Non-worker permanent employees: FY25 3,438; FY26 3,467. Field count is estimated using the FY24 commercial-share anchor.</x:v>
      </x:c>
      <x:c r="F8" s="22" t="str">
        <x:v>https://www.abbott.co.in/content/dam/corp/abbott/en-ind/pdf/financials/2025-26-Annual-Report.pdf</x:v>
      </x:c>
    </x:row>
    <x:row r="9" ht="50" customHeight="1">
      <x:c r="A9" s="21" t="str">
        <x:v>S04</x:v>
      </x:c>
      <x:c r="B9" s="22" t="str">
        <x:v>Abbott India FY24 annual report</x:v>
      </x:c>
      <x:c r="C9" s="22" t="str">
        <x:v>FY24</x:v>
      </x:c>
      <x:c r="D9" s="22" t="str">
        <x:v>Printed p11, p69 BRSR, p185 Note 24</x:v>
      </x:c>
      <x:c r="E9" s="22" t="str">
        <x:v>FY24 3,250+ sales colleagues; 3,589 non-worker permanent employees; India goods ₹5,701.56cr. 3,250 is used as a rounded anchor, not an exact census.</x:v>
      </x:c>
      <x:c r="F9" s="22" t="str">
        <x:v>https://www.abbott.co.in/content/dam/corp/abbott/en-ind/pdf/agm/Annual-Report-2023-24.pdf</x:v>
      </x:c>
    </x:row>
    <x:row r="10" ht="50" customHeight="1">
      <x:c r="A10" s="21" t="str">
        <x:v>S05</x:v>
      </x:c>
      <x:c r="B10" s="22" t="str">
        <x:v>Pfizer Ltd FY26 annual report</x:v>
      </x:c>
      <x:c r="C10" s="22" t="str">
        <x:v>FY26</x:v>
      </x:c>
      <x:c r="D10" s="22" t="str">
        <x:v>Printed p104–105 and p122–123 BRSR; p200–201 Note 22; p228–229 Note 39</x:v>
      </x:c>
      <x:c r="E10" s="22" t="str">
        <x:v>FY26 product sales ₹2,377.11cr; operating revenue ₹2,519.65cr; India revenue ₹2,423.31cr. Non-worker permanent employees: FY25 1,563; FY26 1,209. 80% field share is assumed. Partner-promoted revenue remains included.</x:v>
      </x:c>
      <x:c r="F10" s="22" t="str">
        <x:v>https://www.pfizerltd.co.in/files/Pfizer_Limited_-_Annual_Report_FY_2026.pdf</x:v>
      </x:c>
    </x:row>
    <x:row r="11" ht="50" customHeight="1">
      <x:c r="A11" s="21" t="str">
        <x:v>S06</x:v>
      </x:c>
      <x:c r="B11" s="22" t="str">
        <x:v>AstraZeneca Pharma India FY26 annual report</x:v>
      </x:c>
      <x:c r="C11" s="22" t="str">
        <x:v>FY26</x:v>
      </x:c>
      <x:c r="D11" s="22" t="str">
        <x:v>Printed p191, Note 43 (PDF p193)</x:v>
      </x:c>
      <x:c r="E11" s="22" t="str">
        <x:v>FY26 domestic products ₹2,155.02cr; operating revenue ₹2,275.58cr; total products ₹2,155.88cr. Total company employees 802 in FY25 and 760 in FY26. 5% sales-force growth assumption is anchored on FY24 c.540 reps.</x:v>
      </x:c>
      <x:c r="F11" s="22" t="str">
        <x:v>https://www.astrazeneca.in/content/dam/az-in/pdf/2026/Annual_Report-2025-26/Annual-Report-2025-26.pdf</x:v>
      </x:c>
    </x:row>
    <x:row r="12" ht="50" customHeight="1">
      <x:c r="A12" s="21" t="str">
        <x:v>S07</x:v>
      </x:c>
      <x:c r="B12" s="22" t="str">
        <x:v>ETHRWorld interview: Amarpreet Ahuja, India HR director</x:v>
      </x:c>
      <x:c r="C12" s="22" t="str">
        <x:v>23 Nov 2023</x:v>
      </x:c>
      <x:c r="D12" s="22" t="str">
        <x:v>Section: Women in sales</x:v>
      </x:c>
      <x:c r="E12" s="22" t="str">
        <x:v>Around 540 frontline sales representatives across India. Broader 4,500 India staff includes other operations and is not used.</x:v>
      </x:c>
      <x:c r="F12" s="22" t="str">
        <x:v>https://hr.economictimes.indiatimes.com/amp/news/hrtech/talent-acquisition-and-management/how-astrazeneca-india-brought-down-its-women-attrition-rate-by-50/105428785</x:v>
      </x:c>
    </x:row>
    <x:row r="13" ht="50" customHeight="1">
      <x:c r="A13" s="21" t="str">
        <x:v>S08</x:v>
      </x:c>
      <x:c r="B13" s="22" t="str">
        <x:v>AstraZeneca Pharma India FY24 annual report</x:v>
      </x:c>
      <x:c r="C13" s="22" t="str">
        <x:v>FY24</x:v>
      </x:c>
      <x:c r="D13" s="22" t="str">
        <x:v>Printed p173 Note 43; p154 Note 31</x:v>
      </x:c>
      <x:c r="E13" s="22" t="str">
        <x:v>Domestic products ₹12,019.3m. Export products and clinical-trial services excluded.</x:v>
      </x:c>
      <x:c r="F13" s="22" t="str">
        <x:v>https://www.astrazeneca.in/content/dam/az-in/pdf/2024/July/Annual%20Report%202023-24.pdf</x:v>
      </x:c>
    </x:row>
    <x:row r="14" ht="50" customHeight="1">
      <x:c r="A14" s="21" t="str">
        <x:v>S09</x:v>
      </x:c>
      <x:c r="B14" s="22" t="str">
        <x:v>Sanofi India annual report 2025</x:v>
      </x:c>
      <x:c r="C14" s="22" t="str">
        <x:v>CY25</x:v>
      </x:c>
      <x:c r="D14" s="22" t="str">
        <x:v>Printed p92–93, p104–105 BRSR; p186–189 revenue notes</x:v>
      </x:c>
      <x:c r="E14" s="22" t="str">
        <x:v>CY25 India revenue ₹1,592.9cr; operating revenue ₹1,837.4cr; product sales ₹1,735.8cr. Non-worker permanent employees: CY24 991; CY25 871. Assumed own-field share 70%.</x:v>
      </x:c>
      <x:c r="F14" s="22" t="str">
        <x:v>https://www.sanofi.com/assets/countries/india/docs/Investors/annual-reports/2005/Annual-Report-2025.pdf</x:v>
      </x:c>
    </x:row>
    <x:row r="15" ht="50" customHeight="1">
      <x:c r="A15" s="21" t="str">
        <x:v>S10</x:v>
      </x:c>
      <x:c r="B15" s="22" t="str">
        <x:v>Sanofi India investor call</x:v>
      </x:c>
      <x:c r="C15" s="22" t="str">
        <x:v>16 May 2024</x:v>
      </x:c>
      <x:c r="D15" s="22" t="str">
        <x:v>Transcript p11 and p14</x:v>
      </x:c>
      <x:c r="E15" s="22" t="str">
        <x:v>Management says MR counts are not typically disclosed. Sanofi books sales on partner-promoted brands; promotion resources sit with partners.</x:v>
      </x:c>
      <x:c r="F15" s="22" t="str">
        <x:v>https://www.sanofi.com/assets/countries/india/docs/Investors/investor-information/analyst-investor-meet/2024/transcript-of-investor-analyst-call-may-2024.pdf</x:v>
      </x:c>
    </x:row>
    <x:row r="16" ht="50" customHeight="1">
      <x:c r="A16" s="21" t="str">
        <x:v>S11</x:v>
      </x:c>
      <x:c r="B16" s="22" t="str">
        <x:v>Sun Pharma investor presentation</x:v>
      </x:c>
      <x:c r="C16" s="22" t="str">
        <x:v>Sep 2026</x:v>
      </x:c>
      <x:c r="D16" s="22" t="str">
        <x:v>Printed p10 and p30</x:v>
      </x:c>
      <x:c r="E16" s="22" t="str">
        <x:v>FY26 India formulations ₹192,904m; 16,767 MRs; sales/MR ₹11.5m. FY24 13,984 MRs; sales/MR ₹10.6m.</x:v>
      </x:c>
      <x:c r="F16" s="22" t="str">
        <x:v>https://sunpharma.com/wp-content/uploads/2026/09/SPIL-IR-Presentation-Sept-2026-INR-1.pdf</x:v>
      </x:c>
    </x:row>
    <x:row r="17" ht="50" customHeight="1">
      <x:c r="A17" s="21" t="str">
        <x:v>S12</x:v>
      </x:c>
      <x:c r="B17" s="22" t="str">
        <x:v>Cipla FY26 annual report</x:v>
      </x:c>
      <x:c r="C17" s="22" t="str">
        <x:v>FY26</x:v>
      </x:c>
      <x:c r="D17" s="22" t="str">
        <x:v>Printed p386 (PDF p387), consolidated revenue disaggregation; p5</x:v>
      </x:c>
      <x:c r="E17" s="22" t="str">
        <x:v>India trade and branded generics ₹12,679.44cr. India prescription portfolio ₹9,500cr+. Main ratio uses wider India segment and is not pure Rx PCPM.</x:v>
      </x:c>
      <x:c r="F17" s="22" t="str">
        <x:v>https://www.cipla.com/sites/default/files/Cipla-Annual-Report-FY2025-26.pdf</x:v>
      </x:c>
    </x:row>
    <x:row r="18" ht="50" customHeight="1">
      <x:c r="A18" s="21" t="str">
        <x:v>S13</x:v>
      </x:c>
      <x:c r="B18" s="22" t="str">
        <x:v>Cipla Q1 FY27 earnings call</x:v>
      </x:c>
      <x:c r="C18" s="22" t="str">
        <x:v>23 Jul 2026</x:v>
      </x:c>
      <x:c r="D18" s="22" t="str">
        <x:v>Transcript p14</x:v>
      </x:c>
      <x:c r="E18" s="22" t="str">
        <x:v>In response to an India MR-count question, CEO reports approximately 12,000 people in field force. No significant current-year additions planned.</x:v>
      </x:c>
      <x:c r="F18" s="22" t="str">
        <x:v>https://www.cipla.com/sites/default/files/Cipla-Earnings-Jul23-2026.pdf</x:v>
      </x:c>
    </x:row>
    <x:row r="19" ht="50" customHeight="1">
      <x:c r="A19" s="21" t="str">
        <x:v>S14</x:v>
      </x:c>
      <x:c r="B19" s="22" t="str">
        <x:v>Glassdoor India Medical Representative table, page 2</x:v>
      </x:c>
      <x:c r="C19" s="22" t="str">
        <x:v>Retrieved 19 Oct 2026</x:v>
      </x:c>
      <x:c r="D19" s="22" t="str">
        <x:v>Popular companies: GSK</x:v>
      </x:c>
      <x:c r="E19" s="22" t="str">
        <x:v>Median total pay ₹6 lakh/year; most-likely range ₹4–9 lakh/year. Company-specific sample count not exposed.</x:v>
      </x:c>
      <x:c r="F19" s="22" t="str">
        <x:v>https://www.glassdoor.co.in/Salaries/india-medical-representative-salary-SRCH_IL.0,5_IN115_KO6,28_P2.htm</x:v>
      </x:c>
    </x:row>
    <x:row r="20" ht="50" customHeight="1">
      <x:c r="A20" s="21" t="str">
        <x:v>S15</x:v>
      </x:c>
      <x:c r="B20" s="22" t="str">
        <x:v>Glassdoor India Medical Representative table, page 3</x:v>
      </x:c>
      <x:c r="C20" s="22" t="str">
        <x:v>Retrieved 19 Oct 2026</x:v>
      </x:c>
      <x:c r="D20" s="22" t="str">
        <x:v>Popular companies: Abbott</x:v>
      </x:c>
      <x:c r="E20" s="22" t="str">
        <x:v>Median total pay ₹6 lakh/year; most-likely range ₹4–7 lakh/year. Employer is Abbott, not explicitly Abbott India Ltd.</x:v>
      </x:c>
      <x:c r="F20" s="22" t="str">
        <x:v>https://www.glassdoor.co.in/Salaries/india-medical-representative-salary-SRCH_IL.0,5_IN115_KO6,28_P3.htm</x:v>
      </x:c>
    </x:row>
    <x:row r="21" ht="50" customHeight="1">
      <x:c r="A21" s="21" t="str">
        <x:v>S16</x:v>
      </x:c>
      <x:c r="B21" s="22" t="str">
        <x:v>Glassdoor India Medical Representative table, page 1</x:v>
      </x:c>
      <x:c r="C21" s="22" t="str">
        <x:v>Retrieved 19 Oct 2026</x:v>
      </x:c>
      <x:c r="D21" s="22" t="str">
        <x:v>Popular companies: Sun and Cipla</x:v>
      </x:c>
      <x:c r="E21" s="22" t="str">
        <x:v>Sun median ₹32k/month, range ₹22–53k. Cipla median ₹30k/month, range ₹24–42k. Annual factor from ₹000/month to ₹lakh/year = 12 × 1,000 / 100,000 = 0.12.</x:v>
      </x:c>
      <x:c r="F21" s="22" t="str">
        <x:v>https://www.glassdoor.co.in/Salaries/india-medical-representative-salary-SRCH_IL.0,5_IN115_KO6,28.htm</x:v>
      </x:c>
    </x:row>
    <x:row r="22" ht="50" customHeight="1">
      <x:c r="A22" s="21" t="str">
        <x:v>S17</x:v>
      </x:c>
      <x:c r="B22" s="22" t="str">
        <x:v>Glassdoor India Medical Representative table, page 5</x:v>
      </x:c>
      <x:c r="C22" s="22" t="str">
        <x:v>Retrieved 19 Oct 2026</x:v>
      </x:c>
      <x:c r="D22" s="22" t="str">
        <x:v>Popular companies: Sanofi</x:v>
      </x:c>
      <x:c r="E22" s="22" t="str">
        <x:v>Median total pay ₹8 lakh/year; most-likely range ₹4–10 lakh/year. Employer label may span group entities.</x:v>
      </x:c>
      <x:c r="F22" s="22" t="str">
        <x:v>https://www.glassdoor.co.in/Salaries/india-medical-representative-salary-SRCH_IL.0,5_IN115_KO6,28_P5.htm</x:v>
      </x:c>
    </x:row>
    <x:row r="23" ht="50" customHeight="1">
      <x:c r="A23" s="21" t="str">
        <x:v>S18</x:v>
      </x:c>
      <x:c r="B23" s="22" t="str">
        <x:v>AmbitionBox Abbott MR page, India comparator table</x:v>
      </x:c>
      <x:c r="C23" s="22" t="str">
        <x:v>Updated 2025; retrieved 19 Oct 2026</x:v>
      </x:c>
      <x:c r="D23" s="22" t="str">
        <x:v>Similar companies / higher salaries</x:v>
      </x:c>
      <x:c r="E23" s="22" t="str">
        <x:v>AstraZeneca MR range ₹4.3–9.2 lakh/year, 11 reports, 1–15 years experience. Pfizer MR range ₹2.5–7.1 lakh/year. No verified median or arithmetic mean.</x:v>
      </x:c>
      <x:c r="F23" s="22" t="str">
        <x:v>https://www.ambitionbox.com/salaries/abbott-salaries/medical-representative</x:v>
      </x:c>
    </x:row>
    <x:row r="24" ht="50" customHeight="1">
      <x:c r="A24" s="21" t="str">
        <x:v>S19</x:v>
      </x:c>
      <x:c r="B24" s="22" t="str">
        <x:v>Glassdoor GSK salary overview</x:v>
      </x:c>
      <x:c r="C24" s="22" t="str">
        <x:v>Retrieved 19 Oct 2026</x:v>
      </x:c>
      <x:c r="D24" s="22" t="str">
        <x:v>Medical Business Associate</x:v>
      </x:c>
      <x:c r="E24" s="22" t="str">
        <x:v>60 reports, annual range ₹369,000–514,000. Role-title sensitivity only; no matching median used.</x:v>
      </x:c>
      <x:c r="F24" s="22" t="str">
        <x:v>https://static.glassdoor.co.in/Salary/GSK-Salaries-E3477.htm</x:v>
      </x:c>
    </x:row>
    <x:row r="25" ht="50" customHeight="1">
      <x:c r="A25" s="21" t="str">
        <x:v>S20</x:v>
      </x:c>
      <x:c r="B25" s="22" t="str">
        <x:v>Glassdoor Pfizer salary overview, page 2</x:v>
      </x:c>
      <x:c r="C25" s="22" t="str">
        <x:v>Retrieved 19 Oct 2026</x:v>
      </x:c>
      <x:c r="D25" s="22" t="str">
        <x:v>Medical Representative</x:v>
      </x:c>
      <x:c r="E25" s="22" t="str">
        <x:v>7 reports, INR annual range ₹540,000–720,000. Country filter not explicit; separate from Pfizer Limited employer listing. Sensitivity only.</x:v>
      </x:c>
      <x:c r="F25" s="22" t="str">
        <x:v>https://static.glassdoor.co.in/Salary/Pfizer-Salaries-E525_P2.htm</x:v>
      </x:c>
    </x:row>
    <x:row r="26" ht="62" customHeight="1">
      <x:c r="A26" s="2" t="str">
        <x:v>S21</x:v>
      </x:c>
      <x:c r="B26" s="11" t="str">
        <x:v>Cipla annual report FY25</x:v>
      </x:c>
      <x:c r="C26" s="11" t="str">
        <x:v>FY25</x:v>
      </x:c>
      <x:c r="D26" s="11" t="str">
        <x:v>Printed p30, India branded prescription business</x:v>
      </x:c>
      <x:c r="E26" s="11" t="str">
        <x:v>Field force expanded from 10,470 in FY24 to 11,512 in FY25. FY26 average is estimated with the c.12,000 Jul-26 disclosure.</x:v>
      </x:c>
      <x:c r="F26" s="11" t="str">
        <x:v>https://www.cipla.com/sites/default/files/Cipla-AR-2024-25.pdf</x:v>
      </x:c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 t="str">
        <x:v>Analyst estimates: field-force shares, growth rates, average-force proxies, geographical product allocation and salary-range midpoints are explicit assumptions.</x:v>
      </x:c>
      <x:c r="B28" s="2"/>
      <x:c r="C28" s="2"/>
      <x:c r="D28" s="2"/>
      <x:c r="E28" s="2"/>
      <x:c r="F28" s="2"/>
    </x:row>
    <x:row r="29" ht="22" customHeight="1">
      <x:c r="A29" s="2" t="str">
        <x:v>User assumption: all salary figures × 1.5 to estimate CTC. Source salary inputs are retained; neither publishers nor companies have verified the uplift.</x:v>
      </x:c>
      <x:c r="B29" s="2"/>
      <x:c r="C29" s="2"/>
      <x:c r="D29" s="2"/>
      <x:c r="E29" s="2"/>
      <x:c r="F29" s="2"/>
    </x:row>
    <x:row r="30">
      <x:c r="A30" t="str">
        <x:v>Monthly sales per field employee captures portfolio value, promotion partnerships, distribution and staffing as well as selling execution.</x:v>
      </x:c>
    </x:row>
  </x:sheetData>
  <x:pageMargins left="0.7" right="0.7" top="0.75" bottom="0.75" header="0.3" footer="0.3"/>
</x:worksheet>
</file>