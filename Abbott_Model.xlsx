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906225fa2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 Model" sheetId="1" r:id="Rf155d468095f4c07"/>
    <x:sheet xmlns:r="http://schemas.openxmlformats.org/officeDocument/2006/relationships" name="Assumptions &amp; Sources" sheetId="2" r:id="R0cbf37506dea417d"/>
    <x:sheet xmlns:r="http://schemas.openxmlformats.org/officeDocument/2006/relationships" name="P&amp;L" sheetId="3" r:id="Re9d1b73ec7b047a7"/>
    <x:sheet xmlns:r="http://schemas.openxmlformats.org/officeDocument/2006/relationships" name="Balance Sheet" sheetId="4" r:id="Rbe13a86c36a04aa3"/>
    <x:sheet xmlns:r="http://schemas.openxmlformats.org/officeDocument/2006/relationships" name="Cash Flow" sheetId="5" r:id="R6074c01f8933470e"/>
    <x:sheet xmlns:r="http://schemas.openxmlformats.org/officeDocument/2006/relationships" name="Fin Assumptions" sheetId="6" r:id="R562240bf538b4c26"/>
    <x:sheet xmlns:r="http://schemas.openxmlformats.org/officeDocument/2006/relationships" name="Schedules" sheetId="7" r:id="Ra4c6c47324144b40"/>
    <x:sheet xmlns:r="http://schemas.openxmlformats.org/officeDocument/2006/relationships" name="Checks" sheetId="8" r:id="R33447429c9b0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;[Red](#,##0.0);-"/>
    <x:numFmt numFmtId="201" formatCode="0.0%;[Red](0.0%);-"/>
    <x:numFmt numFmtId="202" formatCode="#,##0"/>
    <x:numFmt numFmtId="203" formatCode="0%"/>
    <x:numFmt numFmtId="204" formatCode="#,##0.0"/>
    <x:numFmt numFmtId="205" formatCode="0.0%"/>
    <x:numFmt numFmtId="206" formatCode="#,##0.0;(#,##0.0);&quot;-&quot;"/>
    <x:numFmt numFmtId="207" formatCode="0.0"/>
    <x:numFmt numFmtId="208" formatCode="0.00"/>
    <x:numFmt numFmtId="209" formatCode="0.000000"/>
    <x:numFmt numFmtId="210" formatCode="0.00;(0.00);0.00"/>
  </x:numFmts>
  <x:fonts count="37">
    <x:font>
      <x:sz val="11"/>
      <x:name val="Carlito"/>
    </x:font>
    <x:font>
      <x:b/>
      <x:sz val="15"/>
      <x:color rgb="FF000000"/>
      <x:name val="Arial"/>
    </x:font>
    <x:font>
      <x:i/>
      <x:sz val="9"/>
      <x:color rgb="FF666666"/>
      <x:name val="Arial"/>
    </x:font>
    <x:font>
      <x:b/>
      <x:sz val="9"/>
      <x:color rgb="FFFFFFFF"/>
      <x:name val="Arial"/>
    </x:font>
    <x:font>
      <x:sz val="9"/>
      <x:color rgb="FF0000FF"/>
      <x:name val="Arial"/>
    </x:font>
    <x:font>
      <x:i/>
      <x:sz val="8"/>
      <x:color rgb="FF666666"/>
      <x:name val="Arial"/>
    </x:font>
    <x:font>
      <x:sz val="9"/>
      <x:color rgb="FF666666"/>
      <x:name val="Arial"/>
    </x:font>
    <x:font>
      <x:sz val="9"/>
      <x:color rgb="FF000000"/>
      <x:name val="Arial"/>
    </x:font>
    <x:font>
      <x:sz val="8"/>
      <x:color rgb="FF666666"/>
      <x:name val="Arial"/>
    </x:font>
    <x:font>
      <x:b/>
      <x:sz val="9"/>
      <x:color rgb="FF07344B"/>
      <x:name val="Arial"/>
    </x:font>
    <x:font>
      <x:b/>
      <x:sz val="9"/>
      <x:color rgb="FF000000"/>
      <x:name val="Arial"/>
    </x:font>
    <x:font>
      <x:sz val="9"/>
      <x:color rgb="FFC00000"/>
      <x:name val="Arial"/>
    </x:font>
    <x:font>
      <x:i/>
      <x:sz val="9"/>
      <x:color rgb="FF000000"/>
      <x:name val="Arial"/>
    </x:font>
    <x:font>
      <x:b/>
      <x:i/>
      <x:sz val="9"/>
      <x:color rgb="FF000000"/>
      <x:name val="Arial"/>
    </x:font>
    <x:font>
      <x:sz val="9"/>
      <x:color rgb="FF008000"/>
      <x:name val="Arial"/>
    </x:font>
    <x:font>
      <x:b/>
      <x:sz val="9"/>
      <x:color rgb="FF008000"/>
      <x:name val="Arial"/>
    </x:font>
    <x:font>
      <x:sz val="10"/>
      <x:color rgb="FF222222"/>
      <x:name val="Arial"/>
    </x:font>
    <x:font>
      <x:b/>
      <x:sz val="15"/>
      <x:color rgb="FF105574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05574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i/>
      <x:sz val="10"/>
      <x:color rgb="FF222222"/>
      <x:name val="Arial"/>
    </x:font>
    <x:font>
      <x:i/>
      <x:sz val="10"/>
      <x:color rgb="FF000000"/>
      <x:name val="Arial"/>
    </x:font>
    <x:font>
      <x:b/>
      <x:sz val="10"/>
      <x:color rgb="FF222222"/>
      <x:name val="Arial"/>
    </x:font>
    <x:font>
      <x:b/>
      <x:sz val="10"/>
      <x:color rgb="FF000000"/>
      <x:name val="Arial"/>
    </x:font>
    <x:font>
      <x:i/>
      <x:sz val="10"/>
      <x:color rgb="FF008000"/>
      <x:name val="Arial"/>
    </x:font>
    <x:font>
      <x:i/>
      <x:sz val="10"/>
      <x:color rgb="FF0000FF"/>
      <x:name val="Arial"/>
    </x:font>
    <x:font>
      <x:b/>
      <x:sz val="10"/>
      <x:color rgb="FF0000FF"/>
      <x:name val="Arial"/>
    </x:font>
    <x:font>
      <x:b/>
      <x:sz val="15"/>
      <x:color rgb="FF222222"/>
      <x:name val="Arial"/>
    </x:font>
    <x:font>
      <x:sz val="9"/>
      <x:color rgb="FF222222"/>
      <x:name val="Arial"/>
    </x:font>
    <x:font>
      <x:b/>
      <x:sz val="9"/>
      <x:color rgb="FF105574"/>
      <x:name val="Arial"/>
    </x:font>
    <x:font>
      <x:b/>
      <x:sz val="9"/>
      <x:color rgb="FF222222"/>
      <x:name val="Arial"/>
    </x:font>
    <x:font>
      <x:i/>
      <x:sz val="9"/>
      <x:color rgb="FF222222"/>
      <x:name val="Arial"/>
    </x:font>
    <x:font>
      <x:b/>
      <x:sz val="9"/>
      <x:color rgb="FF0000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B4F71"/>
      </x:patternFill>
    </x:fill>
    <x:fill>
      <x:patternFill patternType="solid">
        <x:fgColor rgb="FFF2F2F2"/>
      </x:patternFill>
    </x:fill>
    <x:fill>
      <x:patternFill patternType="solid">
        <x:fgColor rgb="FFDCE9F0"/>
      </x:patternFill>
    </x:fill>
    <x:fill>
      <x:patternFill patternType="solid">
        <x:fgColor rgb="FFF4F8FA"/>
      </x:patternFill>
    </x:fill>
    <x:fill>
      <x:patternFill patternType="solid">
        <x:fgColor rgb="FFFAFAFA"/>
      </x:patternFill>
    </x:fill>
    <x:fill>
      <x:patternFill patternType="solid">
        <x:fgColor rgb="FF105574"/>
      </x:patternFill>
    </x:fill>
    <x:fill>
      <x:patternFill patternType="solid">
        <x:fgColor rgb="FFDFEBF2"/>
      </x:patternFill>
    </x:fill>
    <x:fill>
      <x:patternFill patternType="solid">
        <x:fgColor rgb="FFF2F6F8"/>
      </x:patternFill>
    </x:fill>
  </x:fills>
  <x:borders count="18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  <x:border>
      <x:bottom style="thin">
        <x:color rgb="FFB8CAD6"/>
      </x:bottom>
    </x:border>
    <x:border>
      <x:top style="thin">
        <x:color rgb="FF0B4F71"/>
      </x:top>
      <x:bottom style="double">
        <x:color rgb="FF07344B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B8CAD6"/>
      </x:bottom>
    </x:border>
    <x:border>
      <x:left style="medium">
        <x:color rgb="FF9E9E9E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9E9E9E"/>
      </x:left>
      <x:right style="thin">
        <x:color rgb="FFFFFFFF"/>
      </x:right>
      <x:bottom style="thin">
        <x:color rgb="FFE7E6E6"/>
      </x:bottom>
    </x:border>
    <x:border>
      <x:left style="medium">
        <x:color rgb="FF9E9E9E"/>
      </x:left>
      <x:right style="thin">
        <x:color rgb="FFFFFFFF"/>
      </x:right>
      <x:top style="thin">
        <x:color rgb="FFE7E6E6"/>
      </x:top>
      <x:bottom style="thin">
        <x:color rgb="FFE7E6E6"/>
      </x:bottom>
    </x:border>
    <x:border>
      <x:left style="medium">
        <x:color rgb="FF9E9E9E"/>
      </x:left>
      <x:right style="thin">
        <x:color rgb="FFFFFFFF"/>
      </x:right>
      <x:top style="thin">
        <x:color rgb="FFE7E6E6"/>
      </x:top>
      <x:bottom style="thin">
        <x:color rgb="FFFFFFFF"/>
      </x:bottom>
    </x:border>
    <x:border>
      <x:top style="thin">
        <x:color rgb="FF8EA6B4"/>
      </x:top>
    </x:border>
    <x:border>
      <x:left style="medium">
        <x:color rgb="FF8EA6B4"/>
      </x:left>
    </x:border>
    <x:border>
      <x:left style="medium">
        <x:color rgb="FF8EA6B4"/>
      </x:left>
      <x:top style="thin">
        <x:color rgb="FF8EA6B4"/>
      </x:top>
    </x:border>
  </x:borders>
  <x:cellStyleXfs count="1">
    <x:xf numFmtId="0" fontId="0" fillId="0" borderId="0"/>
  </x:cellStyleXfs>
  <x:cellXfs count="2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0" fontId="4" fillId="0" borderId="2" xfId="0" applyNumberFormat="1" applyFont="1" applyFill="1" applyBorder="1"/>
    <x:xf numFmtId="0" fontId="5" fillId="0" borderId="0" xfId="0" applyNumberFormat="1" applyFont="1" applyFill="1" applyBorder="1"/>
    <x:xf numFmtId="201" fontId="0" fillId="0" borderId="2" xfId="0" applyNumberFormat="1" applyFont="1" applyFill="1" applyBorder="1"/>
    <x:xf numFmtId="201" fontId="4" fillId="0" borderId="2" xfId="0" applyNumberFormat="1" applyFont="1" applyFill="1" applyBorder="1"/>
    <x:xf numFmtId="200" fontId="4" fillId="3" borderId="2" xfId="0" applyNumberFormat="1" applyFont="1" applyFill="1" applyBorder="1"/>
    <x:xf numFmtId="201" fontId="4" fillId="3" borderId="2" xfId="0" applyNumberFormat="1" applyFont="1" applyFill="1" applyBorder="1"/>
    <x:xf numFmtId="201" fontId="6" fillId="3" borderId="2" xfId="0" applyNumberFormat="1" applyFont="1" applyFill="1" applyBorder="1"/>
    <x:xf numFmtId="200" fontId="7" fillId="3" borderId="2" xfId="0" applyNumberFormat="1" applyFont="1" applyFill="1" applyBorder="1"/>
    <x:xf numFmtId="200" fontId="7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4" fillId="0" borderId="2" xfId="0" applyNumberFormat="1" applyFont="1" applyFill="1" applyBorder="1"/>
    <x:xf numFmtId="202" fontId="4" fillId="0" borderId="2" xfId="0" applyNumberFormat="1" applyFont="1" applyFill="1" applyBorder="1"/>
    <x:xf numFmtId="203" fontId="4" fillId="0" borderId="2" xfId="0" applyNumberFormat="1" applyFont="1" applyFill="1" applyBorder="1"/>
    <x:xf numFmtId="0" fontId="0" fillId="5" borderId="2" xfId="0" applyNumberFormat="1" applyFont="1" applyFill="1" applyBorder="1"/>
    <x:xf numFmtId="200" fontId="0" fillId="5" borderId="2" xfId="0" applyNumberFormat="1" applyFont="1" applyFill="1" applyBorder="1"/>
    <x:xf numFmtId="0" fontId="10" fillId="5" borderId="2" xfId="0" applyNumberFormat="1" applyFont="1" applyFill="1" applyBorder="1"/>
    <x:xf numFmtId="200" fontId="10" fillId="5" borderId="2" xfId="0" applyNumberFormat="1" applyFont="1" applyFill="1" applyBorder="1"/>
    <x:xf numFmtId="204" fontId="0" fillId="0" borderId="2" xfId="0" applyNumberFormat="1" applyFont="1" applyFill="1" applyBorder="1"/>
    <x:xf numFmtId="204" fontId="4" fillId="0" borderId="2" xfId="0" applyNumberFormat="1" applyFont="1" applyFill="1" applyBorder="1"/>
    <x:xf numFmtId="205" fontId="0" fillId="0" borderId="2" xfId="0" applyNumberFormat="1" applyFont="1" applyFill="1" applyBorder="1"/>
    <x:xf numFmtId="0" fontId="11" fillId="0" borderId="2" xfId="0" applyNumberFormat="1" applyFont="1" applyFill="1" applyBorder="1"/>
    <x:xf numFmtId="200" fontId="11" fillId="0" borderId="2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10" fillId="0" borderId="0" xfId="0" applyNumberFormat="1" applyFont="1" applyFill="1" applyBorder="1"/>
    <x:xf numFmtId="0" fontId="12" fillId="0" borderId="0" xfId="0" applyNumberFormat="1" applyFont="1" applyFill="1" applyBorder="1"/>
    <x:xf numFmtId="0" fontId="10" fillId="2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/>
    <x:xf numFmtId="201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201" fontId="7" fillId="3" borderId="2" xfId="0" applyNumberFormat="1" applyFont="1" applyFill="1" applyBorder="1"/>
    <x:xf numFmtId="0" fontId="10" fillId="4" borderId="0" xfId="0" applyNumberFormat="1" applyFont="1" applyFill="1" applyBorder="1"/>
    <x:xf numFmtId="202" fontId="7" fillId="0" borderId="2" xfId="0" applyNumberFormat="1" applyFont="1" applyFill="1" applyBorder="1"/>
    <x:xf numFmtId="203" fontId="7" fillId="0" borderId="2" xfId="0" applyNumberFormat="1" applyFont="1" applyFill="1" applyBorder="1"/>
    <x:xf numFmtId="204" fontId="7" fillId="0" borderId="2" xfId="0" applyNumberFormat="1" applyFont="1" applyFill="1" applyBorder="1"/>
    <x:xf numFmtId="205" fontId="7" fillId="0" borderId="2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9" fillId="4" borderId="6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6" xfId="0" applyNumberFormat="1" applyFont="1" applyFill="1" applyBorder="1"/>
    <x:xf numFmtId="0" fontId="0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4" borderId="7" xfId="0" applyNumberFormat="1" applyFont="1" applyFill="1" applyBorder="1"/>
    <x:xf numFmtId="0" fontId="13" fillId="3" borderId="0" xfId="0" applyNumberFormat="1" applyFont="1" applyFill="1" applyBorder="1"/>
    <x:xf numFmtId="0" fontId="10" fillId="4" borderId="6" xfId="0" applyNumberFormat="1" applyFont="1" applyFill="1" applyBorder="1"/>
    <x:xf numFmtId="0" fontId="7" fillId="6" borderId="0" xfId="0" applyNumberFormat="1" applyFont="1" applyFill="1" applyBorder="1"/>
    <x:xf numFmtId="0" fontId="10" fillId="6" borderId="0" xfId="0" applyNumberFormat="1" applyFont="1" applyFill="1" applyBorder="1"/>
    <x:xf numFmtId="0" fontId="14" fillId="0" borderId="0" xfId="0" applyNumberFormat="1" applyFont="1" applyFill="1" applyBorder="1"/>
    <x:xf numFmtId="0" fontId="15" fillId="5" borderId="6" xfId="0" applyNumberFormat="1" applyFont="1" applyFill="1" applyBorder="1"/>
    <x:xf numFmtId="0" fontId="15" fillId="4" borderId="6" xfId="0" applyNumberFormat="1" applyFont="1" applyFill="1" applyBorder="1"/>
    <x:xf numFmtId="0" fontId="15" fillId="3" borderId="0" xfId="0" applyNumberFormat="1" applyFont="1" applyFill="1" applyBorder="1"/>
    <x:xf numFmtId="0" fontId="15" fillId="4" borderId="7" xfId="0" applyNumberFormat="1" applyFont="1" applyFill="1" applyBorder="1"/>
    <x:xf numFmtId="200" fontId="7" fillId="6" borderId="0" xfId="0" applyNumberFormat="1" applyFont="1" applyFill="1" applyBorder="1"/>
    <x:xf numFmtId="200" fontId="14" fillId="0" borderId="0" xfId="0" applyNumberFormat="1" applyFont="1" applyFill="1" applyBorder="1"/>
    <x:xf numFmtId="200" fontId="7" fillId="0" borderId="0" xfId="0" applyNumberFormat="1" applyFont="1" applyFill="1" applyBorder="1"/>
    <x:xf numFmtId="200" fontId="10" fillId="5" borderId="6" xfId="0" applyNumberFormat="1" applyFont="1" applyFill="1" applyBorder="1"/>
    <x:xf numFmtId="200" fontId="15" fillId="5" borderId="6" xfId="0" applyNumberFormat="1" applyFont="1" applyFill="1" applyBorder="1"/>
    <x:xf numFmtId="200" fontId="9" fillId="4" borderId="6" xfId="0" applyNumberFormat="1" applyFont="1" applyFill="1" applyBorder="1"/>
    <x:xf numFmtId="200" fontId="15" fillId="4" borderId="6" xfId="0" applyNumberFormat="1" applyFont="1" applyFill="1" applyBorder="1"/>
    <x:xf numFmtId="200" fontId="10" fillId="3" borderId="0" xfId="0" applyNumberFormat="1" applyFont="1" applyFill="1" applyBorder="1"/>
    <x:xf numFmtId="200" fontId="15" fillId="3" borderId="0" xfId="0" applyNumberFormat="1" applyFont="1" applyFill="1" applyBorder="1"/>
    <x:xf numFmtId="200" fontId="10" fillId="6" borderId="0" xfId="0" applyNumberFormat="1" applyFont="1" applyFill="1" applyBorder="1"/>
    <x:xf numFmtId="200" fontId="15" fillId="4" borderId="7" xfId="0" applyNumberFormat="1" applyFont="1" applyFill="1" applyBorder="1"/>
    <x:xf numFmtId="200" fontId="10" fillId="4" borderId="7" xfId="0" applyNumberFormat="1" applyFont="1" applyFill="1" applyBorder="1"/>
    <x:xf numFmtId="201" fontId="13" fillId="3" borderId="0" xfId="0" applyNumberFormat="1" applyFont="1" applyFill="1" applyBorder="1"/>
    <x:xf numFmtId="0" fontId="9" fillId="4" borderId="8" xfId="0" applyNumberFormat="1" applyFont="1" applyFill="1" applyBorder="1"/>
    <x:xf numFmtId="0" fontId="7" fillId="0" borderId="9" xfId="0" applyNumberFormat="1" applyFont="1" applyFill="1" applyBorder="1"/>
    <x:xf numFmtId="200" fontId="7" fillId="6" borderId="9" xfId="0" applyNumberFormat="1" applyFont="1" applyFill="1" applyBorder="1"/>
    <x:xf numFmtId="200" fontId="14" fillId="0" borderId="9" xfId="0" applyNumberFormat="1" applyFont="1" applyFill="1" applyBorder="1"/>
    <x:xf numFmtId="200" fontId="7" fillId="0" borderId="9" xfId="0" applyNumberFormat="1" applyFont="1" applyFill="1" applyBorder="1"/>
    <x:xf numFmtId="0" fontId="10" fillId="5" borderId="9" xfId="0" applyNumberFormat="1" applyFont="1" applyFill="1" applyBorder="1"/>
    <x:xf numFmtId="200" fontId="10" fillId="5" borderId="9" xfId="0" applyNumberFormat="1" applyFont="1" applyFill="1" applyBorder="1"/>
    <x:xf numFmtId="200" fontId="15" fillId="5" borderId="9" xfId="0" applyNumberFormat="1" applyFont="1" applyFill="1" applyBorder="1"/>
    <x:xf numFmtId="0" fontId="9" fillId="4" borderId="9" xfId="0" applyNumberFormat="1" applyFont="1" applyFill="1" applyBorder="1"/>
    <x:xf numFmtId="200" fontId="9" fillId="4" borderId="9" xfId="0" applyNumberFormat="1" applyFont="1" applyFill="1" applyBorder="1"/>
    <x:xf numFmtId="200" fontId="15" fillId="4" borderId="9" xfId="0" applyNumberFormat="1" applyFont="1" applyFill="1" applyBorder="1"/>
    <x:xf numFmtId="0" fontId="10" fillId="3" borderId="9" xfId="0" applyNumberFormat="1" applyFont="1" applyFill="1" applyBorder="1"/>
    <x:xf numFmtId="200" fontId="10" fillId="3" borderId="9" xfId="0" applyNumberFormat="1" applyFont="1" applyFill="1" applyBorder="1"/>
    <x:xf numFmtId="200" fontId="15" fillId="3" borderId="9" xfId="0" applyNumberFormat="1" applyFont="1" applyFill="1" applyBorder="1"/>
    <x:xf numFmtId="200" fontId="10" fillId="6" borderId="9" xfId="0" applyNumberFormat="1" applyFont="1" applyFill="1" applyBorder="1"/>
    <x:xf numFmtId="0" fontId="10" fillId="4" borderId="9" xfId="0" applyNumberFormat="1" applyFont="1" applyFill="1" applyBorder="1"/>
    <x:xf numFmtId="200" fontId="10" fillId="4" borderId="9" xfId="0" applyNumberFormat="1" applyFont="1" applyFill="1" applyBorder="1"/>
    <x:xf numFmtId="0" fontId="13" fillId="3" borderId="10" xfId="0" applyNumberFormat="1" applyFont="1" applyFill="1" applyBorder="1"/>
    <x:xf numFmtId="201" fontId="13" fillId="3" borderId="10" xfId="0" applyNumberFormat="1" applyFont="1" applyFill="1" applyBorder="1"/>
    <x:xf numFmtId="0" fontId="3" fillId="2" borderId="11" xfId="0" applyNumberFormat="1" applyFont="1" applyFill="1" applyBorder="1" applyAlignment="1">
      <x:alignment horizontal="center" vertical="center" wrapText="1"/>
    </x:xf>
    <x:xf numFmtId="0" fontId="9" fillId="4" borderId="12" xfId="0" applyNumberFormat="1" applyFont="1" applyFill="1" applyBorder="1"/>
    <x:xf numFmtId="200" fontId="7" fillId="6" borderId="13" xfId="0" applyNumberFormat="1" applyFont="1" applyFill="1" applyBorder="1"/>
    <x:xf numFmtId="200" fontId="10" fillId="5" borderId="13" xfId="0" applyNumberFormat="1" applyFont="1" applyFill="1" applyBorder="1"/>
    <x:xf numFmtId="200" fontId="9" fillId="4" borderId="13" xfId="0" applyNumberFormat="1" applyFont="1" applyFill="1" applyBorder="1"/>
    <x:xf numFmtId="200" fontId="10" fillId="3" borderId="13" xfId="0" applyNumberFormat="1" applyFont="1" applyFill="1" applyBorder="1"/>
    <x:xf numFmtId="200" fontId="10" fillId="6" borderId="13" xfId="0" applyNumberFormat="1" applyFont="1" applyFill="1" applyBorder="1"/>
    <x:xf numFmtId="200" fontId="15" fillId="4" borderId="13" xfId="0" applyNumberFormat="1" applyFont="1" applyFill="1" applyBorder="1"/>
    <x:xf numFmtId="201" fontId="13" fillId="3" borderId="14" xfId="0" applyNumberFormat="1" applyFont="1" applyFill="1" applyBorder="1"/>
    <x:xf numFmtId="200" fontId="7" fillId="0" borderId="13" xfId="0" applyNumberFormat="1" applyFont="1" applyFill="1" applyBorder="1"/>
    <x:xf numFmtId="200" fontId="10" fillId="4" borderId="13" xfId="0" applyNumberFormat="1" applyFont="1" applyFill="1" applyBorder="1"/>
    <x:xf numFmtId="200" fontId="14" fillId="0" borderId="13" xfId="0" applyNumberFormat="1" applyFont="1" applyFill="1" applyBorder="1"/>
    <x:xf numFmtId="0" fontId="16" fillId="0" borderId="0" xfId="0" applyNumberFormat="1" applyFont="1" applyFill="1" applyBorder="1"/>
    <x:xf numFmtId="206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16" fillId="7" borderId="0" xfId="0" applyNumberFormat="1" applyFont="1" applyFill="1" applyBorder="1"/>
    <x:xf numFmtId="0" fontId="19" fillId="7" borderId="0" xfId="0" applyNumberFormat="1" applyFont="1" applyFill="1" applyBorder="1"/>
    <x:xf numFmtId="0" fontId="19" fillId="7" borderId="0" xfId="0" applyNumberFormat="1" applyFont="1" applyFill="1" applyBorder="1" applyAlignment="1">
      <x:alignment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6" fillId="8" borderId="0" xfId="0" applyNumberFormat="1" applyFont="1" applyFill="1" applyBorder="1"/>
    <x:xf numFmtId="206" fontId="16" fillId="8" borderId="0" xfId="0" applyNumberFormat="1" applyFont="1" applyFill="1" applyBorder="1"/>
    <x:xf numFmtId="0" fontId="20" fillId="8" borderId="0" xfId="0" applyNumberFormat="1" applyFont="1" applyFill="1" applyBorder="1"/>
    <x:xf numFmtId="206" fontId="20" fillId="8" borderId="0" xfId="0" applyNumberFormat="1" applyFont="1" applyFill="1" applyBorder="1"/>
    <x:xf numFmtId="206" fontId="21" fillId="0" borderId="0" xfId="0" applyNumberFormat="1" applyFont="1" applyFill="1" applyBorder="1"/>
    <x:xf numFmtId="206" fontId="22" fillId="0" borderId="0" xfId="0" applyNumberFormat="1" applyFont="1" applyFill="1" applyBorder="1"/>
    <x:xf numFmtId="206" fontId="23" fillId="0" borderId="0" xfId="0" applyNumberFormat="1" applyFont="1" applyFill="1" applyBorder="1"/>
    <x:xf numFmtId="205" fontId="16" fillId="0" borderId="0" xfId="0" applyNumberFormat="1" applyFont="1" applyFill="1" applyBorder="1"/>
    <x:xf numFmtId="205" fontId="22" fillId="0" borderId="0" xfId="0" applyNumberFormat="1" applyFont="1" applyFill="1" applyBorder="1"/>
    <x:xf numFmtId="0" fontId="24" fillId="0" borderId="0" xfId="0" applyNumberFormat="1" applyFont="1" applyFill="1" applyBorder="1"/>
    <x:xf numFmtId="205" fontId="24" fillId="0" borderId="0" xfId="0" applyNumberFormat="1" applyFont="1" applyFill="1" applyBorder="1"/>
    <x:xf numFmtId="205" fontId="25" fillId="0" borderId="0" xfId="0" applyNumberFormat="1" applyFont="1" applyFill="1" applyBorder="1"/>
    <x:xf numFmtId="0" fontId="16" fillId="9" borderId="0" xfId="0" applyNumberFormat="1" applyFont="1" applyFill="1" applyBorder="1"/>
    <x:xf numFmtId="206" fontId="22" fillId="9" borderId="0" xfId="0" applyNumberFormat="1" applyFont="1" applyFill="1" applyBorder="1"/>
    <x:xf numFmtId="0" fontId="26" fillId="9" borderId="0" xfId="0" applyNumberFormat="1" applyFont="1" applyFill="1" applyBorder="1"/>
    <x:xf numFmtId="206" fontId="27" fillId="9" borderId="0" xfId="0" applyNumberFormat="1" applyFont="1" applyFill="1" applyBorder="1"/>
    <x:xf numFmtId="0" fontId="26" fillId="9" borderId="15" xfId="0" applyNumberFormat="1" applyFont="1" applyFill="1" applyBorder="1"/>
    <x:xf numFmtId="206" fontId="27" fillId="9" borderId="15" xfId="0" applyNumberFormat="1" applyFont="1" applyFill="1" applyBorder="1"/>
    <x:xf numFmtId="206" fontId="16" fillId="7" borderId="0" xfId="0" applyNumberFormat="1" applyFont="1" applyFill="1" applyBorder="1"/>
    <x:xf numFmtId="206" fontId="19" fillId="7" borderId="0" xfId="0" applyNumberFormat="1" applyFont="1" applyFill="1" applyBorder="1"/>
    <x:xf numFmtId="207" fontId="16" fillId="0" borderId="0" xfId="0" applyNumberFormat="1" applyFont="1" applyFill="1" applyBorder="1"/>
    <x:xf numFmtId="208" fontId="16" fillId="0" borderId="0" xfId="0" applyNumberFormat="1" applyFont="1" applyFill="1" applyBorder="1"/>
    <x:xf numFmtId="209" fontId="16" fillId="0" borderId="0" xfId="0" applyNumberFormat="1" applyFont="1" applyFill="1" applyBorder="1"/>
    <x:xf numFmtId="205" fontId="28" fillId="0" borderId="0" xfId="0" applyNumberFormat="1" applyFont="1" applyFill="1" applyBorder="1"/>
    <x:xf numFmtId="207" fontId="21" fillId="0" borderId="0" xfId="0" applyNumberFormat="1" applyFont="1" applyFill="1" applyBorder="1"/>
    <x:xf numFmtId="208" fontId="21" fillId="0" borderId="0" xfId="0" applyNumberFormat="1" applyFont="1" applyFill="1" applyBorder="1"/>
    <x:xf numFmtId="209" fontId="21" fillId="0" borderId="0" xfId="0" applyNumberFormat="1" applyFont="1" applyFill="1" applyBorder="1"/>
    <x:xf numFmtId="205" fontId="29" fillId="0" borderId="0" xfId="0" applyNumberFormat="1" applyFont="1" applyFill="1" applyBorder="1"/>
    <x:xf numFmtId="207" fontId="23" fillId="0" borderId="0" xfId="0" applyNumberFormat="1" applyFont="1" applyFill="1" applyBorder="1"/>
    <x:xf numFmtId="209" fontId="23" fillId="0" borderId="0" xfId="0" applyNumberFormat="1" applyFont="1" applyFill="1" applyBorder="1"/>
    <x:xf numFmtId="208" fontId="23" fillId="0" borderId="0" xfId="0" applyNumberFormat="1" applyFont="1" applyFill="1" applyBorder="1"/>
    <x:xf numFmtId="206" fontId="18" fillId="0" borderId="0" xfId="0" applyNumberFormat="1" applyFont="1" applyFill="1" applyBorder="1"/>
    <x:xf numFmtId="206" fontId="16" fillId="9" borderId="0" xfId="0" applyNumberFormat="1" applyFont="1" applyFill="1" applyBorder="1"/>
    <x:xf numFmtId="206" fontId="26" fillId="9" borderId="0" xfId="0" applyNumberFormat="1" applyFont="1" applyFill="1" applyBorder="1"/>
    <x:xf numFmtId="206" fontId="26" fillId="9" borderId="15" xfId="0" applyNumberFormat="1" applyFont="1" applyFill="1" applyBorder="1"/>
    <x:xf numFmtId="208" fontId="26" fillId="9" borderId="15" xfId="0" applyNumberFormat="1" applyFont="1" applyFill="1" applyBorder="1"/>
    <x:xf numFmtId="206" fontId="30" fillId="9" borderId="15" xfId="0" applyNumberFormat="1" applyFont="1" applyFill="1" applyBorder="1"/>
    <x:xf numFmtId="208" fontId="30" fillId="9" borderId="15" xfId="0" applyNumberFormat="1" applyFont="1" applyFill="1" applyBorder="1"/>
    <x:xf numFmtId="208" fontId="27" fillId="9" borderId="15" xfId="0" applyNumberFormat="1" applyFont="1" applyFill="1" applyBorder="1"/>
    <x:xf numFmtId="209" fontId="22" fillId="0" borderId="0" xfId="0" applyNumberFormat="1" applyFont="1" applyFill="1" applyBorder="1"/>
    <x:xf numFmtId="210" fontId="22" fillId="0" borderId="0" xfId="0" applyNumberFormat="1" applyFont="1" applyFill="1" applyBorder="1"/>
    <x:xf numFmtId="210" fontId="16" fillId="0" borderId="0" xfId="0" applyNumberFormat="1" applyFont="1" applyFill="1" applyBorder="1"/>
    <x:xf numFmtId="210" fontId="27" fillId="9" borderId="15" xfId="0" applyNumberFormat="1" applyFont="1" applyFill="1" applyBorder="1"/>
    <x:xf numFmtId="210" fontId="26" fillId="9" borderId="15" xfId="0" applyNumberFormat="1" applyFont="1" applyFill="1" applyBorder="1"/>
    <x:xf numFmtId="0" fontId="31" fillId="0" borderId="0" xfId="0" applyNumberFormat="1" applyFont="1" applyFill="1" applyBorder="1"/>
    <x:xf numFmtId="0" fontId="26" fillId="7" borderId="0" xfId="0" applyNumberFormat="1" applyFont="1" applyFill="1" applyBorder="1" applyAlignment="1">
      <x:alignment vertical="center"/>
    </x:xf>
    <x:xf numFmtId="0" fontId="26" fillId="7" borderId="0" xfId="0" applyNumberFormat="1" applyFont="1" applyFill="1" applyBorder="1" applyAlignment="1">
      <x:alignment horizontal="center" vertical="center"/>
    </x:xf>
    <x:xf numFmtId="0" fontId="26" fillId="8" borderId="0" xfId="0" applyNumberFormat="1" applyFont="1" applyFill="1" applyBorder="1"/>
    <x:xf numFmtId="206" fontId="26" fillId="8" borderId="0" xfId="0" applyNumberFormat="1" applyFont="1" applyFill="1" applyBorder="1"/>
    <x:xf numFmtId="0" fontId="19" fillId="7" borderId="16" xfId="0" applyNumberFormat="1" applyFont="1" applyFill="1" applyBorder="1" applyAlignment="1">
      <x:alignment horizontal="center" vertical="center"/>
    </x:xf>
    <x:xf numFmtId="206" fontId="16" fillId="0" borderId="16" xfId="0" applyNumberFormat="1" applyFont="1" applyFill="1" applyBorder="1"/>
    <x:xf numFmtId="205" fontId="24" fillId="0" borderId="16" xfId="0" applyNumberFormat="1" applyFont="1" applyFill="1" applyBorder="1"/>
    <x:xf numFmtId="206" fontId="26" fillId="9" borderId="17" xfId="0" applyNumberFormat="1" applyFont="1" applyFill="1" applyBorder="1"/>
    <x:xf numFmtId="209" fontId="16" fillId="0" borderId="16" xfId="0" applyNumberFormat="1" applyFont="1" applyFill="1" applyBorder="1"/>
    <x:xf numFmtId="208" fontId="26" fillId="9" borderId="17" xfId="0" applyNumberFormat="1" applyFont="1" applyFill="1" applyBorder="1"/>
    <x:xf numFmtId="206" fontId="26" fillId="8" borderId="16" xfId="0" applyNumberFormat="1" applyFont="1" applyFill="1" applyBorder="1"/>
    <x:xf numFmtId="0" fontId="0" fillId="0" borderId="16" xfId="0" applyNumberFormat="1" applyFont="1" applyFill="1" applyBorder="1"/>
    <x:xf numFmtId="206" fontId="20" fillId="8" borderId="16" xfId="0" applyNumberFormat="1" applyFont="1" applyFill="1" applyBorder="1"/>
    <x:xf numFmtId="205" fontId="29" fillId="0" borderId="16" xfId="0" applyNumberFormat="1" applyFont="1" applyFill="1" applyBorder="1"/>
    <x:xf numFmtId="207" fontId="23" fillId="0" borderId="16" xfId="0" applyNumberFormat="1" applyFont="1" applyFill="1" applyBorder="1"/>
    <x:xf numFmtId="208" fontId="23" fillId="0" borderId="16" xfId="0" applyNumberFormat="1" applyFont="1" applyFill="1" applyBorder="1"/>
    <x:xf numFmtId="209" fontId="23" fillId="0" borderId="16" xfId="0" applyNumberFormat="1" applyFont="1" applyFill="1" applyBorder="1"/>
    <x:xf numFmtId="206" fontId="23" fillId="0" borderId="16" xfId="0" applyNumberFormat="1" applyFont="1" applyFill="1" applyBorder="1"/>
    <x:xf numFmtId="206" fontId="18" fillId="0" borderId="16" xfId="0" applyNumberFormat="1" applyFont="1" applyFill="1" applyBorder="1"/>
    <x:xf numFmtId="206" fontId="21" fillId="0" borderId="16" xfId="0" applyNumberFormat="1" applyFont="1" applyFill="1" applyBorder="1"/>
    <x:xf numFmtId="206" fontId="22" fillId="0" borderId="16" xfId="0" applyNumberFormat="1" applyFont="1" applyFill="1" applyBorder="1"/>
    <x:xf numFmtId="206" fontId="27" fillId="9" borderId="17" xfId="0" applyNumberFormat="1" applyFont="1" applyFill="1" applyBorder="1"/>
    <x:xf numFmtId="205" fontId="25" fillId="0" borderId="16" xfId="0" applyNumberFormat="1" applyFont="1" applyFill="1" applyBorder="1"/>
    <x:xf numFmtId="206" fontId="19" fillId="7" borderId="16" xfId="0" applyNumberFormat="1" applyFont="1" applyFill="1" applyBorder="1"/>
    <x:xf numFmtId="209" fontId="21" fillId="0" borderId="16" xfId="0" applyNumberFormat="1" applyFont="1" applyFill="1" applyBorder="1"/>
    <x:xf numFmtId="208" fontId="27" fillId="9" borderId="17" xfId="0" applyNumberFormat="1" applyFont="1" applyFill="1" applyBorder="1"/>
    <x:xf numFmtId="210" fontId="16" fillId="0" borderId="16" xfId="0" applyNumberFormat="1" applyFont="1" applyFill="1" applyBorder="1"/>
    <x:xf numFmtId="0" fontId="32" fillId="0" borderId="0" xfId="0" applyNumberFormat="1" applyFont="1" applyFill="1" applyBorder="1"/>
    <x:xf numFmtId="0" fontId="33" fillId="0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16" xfId="0" applyNumberFormat="1" applyFont="1" applyFill="1" applyBorder="1" applyAlignment="1">
      <x:alignment horizontal="center" vertical="center"/>
    </x:xf>
    <x:xf numFmtId="0" fontId="33" fillId="8" borderId="0" xfId="0" applyNumberFormat="1" applyFont="1" applyFill="1" applyBorder="1"/>
    <x:xf numFmtId="206" fontId="33" fillId="8" borderId="0" xfId="0" applyNumberFormat="1" applyFont="1" applyFill="1" applyBorder="1"/>
    <x:xf numFmtId="206" fontId="33" fillId="8" borderId="16" xfId="0" applyNumberFormat="1" applyFont="1" applyFill="1" applyBorder="1"/>
    <x:xf numFmtId="206" fontId="14" fillId="0" borderId="0" xfId="0" applyNumberFormat="1" applyFont="1" applyFill="1" applyBorder="1"/>
    <x:xf numFmtId="206" fontId="14" fillId="0" borderId="16" xfId="0" applyNumberFormat="1" applyFont="1" applyFill="1" applyBorder="1"/>
    <x:xf numFmtId="206" fontId="7" fillId="0" borderId="0" xfId="0" applyNumberFormat="1" applyFont="1" applyFill="1" applyBorder="1"/>
    <x:xf numFmtId="206" fontId="7" fillId="0" borderId="16" xfId="0" applyNumberFormat="1" applyFont="1" applyFill="1" applyBorder="1"/>
    <x:xf numFmtId="206" fontId="4" fillId="0" borderId="0" xfId="0" applyNumberFormat="1" applyFont="1" applyFill="1" applyBorder="1"/>
    <x:xf numFmtId="0" fontId="34" fillId="9" borderId="15" xfId="0" applyNumberFormat="1" applyFont="1" applyFill="1" applyBorder="1"/>
    <x:xf numFmtId="206" fontId="10" fillId="9" borderId="15" xfId="0" applyNumberFormat="1" applyFont="1" applyFill="1" applyBorder="1"/>
    <x:xf numFmtId="206" fontId="10" fillId="9" borderId="17" xfId="0" applyNumberFormat="1" applyFont="1" applyFill="1" applyBorder="1"/>
    <x:xf numFmtId="0" fontId="35" fillId="0" borderId="0" xfId="0" applyNumberFormat="1" applyFont="1" applyFill="1" applyBorder="1"/>
    <x:xf numFmtId="205" fontId="35" fillId="0" borderId="0" xfId="0" applyNumberFormat="1" applyFont="1" applyFill="1" applyBorder="1"/>
    <x:xf numFmtId="205" fontId="12" fillId="0" borderId="0" xfId="0" applyNumberFormat="1" applyFont="1" applyFill="1" applyBorder="1"/>
    <x:xf numFmtId="205" fontId="12" fillId="0" borderId="16" xfId="0" applyNumberFormat="1" applyFont="1" applyFill="1" applyBorder="1"/>
    <x:xf numFmtId="206" fontId="32" fillId="0" borderId="0" xfId="0" applyNumberFormat="1" applyFont="1" applyFill="1" applyBorder="1"/>
    <x:xf numFmtId="206" fontId="32" fillId="0" borderId="16" xfId="0" applyNumberFormat="1" applyFont="1" applyFill="1" applyBorder="1"/>
    <x:xf numFmtId="0" fontId="3" fillId="7" borderId="0" xfId="0" applyNumberFormat="1" applyFont="1" applyFill="1" applyBorder="1"/>
    <x:xf numFmtId="206" fontId="3" fillId="7" borderId="0" xfId="0" applyNumberFormat="1" applyFont="1" applyFill="1" applyBorder="1"/>
    <x:xf numFmtId="206" fontId="3" fillId="7" borderId="16" xfId="0" applyNumberFormat="1" applyFont="1" applyFill="1" applyBorder="1"/>
    <x:xf numFmtId="206" fontId="4" fillId="0" borderId="16" xfId="0" applyNumberFormat="1" applyFont="1" applyFill="1" applyBorder="1"/>
    <x:xf numFmtId="206" fontId="36" fillId="9" borderId="15" xfId="0" applyNumberFormat="1" applyFont="1" applyFill="1" applyBorder="1"/>
    <x:xf numFmtId="209" fontId="4" fillId="0" borderId="0" xfId="0" applyNumberFormat="1" applyFont="1" applyFill="1" applyBorder="1"/>
    <x:xf numFmtId="209" fontId="14" fillId="0" borderId="16" xfId="0" applyNumberFormat="1" applyFont="1" applyFill="1" applyBorder="1"/>
    <x:xf numFmtId="209" fontId="14" fillId="0" borderId="0" xfId="0" applyNumberFormat="1" applyFont="1" applyFill="1" applyBorder="1"/>
    <x:xf numFmtId="208" fontId="36" fillId="9" borderId="15" xfId="0" applyNumberFormat="1" applyFont="1" applyFill="1" applyBorder="1"/>
    <x:xf numFmtId="208" fontId="10" fillId="9" borderId="17" xfId="0" applyNumberFormat="1" applyFont="1" applyFill="1" applyBorder="1"/>
    <x:xf numFmtId="208" fontId="10" fillId="9" borderId="15" xfId="0" applyNumberFormat="1" applyFont="1" applyFill="1" applyBorder="1"/>
    <x:xf numFmtId="209" fontId="7" fillId="0" borderId="0" xfId="0" applyNumberFormat="1" applyFont="1" applyFill="1" applyBorder="1"/>
    <x:xf numFmtId="210" fontId="34" fillId="9" borderId="15" xfId="0" applyNumberFormat="1" applyFont="1" applyFill="1" applyBorder="1"/>
    <x:xf numFmtId="210" fontId="32" fillId="0" borderId="0" xfId="0" applyNumberFormat="1" applyFont="1" applyFill="1" applyBorder="1"/>
    <x:xf numFmtId="210" fontId="32" fillId="0" borderId="16" xfId="0" applyNumberFormat="1" applyFont="1" applyFill="1" applyBorder="1"/>
  </x:cellXfs>
  <x:cellStyles count="1">
    <x:cellStyle name="Normal" xfId="0"/>
  </x:cellStyles>
  <x:dxfs count="2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b31fa23e745e6" /><Relationship Type="http://schemas.openxmlformats.org/officeDocument/2006/relationships/theme" Target="/xl/theme/theme1.xml" Id="Rf429ea83c2c14ede" /><Relationship Type="http://schemas.openxmlformats.org/officeDocument/2006/relationships/sharedStrings" Target="/xl/sharedStrings.xml" Id="R24e04ffc72bb4303" /><Relationship Type="http://schemas.openxmlformats.org/officeDocument/2006/relationships/worksheet" Target="/xl/worksheets/sheet1.xml" Id="Rf155d468095f4c07" /><Relationship Type="http://schemas.openxmlformats.org/officeDocument/2006/relationships/worksheet" Target="/xl/worksheets/sheet2.xml" Id="R0cbf37506dea417d" /><Relationship Type="http://schemas.openxmlformats.org/officeDocument/2006/relationships/worksheet" Target="/xl/worksheets/sheet3.xml" Id="Re9d1b73ec7b047a7" /><Relationship Type="http://schemas.openxmlformats.org/officeDocument/2006/relationships/worksheet" Target="/xl/worksheets/sheet4.xml" Id="Rbe13a86c36a04aa3" /><Relationship Type="http://schemas.openxmlformats.org/officeDocument/2006/relationships/worksheet" Target="/xl/worksheets/sheet5.xml" Id="R6074c01f8933470e" /><Relationship Type="http://schemas.openxmlformats.org/officeDocument/2006/relationships/worksheet" Target="/xl/worksheets/sheet6.xml" Id="R562240bf538b4c26" /><Relationship Type="http://schemas.openxmlformats.org/officeDocument/2006/relationships/worksheet" Target="/xl/worksheets/sheet7.xml" Id="Ra4c6c47324144b40" /><Relationship Type="http://schemas.openxmlformats.org/officeDocument/2006/relationships/worksheet" Target="/xl/worksheets/sheet8.xml" Id="R33447429c9b042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4F7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19" hidden="0" customWidth="1"/>
    <x:col min="3" max="3" width="27" hidden="0" customWidth="1"/>
    <x:col min="4" max="4" width="11.199999809265137" hidden="0" customWidth="1"/>
    <x:col min="5" max="5" width="11.199999809265137" hidden="0" customWidth="1"/>
    <x:col min="6" max="6" width="11.199999809265137" hidden="0" customWidth="1"/>
    <x:col min="7" max="7" width="11.199999809265137" hidden="0" customWidth="1"/>
    <x:col min="8" max="8" width="11.199999809265137" hidden="0" customWidth="1"/>
    <x:col min="9" max="9" width="11.199999809265137" hidden="0" customWidth="1"/>
    <x:col min="10" max="10" width="11.199999809265137" hidden="0" customWidth="1"/>
    <x:col min="11" max="11" width="11.199999809265137" hidden="0" customWidth="1"/>
    <x:col min="12" max="12" width="11.199999809265137" hidden="0" customWidth="1"/>
    <x:col min="13" max="13" width="11.199999809265137" hidden="0" customWidth="1"/>
    <x:col min="14" max="14" width="11.199999809265137" hidden="0" customWidth="1"/>
    <x:col min="15" max="15" width="11.199999809265137" hidden="0" customWidth="1"/>
    <x:col min="16" max="16" width="11.199999809265137" hidden="0" customWidth="1"/>
    <x:col min="17" max="17" width="11.199999809265137" hidden="0" customWidth="1"/>
    <x:col min="18" max="18" width="11.199999809265137" hidden="0" customWidth="1"/>
    <x:col min="19" max="19" width="11.199999809265137" hidden="0" customWidth="1"/>
    <x:col min="20" max="20" width="11.199999809265137" hidden="0" customWidth="1"/>
    <x:col min="21" max="21" width="11.199999809265137" hidden="0" customWidth="1"/>
    <x:col min="22" max="22" width="11.199999809265137" hidden="0" customWidth="1"/>
    <x:col min="23" max="23" width="11.199999809265137" hidden="0" customWidth="1"/>
    <x:col min="24" max="24" width="11.199999809265137" hidden="0" customWidth="1"/>
    <x:col min="25" max="25" width="11.199999809265137" hidden="0" customWidth="1"/>
  </x:cols>
  <x:sheetData>
    <x:row r="2" ht="24" customHeight="1">
      <x:c r="B2" s="1" t="str">
        <x:v>Abbott India Revenue Model</x:v>
      </x:c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</x:row>
    <x:row r="3">
      <x:c r="B3" s="2" t="str">
        <x:v>INR mn. Company revenue is audited. FY22A-FY26A product-level figures are Bernstein estimates and reconcile to reported sales; forecasts are Bernstein estimates.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</x:row>
    <x:row r="4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</x:row>
    <x:row r="5" ht="30" customHeight="1">
      <x:c r="B5" s="8" t="str">
        <x:v>Therapy</x:v>
      </x:c>
      <x:c r="C5" s="8" t="str">
        <x:v>Product / family</x:v>
      </x:c>
      <x:c r="D5" s="105" t="str">
        <x:v>FY22A</x:v>
      </x:c>
      <x:c r="E5" s="8" t="str">
        <x:v>FY23A</x:v>
      </x:c>
      <x:c r="F5" s="8" t="str">
        <x:v>FY24A</x:v>
      </x:c>
      <x:c r="G5" s="8" t="str">
        <x:v>FY25A</x:v>
      </x:c>
      <x:c r="H5" s="8" t="str">
        <x:v>FY26A</x:v>
      </x:c>
      <x:c r="I5" s="105" t="str">
        <x:v>FY27Q1A</x:v>
      </x:c>
      <x:c r="J5" s="8" t="str">
        <x:v>FY27Q2E</x:v>
      </x:c>
      <x:c r="K5" s="8" t="str">
        <x:v>FY27Q3E</x:v>
      </x:c>
      <x:c r="L5" s="8" t="str">
        <x:v>FY27Q4E</x:v>
      </x:c>
      <x:c r="M5" s="105" t="str">
        <x:v>FY27E</x:v>
      </x:c>
      <x:c r="N5" s="105" t="str">
        <x:v>FY28Q1E</x:v>
      </x:c>
      <x:c r="O5" s="8" t="str">
        <x:v>FY28Q2E</x:v>
      </x:c>
      <x:c r="P5" s="8" t="str">
        <x:v>FY28Q3E</x:v>
      </x:c>
      <x:c r="Q5" s="8" t="str">
        <x:v>FY28Q4E</x:v>
      </x:c>
      <x:c r="R5" s="105" t="str">
        <x:v>FY28E</x:v>
      </x:c>
      <x:c r="S5" s="105" t="str">
        <x:v>FY29E</x:v>
      </x:c>
      <x:c r="T5" s="8" t="str">
        <x:v>FY30E</x:v>
      </x:c>
      <x:c r="U5" s="8" t="str">
        <x:v>FY31E</x:v>
      </x:c>
      <x:c r="V5" s="8" t="str">
        <x:v>FY32E</x:v>
      </x:c>
      <x:c r="W5" s="8" t="str">
        <x:v>FY33E</x:v>
      </x:c>
      <x:c r="X5" s="8" t="str">
        <x:v>FY34E</x:v>
      </x:c>
      <x:c r="Y5" s="8" t="str">
        <x:v>FY35E</x:v>
      </x:c>
    </x:row>
    <x:row r="6" ht="20" customHeight="1">
      <x:c r="B6" s="86" t="str">
        <x:v>GI and hepatology</x:v>
      </x:c>
      <x:c r="C6" s="86"/>
      <x:c r="D6" s="106"/>
      <x:c r="E6" s="86"/>
      <x:c r="F6" s="86"/>
      <x:c r="G6" s="86"/>
      <x:c r="H6" s="86"/>
      <x:c r="I6" s="106"/>
      <x:c r="J6" s="86"/>
      <x:c r="K6" s="86"/>
      <x:c r="L6" s="86"/>
      <x:c r="M6" s="106"/>
      <x:c r="N6" s="106"/>
      <x:c r="O6" s="86"/>
      <x:c r="P6" s="86"/>
      <x:c r="Q6" s="86"/>
      <x:c r="R6" s="106"/>
      <x:c r="S6" s="106"/>
      <x:c r="T6" s="86"/>
      <x:c r="U6" s="86"/>
      <x:c r="V6" s="86"/>
      <x:c r="W6" s="86"/>
      <x:c r="X6" s="86"/>
      <x:c r="Y6" s="86"/>
    </x:row>
    <x:row r="7" ht="20" customHeight="1">
      <x:c r="B7" s="87"/>
      <x:c r="C7" s="87" t="str">
        <x:v>Udiliv</x:v>
      </x:c>
      <x:c r="D7" s="107" t="n">
        <x:f>E7/(1+'Assumptions &amp; Sources'!$D$13)</x:f>
        <x:v>4984.512907782298</x:v>
      </x:c>
      <x:c r="E7" s="88" t="n">
        <x:f>F7/(1+'Assumptions &amp; Sources'!$E$13)</x:f>
        <x:v>5383.273940404882</x:v>
      </x:c>
      <x:c r="F7" s="88" t="n">
        <x:f>G7/(1+'Assumptions &amp; Sources'!$F$13)</x:f>
        <x:v>5867.7685950413215</x:v>
      </x:c>
      <x:c r="G7" s="88" t="n">
        <x:f>H7/(1+'Assumptions &amp; Sources'!$G$13)</x:f>
        <x:v>6454.545454545454</x:v>
      </x:c>
      <x:c r="H7" s="89" t="n">
        <x:f>'Assumptions &amp; Sources'!$C$13</x:f>
        <x:v>7100</x:v>
      </x:c>
      <x:c r="I7" s="114" t="n">
        <x:f>'Assumptions &amp; Sources'!$G$6*M7/$M$41</x:f>
        <x:v>1816.5537582910993</x:v>
      </x:c>
      <x:c r="J7" s="90" t="n">
        <x:f>(M7-I7)*'Assumptions &amp; Sources'!$D$50/SUM('Assumptions &amp; Sources'!$D$50:$D$52)</x:f>
        <x:v>2116.301174470592</x:v>
      </x:c>
      <x:c r="K7" s="90" t="n">
        <x:f>(M7-I7)*'Assumptions &amp; Sources'!$D$51/SUM('Assumptions &amp; Sources'!$D$50:$D$52)</x:f>
        <x:v>1987.0310206539593</x:v>
      </x:c>
      <x:c r="L7" s="90" t="n">
        <x:f>(M7-I7)*'Assumptions &amp; Sources'!$D$52/SUM('Assumptions &amp; Sources'!$D$50:$D$52)</x:f>
        <x:v>1868.4590465843482</x:v>
      </x:c>
      <x:c r="M7" s="114" t="n">
        <x:f>H7*(1+'Assumptions &amp; Sources'!$H$13)</x:f>
        <x:v>7788.344999999999</x:v>
      </x:c>
      <x:c r="N7" s="114" t="n">
        <x:f>R7*'Assumptions &amp; Sources'!$D$49</x:f>
        <x:v>2064.25843299992</x:v>
      </x:c>
      <x:c r="O7" s="90" t="n">
        <x:f>R7*'Assumptions &amp; Sources'!$D$50</x:f>
        <x:v>2281.8920779258033</x:v>
      </x:c>
      <x:c r="P7" s="90" t="n">
        <x:f>R7*'Assumptions &amp; Sources'!$D$51</x:f>
        <x:v>2142.507124845949</x:v>
      </x:c>
      <x:c r="Q7" s="90" t="n">
        <x:f>R7*'Assumptions &amp; Sources'!$D$52</x:f>
        <x:v>2014.6574352283292</x:v>
      </x:c>
      <x:c r="R7" s="114" t="n">
        <x:f>M7*(1+'Assumptions &amp; Sources'!$I$13)</x:f>
        <x:v>8503.315071</x:v>
      </x:c>
      <x:c r="S7" s="114" t="n">
        <x:f>R7*(1+'Assumptions &amp; Sources'!$J$13)</x:f>
        <x:v>9240.12732190215</x:v>
      </x:c>
      <x:c r="T7" s="90" t="n">
        <x:f>S7*(1+'Assumptions &amp; Sources'!$K$13)</x:f>
        <x:v>9993.197698637176</x:v>
      </x:c>
      <x:c r="U7" s="90" t="n">
        <x:f>T7*(1+'Assumptions &amp; Sources'!$L$13)</x:f>
        <x:v>10735.292559737973</x:v>
      </x:c>
      <x:c r="V7" s="90" t="n">
        <x:f>U7*(1+'Assumptions &amp; Sources'!$M$13)</x:f>
        <x:v>11477.315981467062</x:v>
      </x:c>
      <x:c r="W7" s="90" t="n">
        <x:f>V7*(1+'Assumptions &amp; Sources'!$N$13)</x:f>
        <x:v>12175.997591838866</x:v>
      </x:c>
      <x:c r="X7" s="90" t="n">
        <x:f>W7*(1+'Assumptions &amp; Sources'!$O$13)</x:f>
        <x:v>12917.211445242056</x:v>
      </x:c>
      <x:c r="Y7" s="90" t="n">
        <x:f>X7*(1+'Assumptions &amp; Sources'!$P$13)</x:f>
        <x:v>13637.3459833143</x:v>
      </x:c>
    </x:row>
    <x:row r="8" ht="20" customHeight="1">
      <x:c r="B8" s="87"/>
      <x:c r="C8" s="87" t="str">
        <x:v>Cremaffin franchise</x:v>
      </x:c>
      <x:c r="D8" s="107" t="n">
        <x:f>E8/(1+'Assumptions &amp; Sources'!$D$14)</x:f>
        <x:v>3961.8119975262825</x:v>
      </x:c>
      <x:c r="E8" s="88" t="n">
        <x:f>F8/(1+'Assumptions &amp; Sources'!$E$14)</x:f>
        <x:v>4278.756957328385</x:v>
      </x:c>
      <x:c r="F8" s="88" t="n">
        <x:f>G8/(1+'Assumptions &amp; Sources'!$F$14)</x:f>
        <x:v>4706.632653061224</x:v>
      </x:c>
      <x:c r="G8" s="88" t="n">
        <x:f>H8/(1+'Assumptions &amp; Sources'!$G$14)</x:f>
        <x:v>5271.428571428572</x:v>
      </x:c>
      <x:c r="H8" s="89" t="n">
        <x:f>'Assumptions &amp; Sources'!$C$14</x:f>
        <x:v>6273</x:v>
      </x:c>
      <x:c r="I8" s="114" t="n">
        <x:f>'Assumptions &amp; Sources'!$G$6*M8/$M$41</x:f>
        <x:v>1642.638825772462</x:v>
      </x:c>
      <x:c r="J8" s="90" t="n">
        <x:f>(M8-I8)*'Assumptions &amp; Sources'!$D$50/SUM('Assumptions &amp; Sources'!$D$50:$D$52)</x:f>
        <x:v>1913.6887418534534</x:v>
      </x:c>
      <x:c r="K8" s="90" t="n">
        <x:f>(M8-I8)*'Assumptions &amp; Sources'!$D$51/SUM('Assumptions &amp; Sources'!$D$50:$D$52)</x:f>
        <x:v>1796.7947756255894</x:v>
      </x:c>
      <x:c r="L8" s="90" t="n">
        <x:f>(M8-I8)*'Assumptions &amp; Sources'!$D$52/SUM('Assumptions &amp; Sources'!$D$50:$D$52)</x:f>
        <x:v>1689.5747567484948</x:v>
      </x:c>
      <x:c r="M8" s="114" t="n">
        <x:f>H8*(1+'Assumptions &amp; Sources'!$H$14)</x:f>
        <x:v>7042.6971</x:v>
      </x:c>
      <x:c r="N8" s="114" t="n">
        <x:f>R8*'Assumptions &amp; Sources'!$D$49</x:f>
        <x:v>1901.8479233087976</x:v>
      </x:c>
      <x:c r="O8" s="90" t="n">
        <x:f>R8*'Assumptions &amp; Sources'!$D$50</x:f>
        <x:v>2102.358716447668</x:v>
      </x:c>
      <x:c r="P8" s="90" t="n">
        <x:f>R8*'Assumptions &amp; Sources'!$D$51</x:f>
        <x:v>1973.9402106454802</x:v>
      </x:c>
      <x:c r="Q8" s="90" t="n">
        <x:f>R8*'Assumptions &amp; Sources'!$D$52</x:f>
        <x:v>1856.1494036380548</x:v>
      </x:c>
      <x:c r="R8" s="114" t="n">
        <x:f>M8*(1+'Assumptions &amp; Sources'!$I$14)</x:f>
        <x:v>7834.29625404</x:v>
      </x:c>
      <x:c r="S8" s="114" t="n">
        <x:f>R8*(1+'Assumptions &amp; Sources'!$J$14)</x:f>
        <x:v>8634.177901577485</x:v>
      </x:c>
      <x:c r="T8" s="90" t="n">
        <x:f>S8*(1+'Assumptions &amp; Sources'!$K$14)</x:f>
        <x:v>9426.7954329423</x:v>
      </x:c>
      <x:c r="U8" s="90" t="n">
        <x:f>T8*(1+'Assumptions &amp; Sources'!$L$14)</x:f>
        <x:v>10223.736718843242</x:v>
      </x:c>
      <x:c r="V8" s="90" t="n">
        <x:f>U8*(1+'Assumptions &amp; Sources'!$M$14)</x:f>
        <x:v>11035.501414319397</x:v>
      </x:c>
      <x:c r="W8" s="90" t="n">
        <x:f>V8*(1+'Assumptions &amp; Sources'!$N$14)</x:f>
        <x:v>11820.401452412862</x:v>
      </x:c>
      <x:c r="X8" s="90" t="n">
        <x:f>W8*(1+'Assumptions &amp; Sources'!$O$14)</x:f>
        <x:v>12600.54794827211</x:v>
      </x:c>
      <x:c r="Y8" s="90" t="n">
        <x:f>X8*(1+'Assumptions &amp; Sources'!$P$14)</x:f>
        <x:v>13367.606304623172</x:v>
      </x:c>
    </x:row>
    <x:row r="9" ht="20" customHeight="1">
      <x:c r="B9" s="87"/>
      <x:c r="C9" s="87" t="str">
        <x:v>Duphalac</x:v>
      </x:c>
      <x:c r="D9" s="107" t="n">
        <x:f>E9/(1+'Assumptions &amp; Sources'!$D$15)</x:f>
        <x:v>2352.297200519339</x:v>
      </x:c>
      <x:c r="E9" s="88" t="n">
        <x:f>F9/(1+'Assumptions &amp; Sources'!$E$15)</x:f>
        <x:v>2516.958004555693</x:v>
      </x:c>
      <x:c r="F9" s="88" t="n">
        <x:f>G9/(1+'Assumptions &amp; Sources'!$F$15)</x:f>
        <x:v>2718.314644920149</x:v>
      </x:c>
      <x:c r="G9" s="88" t="n">
        <x:f>H9/(1+'Assumptions &amp; Sources'!$G$15)</x:f>
        <x:v>2935.779816513761</x:v>
      </x:c>
      <x:c r="H9" s="89" t="n">
        <x:f>'Assumptions &amp; Sources'!$C$15</x:f>
        <x:v>3200</x:v>
      </x:c>
      <x:c r="I9" s="114" t="n">
        <x:f>'Assumptions &amp; Sources'!$G$6*M9/$M$41</x:f>
        <x:v>811.0408633195465</x:v>
      </x:c>
      <x:c r="J9" s="90" t="n">
        <x:f>(M9-I9)*'Assumptions &amp; Sources'!$D$50/SUM('Assumptions &amp; Sources'!$D$50:$D$52)</x:f>
        <x:v>944.8697698886092</x:v>
      </x:c>
      <x:c r="K9" s="90" t="n">
        <x:f>(M9-I9)*'Assumptions &amp; Sources'!$D$51/SUM('Assumptions &amp; Sources'!$D$50:$D$52)</x:f>
        <x:v>887.1542320608036</x:v>
      </x:c>
      <x:c r="L9" s="90" t="n">
        <x:f>(M9-I9)*'Assumptions &amp; Sources'!$D$52/SUM('Assumptions &amp; Sources'!$D$50:$D$52)</x:f>
        <x:v>834.2151347310402</x:v>
      </x:c>
      <x:c r="M9" s="114" t="n">
        <x:f>H9*(1+'Assumptions &amp; Sources'!$H$15)</x:f>
        <x:v>3477.2799999999997</x:v>
      </x:c>
      <x:c r="N9" s="114" t="n">
        <x:f>R9*'Assumptions &amp; Sources'!$D$49</x:f>
        <x:v>917.2867986469631</x:v>
      </x:c>
      <x:c r="O9" s="90" t="n">
        <x:f>R9*'Assumptions &amp; Sources'!$D$50</x:f>
        <x:v>1013.9958473980995</x:v>
      </x:c>
      <x:c r="P9" s="90" t="n">
        <x:f>R9*'Assumptions &amp; Sources'!$D$51</x:f>
        <x:v>952.0578771584101</x:v>
      </x:c>
      <x:c r="Q9" s="90" t="n">
        <x:f>R9*'Assumptions &amp; Sources'!$D$52</x:f>
        <x:v>895.2457887965269</x:v>
      </x:c>
      <x:c r="R9" s="114" t="n">
        <x:f>M9*(1+'Assumptions &amp; Sources'!$I$15)</x:f>
        <x:v>3778.5863119999995</x:v>
      </x:c>
      <x:c r="S9" s="114" t="n">
        <x:f>R9*(1+'Assumptions &amp; Sources'!$J$15)</x:f>
        <x:v>4086.541096428</x:v>
      </x:c>
      <x:c r="T9" s="90" t="n">
        <x:f>S9*(1+'Assumptions &amp; Sources'!$K$15)</x:f>
        <x:v>4398.548509140277</x:v>
      </x:c>
      <x:c r="U9" s="90" t="n">
        <x:f>T9*(1+'Assumptions &amp; Sources'!$L$15)</x:f>
        <x:v>4702.576182092053</x:v>
      </x:c>
      <x:c r="V9" s="90" t="n">
        <x:f>U9*(1+'Assumptions &amp; Sources'!$M$15)</x:f>
        <x:v>5027.618247798257</x:v>
      </x:c>
      <x:c r="W9" s="90" t="n">
        <x:f>V9*(1+'Assumptions &amp; Sources'!$N$15)</x:f>
        <x:v>5333.674508632975</x:v>
      </x:c>
      <x:c r="X9" s="90" t="n">
        <x:f>W9*(1+'Assumptions &amp; Sources'!$O$15)</x:f>
        <x:v>5631.026862489263</x:v>
      </x:c>
      <x:c r="Y9" s="90" t="n">
        <x:f>X9*(1+'Assumptions &amp; Sources'!$P$15)</x:f>
        <x:v>5944.95661007304</x:v>
      </x:c>
    </x:row>
    <x:row r="10" ht="20" customHeight="1">
      <x:c r="B10" s="87"/>
      <x:c r="C10" s="87" t="str">
        <x:v>Digene</x:v>
      </x:c>
      <x:c r="D10" s="107" t="n">
        <x:f>E10/(1+'Assumptions &amp; Sources'!$D$16)</x:f>
        <x:v>1900.1101498649612</x:v>
      </x:c>
      <x:c r="E10" s="88" t="n">
        <x:f>F10/(1+'Assumptions &amp; Sources'!$E$16)</x:f>
        <x:v>2033.1178603555086</x:v>
      </x:c>
      <x:c r="F10" s="88" t="n">
        <x:f>G10/(1+'Assumptions &amp; Sources'!$F$16)</x:f>
        <x:v>2216.0984677875044</x:v>
      </x:c>
      <x:c r="G10" s="88" t="n">
        <x:f>H10/(1+'Assumptions &amp; Sources'!$G$16)</x:f>
        <x:v>2437.708314566255</x:v>
      </x:c>
      <x:c r="H10" s="89" t="n">
        <x:f>'Assumptions &amp; Sources'!$C$16</x:f>
        <x:v>2706.1</x:v>
      </x:c>
      <x:c r="I10" s="114" t="n">
        <x:f>'Assumptions &amp; Sources'!$G$6*M10/$M$41</x:f>
        <x:v>695.6133642905974</x:v>
      </x:c>
      <x:c r="J10" s="90" t="n">
        <x:f>(M10-I10)*'Assumptions &amp; Sources'!$D$50/SUM('Assumptions &amp; Sources'!$D$50:$D$52)</x:f>
        <x:v>810.3957139206917</x:v>
      </x:c>
      <x:c r="K10" s="90" t="n">
        <x:f>(M10-I10)*'Assumptions &amp; Sources'!$D$51/SUM('Assumptions &amp; Sources'!$D$50:$D$52)</x:f>
        <x:v>760.8942630617071</x:v>
      </x:c>
      <x:c r="L10" s="90" t="n">
        <x:f>(M10-I10)*'Assumptions &amp; Sources'!$D$52/SUM('Assumptions &amp; Sources'!$D$50:$D$52)</x:f>
        <x:v>715.4894687270038</x:v>
      </x:c>
      <x:c r="M10" s="114" t="n">
        <x:f>H10*(1+'Assumptions &amp; Sources'!$H$16)</x:f>
        <x:v>2982.3928100000003</x:v>
      </x:c>
      <x:c r="N10" s="114" t="n">
        <x:f>R10*'Assumptions &amp; Sources'!$D$49</x:f>
        <x:v>794.195592310518</x:v>
      </x:c>
      <x:c r="O10" s="90" t="n">
        <x:f>R10*'Assumptions &amp; Sources'!$D$50</x:f>
        <x:v>877.9272020622199</x:v>
      </x:c>
      <x:c r="P10" s="90" t="n">
        <x:f>R10*'Assumptions &amp; Sources'!$D$51</x:f>
        <x:v>824.3007211910464</x:v>
      </x:c>
      <x:c r="Q10" s="90" t="n">
        <x:f>R10*'Assumptions &amp; Sources'!$D$52</x:f>
        <x:v>775.112277365716</x:v>
      </x:c>
      <x:c r="R10" s="114" t="n">
        <x:f>M10*(1+'Assumptions &amp; Sources'!$I$16)</x:f>
        <x:v>3271.5357929295</x:v>
      </x:c>
      <x:c r="S10" s="114" t="n">
        <x:f>R10*(1+'Assumptions &amp; Sources'!$J$16)</x:f>
        <x:v>3571.8627787204287</x:v>
      </x:c>
      <x:c r="T10" s="90" t="n">
        <x:f>S10*(1+'Assumptions &amp; Sources'!$K$16)</x:f>
        <x:v>3881.3646884965533</x:v>
      </x:c>
      <x:c r="U10" s="90" t="n">
        <x:f>T10*(1+'Assumptions &amp; Sources'!$L$16)</x:f>
        <x:v>4189.54504476318</x:v>
      </x:c>
      <x:c r="V10" s="90" t="n">
        <x:f>U10*(1+'Assumptions &amp; Sources'!$M$16)</x:f>
        <x:v>4500.660659787294</x:v>
      </x:c>
      <x:c r="W10" s="90" t="n">
        <x:f>V10*(1+'Assumptions &amp; Sources'!$N$16)</x:f>
        <x:v>4797.704263333255</x:v>
      </x:c>
      <x:c r="X10" s="90" t="n">
        <x:f>W10*(1+'Assumptions &amp; Sources'!$O$16)</x:f>
        <x:v>5089.764510363666</x:v>
      </x:c>
      <x:c r="Y10" s="90" t="n">
        <x:f>X10*(1+'Assumptions &amp; Sources'!$P$16)</x:f>
        <x:v>5373.518881816441</x:v>
      </x:c>
    </x:row>
    <x:row r="11" ht="20" customHeight="1">
      <x:c r="B11" s="87"/>
      <x:c r="C11" s="87" t="str">
        <x:v>Creon</x:v>
      </x:c>
      <x:c r="D11" s="107" t="n">
        <x:f>E11/(1+'Assumptions &amp; Sources'!$D$17)</x:f>
        <x:v>1456.697807661059</x:v>
      </x:c>
      <x:c r="E11" s="88" t="n">
        <x:f>F11/(1+'Assumptions &amp; Sources'!$E$17)</x:f>
        <x:v>1558.6666541973332</x:v>
      </x:c>
      <x:c r="F11" s="88" t="n">
        <x:f>G11/(1+'Assumptions &amp; Sources'!$F$17)</x:f>
        <x:v>1683.35998653312</x:v>
      </x:c>
      <x:c r="G11" s="88" t="n">
        <x:f>H11/(1+'Assumptions &amp; Sources'!$G$17)</x:f>
        <x:v>1834.8623853211009</x:v>
      </x:c>
      <x:c r="H11" s="89" t="n">
        <x:f>'Assumptions &amp; Sources'!$C$17</x:f>
        <x:v>2000</x:v>
      </x:c>
      <x:c r="I11" s="114" t="n">
        <x:f>'Assumptions &amp; Sources'!$G$6*M11/$M$41</x:f>
        <x:v>506.90053957471656</x:v>
      </x:c>
      <x:c r="J11" s="90" t="n">
        <x:f>(M11-I11)*'Assumptions &amp; Sources'!$D$50/SUM('Assumptions &amp; Sources'!$D$50:$D$52)</x:f>
        <x:v>590.5436061803808</x:v>
      </x:c>
      <x:c r="K11" s="90" t="n">
        <x:f>(M11-I11)*'Assumptions &amp; Sources'!$D$51/SUM('Assumptions &amp; Sources'!$D$50:$D$52)</x:f>
        <x:v>554.4713950380022</x:v>
      </x:c>
      <x:c r="L11" s="90" t="n">
        <x:f>(M11-I11)*'Assumptions &amp; Sources'!$D$52/SUM('Assumptions &amp; Sources'!$D$50:$D$52)</x:f>
        <x:v>521.3844592069001</x:v>
      </x:c>
      <x:c r="M11" s="114" t="n">
        <x:f>H11*(1+'Assumptions &amp; Sources'!$H$17)</x:f>
        <x:v>2173.2999999999997</x:v>
      </x:c>
      <x:c r="N11" s="114" t="n">
        <x:f>R11*'Assumptions &amp; Sources'!$D$49</x:f>
        <x:v>570.5871674048053</x:v>
      </x:c>
      <x:c r="O11" s="90" t="n">
        <x:f>R11*'Assumptions &amp; Sources'!$D$50</x:f>
        <x:v>630.7438624218037</x:v>
      </x:c>
      <x:c r="P11" s="90" t="n">
        <x:f>R11*'Assumptions &amp; Sources'!$D$51</x:f>
        <x:v>592.2160965736556</x:v>
      </x:c>
      <x:c r="Q11" s="90" t="n">
        <x:f>R11*'Assumptions &amp; Sources'!$D$52</x:f>
        <x:v>556.8768235997353</x:v>
      </x:c>
      <x:c r="R11" s="114" t="n">
        <x:f>M11*(1+'Assumptions &amp; Sources'!$I$17)</x:f>
        <x:v>2350.42395</x:v>
      </x:c>
      <x:c r="S11" s="114" t="n">
        <x:f>R11*(1+'Assumptions &amp; Sources'!$J$17)</x:f>
        <x:v>2529.8788185824997</x:v>
      </x:c>
      <x:c r="T11" s="90" t="n">
        <x:f>S11*(1+'Assumptions &amp; Sources'!$K$17)</x:f>
        <x:v>2710.006190465574</x:v>
      </x:c>
      <x:c r="U11" s="90" t="n">
        <x:f>T11*(1+'Assumptions &amp; Sources'!$L$17)</x:f>
        <x:v>2897.3218183505546</x:v>
      </x:c>
      <x:c r="V11" s="90" t="n">
        <x:f>U11*(1+'Assumptions &amp; Sources'!$M$17)</x:f>
        <x:v>3082.692468288623</x:v>
      </x:c>
      <x:c r="W11" s="90" t="n">
        <x:f>V11*(1+'Assumptions &amp; Sources'!$N$17)</x:f>
        <x:v>3254.5525733957134</x:v>
      </x:c>
      <x:c r="X11" s="90" t="n">
        <x:f>W11*(1+'Assumptions &amp; Sources'!$O$17)</x:f>
        <x:v>3435.9938793625242</x:v>
      </x:c>
      <x:c r="Y11" s="90" t="n">
        <x:f>X11*(1+'Assumptions &amp; Sources'!$P$17)</x:f>
        <x:v>3609.9410695052516</x:v>
      </x:c>
    </x:row>
    <x:row r="12" ht="20" customHeight="1">
      <x:c r="B12" s="87"/>
      <x:c r="C12" s="87" t="str">
        <x:v>Ganaton</x:v>
      </x:c>
      <x:c r="D12" s="107" t="n">
        <x:f>E12/(1+'Assumptions &amp; Sources'!$D$18)</x:f>
        <x:v>717.223402794712</x:v>
      </x:c>
      <x:c r="E12" s="88" t="n">
        <x:f>F12/(1+'Assumptions &amp; Sources'!$E$18)</x:f>
        <x:v>781.7735090462361</x:v>
      </x:c>
      <x:c r="F12" s="88" t="n">
        <x:f>G12/(1+'Assumptions &amp; Sources'!$F$18)</x:f>
        <x:v>859.9508599508598</x:v>
      </x:c>
      <x:c r="G12" s="88" t="n">
        <x:f>H12/(1+'Assumptions &amp; Sources'!$G$18)</x:f>
        <x:v>945.9459459459458</x:v>
      </x:c>
      <x:c r="H12" s="89" t="n">
        <x:f>'Assumptions &amp; Sources'!$C$18</x:f>
        <x:v>1050</x:v>
      </x:c>
      <x:c r="I12" s="114" t="n">
        <x:f>'Assumptions &amp; Sources'!$G$6*M12/$M$41</x:f>
        <x:v>272.4290103685918</x:v>
      </x:c>
      <x:c r="J12" s="90" t="n">
        <x:f>(M12-I12)*'Assumptions &amp; Sources'!$D$50/SUM('Assumptions &amp; Sources'!$D$50:$D$52)</x:f>
        <x:v>317.382203511162</x:v>
      </x:c>
      <x:c r="K12" s="90" t="n">
        <x:f>(M12-I12)*'Assumptions &amp; Sources'!$D$51/SUM('Assumptions &amp; Sources'!$D$50:$D$52)</x:f>
        <x:v>297.99552700146666</x:v>
      </x:c>
      <x:c r="L12" s="90" t="n">
        <x:f>(M12-I12)*'Assumptions &amp; Sources'!$D$52/SUM('Assumptions &amp; Sources'!$D$50:$D$52)</x:f>
        <x:v>280.2132591187795</x:v>
      </x:c>
      <x:c r="M12" s="114" t="n">
        <x:f>H12*(1+'Assumptions &amp; Sources'!$H$18)</x:f>
        <x:v>1168.02</x:v>
      </x:c>
      <x:c r="N12" s="114" t="n">
        <x:f>R12*'Assumptions &amp; Sources'!$D$49</x:f>
        <x:v>313.95815230188583</x:v>
      </x:c>
      <x:c r="O12" s="90" t="n">
        <x:f>R12*'Assumptions &amp; Sources'!$D$50</x:f>
        <x:v>347.0585897022342</x:v>
      </x:c>
      <x:c r="P12" s="90" t="n">
        <x:f>R12*'Assumptions &amp; Sources'!$D$51</x:f>
        <x:v>325.8591886834191</x:v>
      </x:c>
      <x:c r="Q12" s="90" t="n">
        <x:f>R12*'Assumptions &amp; Sources'!$D$52</x:f>
        <x:v>306.41421431246107</x:v>
      </x:c>
      <x:c r="R12" s="114" t="n">
        <x:f>M12*(1+'Assumptions &amp; Sources'!$I$18)</x:f>
        <x:v>1293.2901450000002</x:v>
      </x:c>
      <x:c r="S12" s="114" t="n">
        <x:f>R12*(1+'Assumptions &amp; Sources'!$J$18)</x:f>
        <x:v>1418.6746245577501</x:v>
      </x:c>
      <x:c r="T12" s="90" t="n">
        <x:f>S12*(1+'Assumptions &amp; Sources'!$K$18)</x:f>
        <x:v>1541.602780775679</x:v>
      </x:c>
      <x:c r="U12" s="90" t="n">
        <x:f>T12*(1+'Assumptions &amp; Sources'!$L$18)</x:f>
        <x:v>1664.0060415692683</x:v>
      </x:c>
      <x:c r="V12" s="90" t="n">
        <x:f>U12*(1+'Assumptions &amp; Sources'!$M$18)</x:f>
        <x:v>1787.575130216202</x:v>
      </x:c>
      <x:c r="W12" s="90" t="n">
        <x:f>V12*(1+'Assumptions &amp; Sources'!$N$18)</x:f>
        <x:v>1905.555088810471</x:v>
      </x:c>
      <x:c r="X12" s="90" t="n">
        <x:f>W12*(1+'Assumptions &amp; Sources'!$O$18)</x:f>
        <x:v>2021.555754841808</x:v>
      </x:c>
      <x:c r="Y12" s="90" t="n">
        <x:f>X12*(1+'Assumptions &amp; Sources'!$P$18)</x:f>
        <x:v>2134.257488174239</x:v>
      </x:c>
    </x:row>
    <x:row r="13" ht="20" customHeight="1">
      <x:c r="B13" s="87"/>
      <x:c r="C13" s="87" t="str">
        <x:v>Recent GI launches</x:v>
      </x:c>
      <x:c r="D13" s="107" t="n">
        <x:f>E13/(1+'Assumptions &amp; Sources'!$D$19)</x:f>
        <x:v>12.5</x:v>
      </x:c>
      <x:c r="E13" s="88" t="n">
        <x:f>F13/(1+'Assumptions &amp; Sources'!$E$19)</x:f>
        <x:v>25</x:v>
      </x:c>
      <x:c r="F13" s="88" t="n">
        <x:f>G13/(1+'Assumptions &amp; Sources'!$F$19)</x:f>
        <x:v>50</x:v>
      </x:c>
      <x:c r="G13" s="88" t="n">
        <x:f>H13/(1+'Assumptions &amp; Sources'!$G$19)</x:f>
        <x:v>100</x:v>
      </x:c>
      <x:c r="H13" s="89" t="n">
        <x:f>'Assumptions &amp; Sources'!$C$19</x:f>
        <x:v>200</x:v>
      </x:c>
      <x:c r="I13" s="114" t="n">
        <x:f>'Assumptions &amp; Sources'!$G$6*M13/$M$41</x:f>
        <x:v>71.37144669850609</x:v>
      </x:c>
      <x:c r="J13" s="90" t="n">
        <x:f>(M13-I13)*'Assumptions &amp; Sources'!$D$50/SUM('Assumptions &amp; Sources'!$D$50:$D$52)</x:f>
        <x:v>83.14836584511873</x:v>
      </x:c>
      <x:c r="K13" s="90" t="n">
        <x:f>(M13-I13)*'Assumptions &amp; Sources'!$D$51/SUM('Assumptions &amp; Sources'!$D$50:$D$52)</x:f>
        <x:v>78.06940913892639</x:v>
      </x:c>
      <x:c r="L13" s="90" t="n">
        <x:f>(M13-I13)*'Assumptions &amp; Sources'!$D$52/SUM('Assumptions &amp; Sources'!$D$50:$D$52)</x:f>
        <x:v>73.41077831744879</x:v>
      </x:c>
      <x:c r="M13" s="114" t="n">
        <x:f>H13*(1+'Assumptions &amp; Sources'!$H$19)</x:f>
        <x:v>306</x:v>
      </x:c>
      <x:c r="N13" s="114" t="n">
        <x:f>R13*'Assumptions &amp; Sources'!$D$49</x:f>
        <x:v>102.2895252713978</x:v>
      </x:c>
      <x:c r="O13" s="90" t="n">
        <x:f>R13*'Assumptions &amp; Sources'!$D$50</x:f>
        <x:v>113.07385433924637</x:v>
      </x:c>
      <x:c r="P13" s="90" t="n">
        <x:f>R13*'Assumptions &amp; Sources'!$D$51</x:f>
        <x:v>106.16695719275187</x:v>
      </x:c>
      <x:c r="Q13" s="90" t="n">
        <x:f>R13*'Assumptions &amp; Sources'!$D$52</x:f>
        <x:v>99.83166319660405</x:v>
      </x:c>
      <x:c r="R13" s="114" t="n">
        <x:f>M13*(1+'Assumptions &amp; Sources'!$I$19)</x:f>
        <x:v>421.3620000000001</x:v>
      </x:c>
      <x:c r="S13" s="114" t="n">
        <x:f>R13*(1+'Assumptions &amp; Sources'!$J$19)</x:f>
        <x:v>524.3428728000001</x:v>
      </x:c>
      <x:c r="T13" s="90" t="n">
        <x:f>S13*(1+'Assumptions &amp; Sources'!$K$19)</x:f>
        <x:v>609.7058924918401</x:v>
      </x:c>
      <x:c r="U13" s="90" t="n">
        <x:f>T13*(1+'Assumptions &amp; Sources'!$L$19)</x:f>
        <x:v>684.0900113758447</x:v>
      </x:c>
      <x:c r="V13" s="90" t="n">
        <x:f>U13*(1+'Assumptions &amp; Sources'!$M$19)</x:f>
        <x:v>753.5935565316306</x:v>
      </x:c>
      <x:c r="W13" s="90" t="n">
        <x:f>V13*(1+'Assumptions &amp; Sources'!$N$19)</x:f>
        <x:v>814.7853533219991</x:v>
      </x:c>
      <x:c r="X13" s="90" t="n">
        <x:f>W13*(1+'Assumptions &amp; Sources'!$O$19)</x:f>
        <x:v>872.6351134078611</x:v>
      </x:c>
      <x:c r="Y13" s="90" t="n">
        <x:f>X13*(1+'Assumptions &amp; Sources'!$P$19)</x:f>
        <x:v>925.6913283030591</x:v>
      </x:c>
    </x:row>
    <x:row r="14" ht="20" customHeight="1">
      <x:c r="B14" s="87"/>
      <x:c r="C14" s="87" t="str">
        <x:v>Other GI products</x:v>
      </x:c>
      <x:c r="D14" s="107" t="n">
        <x:f>E14/(1+'Assumptions &amp; Sources'!$D$20)</x:f>
        <x:v>2899.0018057805955</x:v>
      </x:c>
      <x:c r="E14" s="88" t="n">
        <x:f>F14/(1+'Assumptions &amp; Sources'!$E$20)</x:f>
        <x:v>3101.931932185237</x:v>
      </x:c>
      <x:c r="F14" s="88" t="n">
        <x:f>G14/(1+'Assumptions &amp; Sources'!$F$20)</x:f>
        <x:v>3319.067167438204</x:v>
      </x:c>
      <x:c r="G14" s="88" t="n">
        <x:f>H14/(1+'Assumptions &amp; Sources'!$G$20)</x:f>
        <x:v>3551.401869158878</x:v>
      </x:c>
      <x:c r="H14" s="89" t="n">
        <x:f>'Assumptions &amp; Sources'!$C$20</x:f>
        <x:v>3800</x:v>
      </x:c>
      <x:c r="I14" s="114" t="n">
        <x:f>'Assumptions &amp; Sources'!$G$6*M14/$M$41</x:f>
        <x:v>944.8086806742104</x:v>
      </x:c>
      <x:c r="J14" s="90" t="n">
        <x:f>(M14-I14)*'Assumptions &amp; Sources'!$D$50/SUM('Assumptions &amp; Sources'!$D$50:$D$52)</x:f>
        <x:v>1100.71045871048</x:v>
      </x:c>
      <x:c r="K14" s="90" t="n">
        <x:f>(M14-I14)*'Assumptions &amp; Sources'!$D$51/SUM('Assumptions &amp; Sources'!$D$50:$D$52)</x:f>
        <x:v>1033.4756945750423</x:v>
      </x:c>
      <x:c r="L14" s="90" t="n">
        <x:f>(M14-I14)*'Assumptions &amp; Sources'!$D$52/SUM('Assumptions &amp; Sources'!$D$50:$D$52)</x:f>
        <x:v>971.8051660402663</x:v>
      </x:c>
      <x:c r="M14" s="114" t="n">
        <x:f>H14*(1+'Assumptions &amp; Sources'!$H$20)</x:f>
        <x:v>4050.7999999999993</x:v>
      </x:c>
      <x:c r="N14" s="114" t="n">
        <x:f>R14*'Assumptions &amp; Sources'!$D$49</x:f>
        <x:v>1048.2715573814369</x:v>
      </x:c>
      <x:c r="O14" s="90" t="n">
        <x:f>R14*'Assumptions &amp; Sources'!$D$50</x:f>
        <x:v>1158.790258072177</x:v>
      </x:c>
      <x:c r="P14" s="90" t="n">
        <x:f>R14*'Assumptions &amp; Sources'!$D$51</x:f>
        <x:v>1088.0078020072085</x:v>
      </x:c>
      <x:c r="Q14" s="90" t="n">
        <x:f>R14*'Assumptions &amp; Sources'!$D$52</x:f>
        <x:v>1023.0831825391767</x:v>
      </x:c>
      <x:c r="R14" s="114" t="n">
        <x:f>M14*(1+'Assumptions &amp; Sources'!$I$20)</x:f>
        <x:v>4318.152799999999</x:v>
      </x:c>
      <x:c r="S14" s="114" t="n">
        <x:f>R14*(1+'Assumptions &amp; Sources'!$J$20)</x:f>
        <x:v>4581.020351699998</x:v>
      </x:c>
      <x:c r="T14" s="90" t="n">
        <x:f>S14*(1+'Assumptions &amp; Sources'!$K$20)</x:f>
        <x:v>4859.889965609735</x:v>
      </x:c>
      <x:c r="U14" s="90" t="n">
        <x:f>T14*(1+'Assumptions &amp; Sources'!$L$20)</x:f>
        <x:v>5130.828831192477</x:v>
      </x:c>
      <x:c r="V14" s="90" t="n">
        <x:f>U14*(1+'Assumptions &amp; Sources'!$M$20)</x:f>
        <x:v>5416.872538531457</x:v>
      </x:c>
      <x:c r="W14" s="90" t="n">
        <x:f>V14*(1+'Assumptions &amp; Sources'!$N$20)</x:f>
        <x:v>5691.101710794612</x:v>
      </x:c>
      <x:c r="X14" s="90" t="n">
        <x:f>W14*(1+'Assumptions &amp; Sources'!$O$20)</x:f>
        <x:v>5979.213734903588</x:v>
      </x:c>
      <x:c r="Y14" s="90" t="n">
        <x:f>X14*(1+'Assumptions &amp; Sources'!$P$20)</x:f>
        <x:v>6251.267959841701</x:v>
      </x:c>
    </x:row>
    <x:row r="15" ht="20" customHeight="1">
      <x:c r="B15" s="91" t="str">
        <x:v>GI</x:v>
      </x:c>
      <x:c r="C15" s="91" t="str">
        <x:v>GI subtotal</x:v>
      </x:c>
      <x:c r="D15" s="108" t="n">
        <x:f>SUM(D7:D14)</x:f>
        <x:v>18284.155271929245</x:v>
      </x:c>
      <x:c r="E15" s="92" t="n">
        <x:f>SUM(E7:E14)</x:f>
        <x:v>19679.47885807328</x:v>
      </x:c>
      <x:c r="F15" s="92" t="n">
        <x:f>SUM(F7:F14)</x:f>
        <x:v>21421.19237473238</x:v>
      </x:c>
      <x:c r="G15" s="92" t="n">
        <x:f>SUM(G7:G14)</x:f>
        <x:v>23531.672357479965</x:v>
      </x:c>
      <x:c r="H15" s="93" t="n">
        <x:f>SUM(H7:H14)</x:f>
        <x:v>26329.1</x:v>
      </x:c>
      <x:c r="I15" s="108" t="n">
        <x:f>SUM(I7:I14)</x:f>
        <x:v>6761.356488989729</x:v>
      </x:c>
      <x:c r="J15" s="92" t="n">
        <x:f>SUM(J7:J14)</x:f>
        <x:v>7877.040034380487</x:v>
      </x:c>
      <x:c r="K15" s="92" t="n">
        <x:f>SUM(K7:K14)</x:f>
        <x:v>7395.886317155496</x:v>
      </x:c>
      <x:c r="L15" s="92" t="n">
        <x:f>SUM(L7:L14)</x:f>
        <x:v>6954.552069474281</x:v>
      </x:c>
      <x:c r="M15" s="108" t="n">
        <x:f>SUM(M7:M14)</x:f>
        <x:v>28988.834909999998</x:v>
      </x:c>
      <x:c r="N15" s="108" t="n">
        <x:f>SUM(N7:N14)</x:f>
        <x:v>7712.695149625723</x:v>
      </x:c>
      <x:c r="O15" s="92" t="n">
        <x:f>SUM(O7:O14)</x:f>
        <x:v>8525.840408369251</x:v>
      </x:c>
      <x:c r="P15" s="92" t="n">
        <x:f>SUM(P7:P14)</x:f>
        <x:v>8005.055978297922</x:v>
      </x:c>
      <x:c r="Q15" s="92" t="n">
        <x:f>SUM(Q7:Q14)</x:f>
        <x:v>7527.370788676604</x:v>
      </x:c>
      <x:c r="R15" s="108" t="n">
        <x:f>SUM(R7:R14)</x:f>
        <x:v>31770.9623249695</x:v>
      </x:c>
      <x:c r="S15" s="108" t="n">
        <x:f>SUM(S7:S14)</x:f>
        <x:v>34586.62576626831</x:v>
      </x:c>
      <x:c r="T15" s="92" t="n">
        <x:f>SUM(T7:T14)</x:f>
        <x:v>37421.111158559135</x:v>
      </x:c>
      <x:c r="U15" s="92" t="n">
        <x:f>SUM(U7:U14)</x:f>
        <x:v>40227.397207924594</x:v>
      </x:c>
      <x:c r="V15" s="92" t="n">
        <x:f>SUM(V7:V14)</x:f>
        <x:v>43081.82999693992</x:v>
      </x:c>
      <x:c r="W15" s="92" t="n">
        <x:f>SUM(W7:W14)</x:f>
        <x:v>45793.77254254075</x:v>
      </x:c>
      <x:c r="X15" s="92" t="n">
        <x:f>SUM(X7:X14)</x:f>
        <x:v>48547.94924888288</x:v>
      </x:c>
      <x:c r="Y15" s="92" t="n">
        <x:f>SUM(Y7:Y14)</x:f>
        <x:v>51244.5856256512</x:v>
      </x:c>
    </x:row>
    <x:row r="16" ht="20" customHeight="1">
      <x:c r="B16" s="94" t="str">
        <x:v>Metabolics</x:v>
      </x:c>
      <x:c r="C16" s="94"/>
      <x:c r="D16" s="109"/>
      <x:c r="E16" s="95"/>
      <x:c r="F16" s="95"/>
      <x:c r="G16" s="95"/>
      <x:c r="H16" s="96"/>
      <x:c r="I16" s="109"/>
      <x:c r="J16" s="95"/>
      <x:c r="K16" s="95"/>
      <x:c r="L16" s="95"/>
      <x:c r="M16" s="109"/>
      <x:c r="N16" s="109"/>
      <x:c r="O16" s="95"/>
      <x:c r="P16" s="95"/>
      <x:c r="Q16" s="95"/>
      <x:c r="R16" s="109"/>
      <x:c r="S16" s="109"/>
      <x:c r="T16" s="95"/>
      <x:c r="U16" s="95"/>
      <x:c r="V16" s="95"/>
      <x:c r="W16" s="95"/>
      <x:c r="X16" s="95"/>
      <x:c r="Y16" s="95"/>
    </x:row>
    <x:row r="17" ht="20" customHeight="1">
      <x:c r="B17" s="87"/>
      <x:c r="C17" s="87" t="str">
        <x:v>Thyronorm</x:v>
      </x:c>
      <x:c r="D17" s="107" t="n">
        <x:f>E17/(1+'Assumptions &amp; Sources'!$D$21)</x:f>
        <x:v>5297.473577778085</x:v>
      </x:c>
      <x:c r="E17" s="88" t="n">
        <x:f>F17/(1+'Assumptions &amp; Sources'!$E$21)</x:f>
        <x:v>5774.246199778113</x:v>
      </x:c>
      <x:c r="F17" s="88" t="n">
        <x:f>G17/(1+'Assumptions &amp; Sources'!$F$21)</x:f>
        <x:v>6351.670819755925</x:v>
      </x:c>
      <x:c r="G17" s="88" t="n">
        <x:f>H17/(1+'Assumptions &amp; Sources'!$G$21)</x:f>
        <x:v>7050.354609929077</x:v>
      </x:c>
      <x:c r="H17" s="89" t="n">
        <x:f>'Assumptions &amp; Sources'!$C$21</x:f>
        <x:v>7952.8</x:v>
      </x:c>
      <x:c r="I17" s="114" t="n">
        <x:f>'Assumptions &amp; Sources'!$G$6*M17/$M$41</x:f>
        <x:v>2044.2976843170106</x:v>
      </x:c>
      <x:c r="J17" s="90" t="n">
        <x:f>(M17-I17)*'Assumptions &amp; Sources'!$D$50/SUM('Assumptions &amp; Sources'!$D$50:$D$52)</x:f>
        <x:v>2381.624860008306</x:v>
      </x:c>
      <x:c r="K17" s="90" t="n">
        <x:f>(M17-I17)*'Assumptions &amp; Sources'!$D$51/SUM('Assumptions &amp; Sources'!$D$50:$D$52)</x:f>
        <x:v>2236.1479233129385</x:v>
      </x:c>
      <x:c r="L17" s="90" t="n">
        <x:f>(M17-I17)*'Assumptions &amp; Sources'!$D$52/SUM('Assumptions &amp; Sources'!$D$50:$D$52)</x:f>
        <x:v>2102.710412361744</x:v>
      </x:c>
      <x:c r="M17" s="114" t="n">
        <x:f>H17*(1+'Assumptions &amp; Sources'!$H$21)</x:f>
        <x:v>8764.78088</x:v>
      </x:c>
      <x:c r="N17" s="114" t="n">
        <x:f>R17*'Assumptions &amp; Sources'!$D$49</x:f>
        <x:v>2334.0152642278877</x:v>
      </x:c>
      <x:c r="O17" s="90" t="n">
        <x:f>R17*'Assumptions &amp; Sources'!$D$50</x:f>
        <x:v>2580.0892252911653</x:v>
      </x:c>
      <x:c r="P17" s="90" t="n">
        <x:f>R17*'Assumptions &amp; Sources'!$D$51</x:f>
        <x:v>2422.489477657202</x:v>
      </x:c>
      <x:c r="Q17" s="90" t="n">
        <x:f>R17*'Assumptions &amp; Sources'!$D$52</x:f>
        <x:v>2277.9324191397454</x:v>
      </x:c>
      <x:c r="R17" s="114" t="n">
        <x:f>M17*(1+'Assumptions &amp; Sources'!$I$21)</x:f>
        <x:v>9614.526386316</x:v>
      </x:c>
      <x:c r="S17" s="114" t="n">
        <x:f>R17*(1+'Assumptions &amp; Sources'!$J$21)</x:f>
        <x:v>10497.13990857981</x:v>
      </x:c>
      <x:c r="T17" s="90" t="n">
        <x:f>S17*(1+'Assumptions &amp; Sources'!$K$21)</x:f>
        <x:v>11406.71708165825</x:v>
      </x:c>
      <x:c r="U17" s="90" t="n">
        <x:f>T17*(1+'Assumptions &amp; Sources'!$L$21)</x:f>
        <x:v>12312.410417941916</x:v>
      </x:c>
      <x:c r="V17" s="90" t="n">
        <x:f>U17*(1+'Assumptions &amp; Sources'!$M$21)</x:f>
        <x:v>13226.730015578281</x:v>
      </x:c>
      <x:c r="W17" s="90" t="n">
        <x:f>V17*(1+'Assumptions &amp; Sources'!$N$21)</x:f>
        <x:v>14099.694196606446</x:v>
      </x:c>
      <x:c r="X17" s="90" t="n">
        <x:f>W17*(1+'Assumptions &amp; Sources'!$O$21)</x:f>
        <x:v>14958.01308082486</x:v>
      </x:c>
      <x:c r="Y17" s="90" t="n">
        <x:f>X17*(1+'Assumptions &amp; Sources'!$P$21)</x:f>
        <x:v>15791.922310080845</x:v>
      </x:c>
    </x:row>
    <x:row r="18" ht="20" customHeight="1">
      <x:c r="B18" s="87"/>
      <x:c r="C18" s="87" t="str">
        <x:v>Extensior</x:v>
      </x:c>
      <x:c r="D18" s="107" t="n">
        <x:v>0</x:v>
      </x:c>
      <x:c r="E18" s="88" t="n">
        <x:v>0</x:v>
      </x:c>
      <x:c r="F18" s="88" t="n">
        <x:v>0</x:v>
      </x:c>
      <x:c r="G18" s="88" t="n">
        <x:v>0</x:v>
      </x:c>
      <x:c r="H18" s="89" t="n">
        <x:f>'Assumptions &amp; Sources'!$C$22</x:f>
        <x:v>50</x:v>
      </x:c>
      <x:c r="I18" s="114" t="n">
        <x:f>'Assumptions &amp; Sources'!$G$6*M18/$M$41</x:f>
        <x:v>237.90482232835362</x:v>
      </x:c>
      <x:c r="J18" s="90" t="n">
        <x:f>(M18-I18)*'Assumptions &amp; Sources'!$D$50/SUM('Assumptions &amp; Sources'!$D$50:$D$52)</x:f>
        <x:v>277.1612194837291</x:v>
      </x:c>
      <x:c r="K18" s="90" t="n">
        <x:f>(M18-I18)*'Assumptions &amp; Sources'!$D$51/SUM('Assumptions &amp; Sources'!$D$50:$D$52)</x:f>
        <x:v>260.23136379642125</x:v>
      </x:c>
      <x:c r="L18" s="90" t="n">
        <x:f>(M18-I18)*'Assumptions &amp; Sources'!$D$52/SUM('Assumptions &amp; Sources'!$D$50:$D$52)</x:f>
        <x:v>244.70259439149595</x:v>
      </x:c>
      <x:c r="M18" s="116" t="n">
        <x:f>'Assumptions &amp; Sources'!$D$43</x:f>
        <x:v>1020</x:v>
      </x:c>
      <x:c r="N18" s="116" t="n">
        <x:f>R18*'Assumptions &amp; Sources'!$D$49</x:f>
        <x:v>509.7944358293708</x:v>
      </x:c>
      <x:c r="O18" s="89" t="n">
        <x:f>R18*'Assumptions &amp; Sources'!$D$50</x:f>
        <x:v>563.5417861895884</x:v>
      </x:c>
      <x:c r="P18" s="89" t="n">
        <x:f>R18*'Assumptions &amp; Sources'!$D$51</x:f>
        <x:v>529.1189288658657</x:v>
      </x:c>
      <x:c r="Q18" s="89" t="n">
        <x:f>R18*'Assumptions &amp; Sources'!$D$52</x:f>
        <x:v>497.5448491151753</x:v>
      </x:c>
      <x:c r="R18" s="116" t="n">
        <x:f>'Assumptions &amp; Sources'!$E$43</x:f>
        <x:v>2100</x:v>
      </x:c>
      <x:c r="S18" s="116" t="n">
        <x:f>'Assumptions &amp; Sources'!$F$43</x:f>
        <x:v>3250</x:v>
      </x:c>
      <x:c r="T18" s="89" t="n">
        <x:f>'Assumptions &amp; Sources'!$G$43</x:f>
        <x:v>4350</x:v>
      </x:c>
      <x:c r="U18" s="89" t="n">
        <x:f>'Assumptions &amp; Sources'!$H$43</x:f>
        <x:v>5200</x:v>
      </x:c>
      <x:c r="V18" s="89" t="n">
        <x:f>'Assumptions &amp; Sources'!$I$43</x:f>
        <x:v>5760</x:v>
      </x:c>
      <x:c r="W18" s="89" t="n">
        <x:f>'Assumptions &amp; Sources'!$J$43</x:f>
        <x:v>6075</x:v>
      </x:c>
      <x:c r="X18" s="89" t="n">
        <x:f>'Assumptions &amp; Sources'!$K$43</x:f>
        <x:v>6235</x:v>
      </x:c>
      <x:c r="Y18" s="89" t="n">
        <x:f>'Assumptions &amp; Sources'!$L$43</x:f>
        <x:v>6300</x:v>
      </x:c>
    </x:row>
    <x:row r="19" ht="20" customHeight="1">
      <x:c r="B19" s="87"/>
      <x:c r="C19" s="87" t="str">
        <x:v>Other metabolic products</x:v>
      </x:c>
      <x:c r="D19" s="107" t="n">
        <x:f>E19/(1+'Assumptions &amp; Sources'!$D$23)</x:f>
        <x:v>1144.3428180712876</x:v>
      </x:c>
      <x:c r="E19" s="88" t="n">
        <x:f>F19/(1+'Assumptions &amp; Sources'!$E$23)</x:f>
        <x:v>1224.4468153362777</x:v>
      </x:c>
      <x:c r="F19" s="88" t="n">
        <x:f>G19/(1+'Assumptions &amp; Sources'!$F$23)</x:f>
        <x:v>1310.1580924098173</x:v>
      </x:c>
      <x:c r="G19" s="88" t="n">
        <x:f>H19/(1+'Assumptions &amp; Sources'!$G$23)</x:f>
        <x:v>1401.8691588785045</x:v>
      </x:c>
      <x:c r="H19" s="89" t="n">
        <x:f>'Assumptions &amp; Sources'!$C$23</x:f>
        <x:v>1500</x:v>
      </x:c>
      <x:c r="I19" s="114" t="n">
        <x:f>'Assumptions &amp; Sources'!$G$6*M19/$M$41</x:f>
        <x:v>374.7438276712614</x:v>
      </x:c>
      <x:c r="J19" s="90" t="n">
        <x:f>(M19-I19)*'Assumptions &amp; Sources'!$D$50/SUM('Assumptions &amp; Sources'!$D$50:$D$52)</x:f>
        <x:v>436.5798694404548</x:v>
      </x:c>
      <x:c r="K19" s="90" t="n">
        <x:f>(M19-I19)*'Assumptions &amp; Sources'!$D$51/SUM('Assumptions &amp; Sources'!$D$50:$D$52)</x:f>
        <x:v>409.9122346271201</x:v>
      </x:c>
      <x:c r="L19" s="90" t="n">
        <x:f>(M19-I19)*'Assumptions &amp; Sources'!$D$52/SUM('Assumptions &amp; Sources'!$D$50:$D$52)</x:f>
        <x:v>385.4515682611633</x:v>
      </x:c>
      <x:c r="M19" s="114" t="n">
        <x:f>H19*(1+'Assumptions &amp; Sources'!$H$23)</x:f>
        <x:v>1606.6874999999998</x:v>
      </x:c>
      <x:c r="N19" s="114" t="n">
        <x:f>R19*'Assumptions &amp; Sources'!$D$49</x:f>
        <x:v>417.7797320670632</x:v>
      </x:c>
      <x:c r="O19" s="90" t="n">
        <x:f>R19*'Assumptions &amp; Sources'!$D$50</x:f>
        <x:v>461.82602220806007</x:v>
      </x:c>
      <x:c r="P19" s="90" t="n">
        <x:f>R19*'Assumptions &amp; Sources'!$D$51</x:f>
        <x:v>433.6162751042273</x:v>
      </x:c>
      <x:c r="Q19" s="90" t="n">
        <x:f>R19*'Assumptions &amp; Sources'!$D$52</x:f>
        <x:v>407.7411190581489</x:v>
      </x:c>
      <x:c r="R19" s="114" t="n">
        <x:f>M19*(1+'Assumptions &amp; Sources'!$I$23)</x:f>
        <x:v>1720.9631484374995</x:v>
      </x:c>
      <x:c r="S19" s="114" t="n">
        <x:f>R19*(1+'Assumptions &amp; Sources'!$J$23)</x:f>
        <x:v>1834.5467162343741</x:v>
      </x:c>
      <x:c r="T19" s="90" t="n">
        <x:f>S19*(1+'Assumptions &amp; Sources'!$K$23)</x:f>
        <x:v>1955.6267995058424</x:v>
      </x:c>
      <x:c r="U19" s="90" t="n">
        <x:f>T19*(1+'Assumptions &amp; Sources'!$L$23)</x:f>
        <x:v>2074.67558092576</x:v>
      </x:c>
      <x:c r="V19" s="90" t="n">
        <x:f>U19*(1+'Assumptions &amp; Sources'!$M$23)</x:f>
        <x:v>2200.9714569146154</x:v>
      </x:c>
      <x:c r="W19" s="90" t="n">
        <x:f>V19*(1+'Assumptions &amp; Sources'!$N$23)</x:f>
        <x:v>2323.675615637605</x:v>
      </x:c>
      <x:c r="X19" s="90" t="n">
        <x:f>W19*(1+'Assumptions &amp; Sources'!$O$23)</x:f>
        <x:v>2453.2205312094015</x:v>
      </x:c>
      <x:c r="Y19" s="90" t="n">
        <x:f>X19*(1+'Assumptions &amp; Sources'!$P$23)</x:f>
        <x:v>2577.414820601877</x:v>
      </x:c>
    </x:row>
    <x:row r="20" ht="20" customHeight="1">
      <x:c r="B20" s="91" t="str">
        <x:v>Metabolics</x:v>
      </x:c>
      <x:c r="C20" s="91" t="str">
        <x:v>Metabolics subtotal</x:v>
      </x:c>
      <x:c r="D20" s="108" t="n">
        <x:f>SUM(D17:D19)</x:f>
        <x:v>6441.816395849373</x:v>
      </x:c>
      <x:c r="E20" s="92" t="n">
        <x:f>SUM(E17:E19)</x:f>
        <x:v>6998.693015114391</x:v>
      </x:c>
      <x:c r="F20" s="92" t="n">
        <x:f>SUM(F17:F19)</x:f>
        <x:v>7661.828912165742</x:v>
      </x:c>
      <x:c r="G20" s="92" t="n">
        <x:f>SUM(G17:G19)</x:f>
        <x:v>8452.223768807582</x:v>
      </x:c>
      <x:c r="H20" s="93" t="n">
        <x:f>SUM(H17:H19)</x:f>
        <x:v>9502.8</x:v>
      </x:c>
      <x:c r="I20" s="108" t="n">
        <x:f>SUM(I17:I19)</x:f>
        <x:v>2656.946334316626</x:v>
      </x:c>
      <x:c r="J20" s="92" t="n">
        <x:f>SUM(J17:J19)</x:f>
        <x:v>3095.3659489324896</x:v>
      </x:c>
      <x:c r="K20" s="92" t="n">
        <x:f>SUM(K17:K19)</x:f>
        <x:v>2906.29152173648</x:v>
      </x:c>
      <x:c r="L20" s="92" t="n">
        <x:f>SUM(L17:L19)</x:f>
        <x:v>2732.8645750144033</x:v>
      </x:c>
      <x:c r="M20" s="108" t="n">
        <x:f>SUM(M17:M19)</x:f>
        <x:v>11391.46838</x:v>
      </x:c>
      <x:c r="N20" s="108" t="n">
        <x:f>SUM(N17:N19)</x:f>
        <x:v>3261.589432124322</x:v>
      </x:c>
      <x:c r="O20" s="92" t="n">
        <x:f>SUM(O17:O19)</x:f>
        <x:v>3605.4570336888137</x:v>
      </x:c>
      <x:c r="P20" s="92" t="n">
        <x:f>SUM(P17:P19)</x:f>
        <x:v>3385.224681627295</x:v>
      </x:c>
      <x:c r="Q20" s="92" t="n">
        <x:f>SUM(Q17:Q19)</x:f>
        <x:v>3183.2183873130693</x:v>
      </x:c>
      <x:c r="R20" s="108" t="n">
        <x:f>SUM(R17:R19)</x:f>
        <x:v>13435.489534753498</x:v>
      </x:c>
      <x:c r="S20" s="108" t="n">
        <x:f>SUM(S17:S19)</x:f>
        <x:v>15581.686624814183</x:v>
      </x:c>
      <x:c r="T20" s="92" t="n">
        <x:f>SUM(T17:T19)</x:f>
        <x:v>17712.34388116409</x:v>
      </x:c>
      <x:c r="U20" s="92" t="n">
        <x:f>SUM(U17:U19)</x:f>
        <x:v>19587.085998867675</x:v>
      </x:c>
      <x:c r="V20" s="92" t="n">
        <x:f>SUM(V17:V19)</x:f>
        <x:v>21187.701472492896</x:v>
      </x:c>
      <x:c r="W20" s="92" t="n">
        <x:f>SUM(W17:W19)</x:f>
        <x:v>22498.369812244055</x:v>
      </x:c>
      <x:c r="X20" s="92" t="n">
        <x:f>SUM(X17:X19)</x:f>
        <x:v>23646.23361203426</x:v>
      </x:c>
      <x:c r="Y20" s="92" t="n">
        <x:f>SUM(Y17:Y19)</x:f>
        <x:v>24669.33713068272</x:v>
      </x:c>
    </x:row>
    <x:row r="21" ht="20" customHeight="1">
      <x:c r="B21" s="94" t="str">
        <x:v>Women's Health</x:v>
      </x:c>
      <x:c r="C21" s="94"/>
      <x:c r="D21" s="109"/>
      <x:c r="E21" s="95"/>
      <x:c r="F21" s="95"/>
      <x:c r="G21" s="95"/>
      <x:c r="H21" s="96"/>
      <x:c r="I21" s="109"/>
      <x:c r="J21" s="95"/>
      <x:c r="K21" s="95"/>
      <x:c r="L21" s="95"/>
      <x:c r="M21" s="109"/>
      <x:c r="N21" s="109"/>
      <x:c r="O21" s="95"/>
      <x:c r="P21" s="95"/>
      <x:c r="Q21" s="95"/>
      <x:c r="R21" s="109"/>
      <x:c r="S21" s="109"/>
      <x:c r="T21" s="95"/>
      <x:c r="U21" s="95"/>
      <x:c r="V21" s="95"/>
      <x:c r="W21" s="95"/>
      <x:c r="X21" s="95"/>
      <x:c r="Y21" s="95"/>
    </x:row>
    <x:row r="22" ht="20" customHeight="1">
      <x:c r="B22" s="87"/>
      <x:c r="C22" s="87" t="str">
        <x:v>Duphaston and Femoston</x:v>
      </x:c>
      <x:c r="D22" s="107" t="n">
        <x:f>E22/(1+'Assumptions &amp; Sources'!$D$24)</x:f>
        <x:v>5341.674892846</x:v>
      </x:c>
      <x:c r="E22" s="88" t="n">
        <x:f>F22/(1+'Assumptions &amp; Sources'!$E$24)</x:f>
        <x:v>5769.00888427368</x:v>
      </x:c>
      <x:c r="F22" s="88" t="n">
        <x:f>G22/(1+'Assumptions &amp; Sources'!$F$24)</x:f>
        <x:v>6230.529595015575</x:v>
      </x:c>
      <x:c r="G22" s="88" t="n">
        <x:f>H22/(1+'Assumptions &amp; Sources'!$G$24)</x:f>
        <x:v>6666.666666666666</x:v>
      </x:c>
      <x:c r="H22" s="89" t="n">
        <x:f>'Assumptions &amp; Sources'!$C$24</x:f>
        <x:v>7000</x:v>
      </x:c>
      <x:c r="I22" s="114" t="n">
        <x:f>'Assumptions &amp; Sources'!$G$6*M22/$M$41</x:f>
        <x:v>1706.967100205937</x:v>
      </x:c>
      <x:c r="J22" s="90" t="n">
        <x:f>(M22-I22)*'Assumptions &amp; Sources'!$D$50/SUM('Assumptions &amp; Sources'!$D$50:$D$52)</x:f>
        <x:v>1988.631749795756</x:v>
      </x:c>
      <x:c r="K22" s="90" t="n">
        <x:f>(M22-I22)*'Assumptions &amp; Sources'!$D$51/SUM('Assumptions &amp; Sources'!$D$50:$D$52)</x:f>
        <x:v>1867.1600352393225</x:v>
      </x:c>
      <x:c r="L22" s="90" t="n">
        <x:f>(M22-I22)*'Assumptions &amp; Sources'!$D$52/SUM('Assumptions &amp; Sources'!$D$50:$D$52)</x:f>
        <x:v>1755.7411147589833</x:v>
      </x:c>
      <x:c r="M22" s="114" t="n">
        <x:f>H22*(1+'Assumptions &amp; Sources'!$H$24)</x:f>
        <x:v>7318.499999999999</x:v>
      </x:c>
      <x:c r="N22" s="114" t="n">
        <x:f>R22*'Assumptions &amp; Sources'!$D$49</x:f>
        <x:v>1866.5312694739441</x:v>
      </x:c>
      <x:c r="O22" s="90" t="n">
        <x:f>R22*'Assumptions &amp; Sources'!$D$50</x:f>
        <x:v>2063.3186469891734</x:v>
      </x:c>
      <x:c r="P22" s="90" t="n">
        <x:f>R22*'Assumptions &amp; Sources'!$D$51</x:f>
        <x:v>1937.2848281326771</x:v>
      </x:c>
      <x:c r="Q22" s="90" t="n">
        <x:f>R22*'Assumptions &amp; Sources'!$D$52</x:f>
        <x:v>1821.6813554042049</x:v>
      </x:c>
      <x:c r="R22" s="114" t="n">
        <x:f>M22*(1+'Assumptions &amp; Sources'!$I$24)</x:f>
        <x:v>7688.816099999999</x:v>
      </x:c>
      <x:c r="S22" s="114" t="n">
        <x:f>R22*(1+'Assumptions &amp; Sources'!$J$24)</x:f>
        <x:v>8117.083156769998</x:v>
      </x:c>
      <x:c r="T22" s="90" t="n">
        <x:f>S22*(1+'Assumptions &amp; Sources'!$K$24)</x:f>
        <x:v>8569.204688602085</x:v>
      </x:c>
      <x:c r="U22" s="90" t="n">
        <x:f>T22*(1+'Assumptions &amp; Sources'!$L$24)</x:f>
        <x:v>9046.50938975722</x:v>
      </x:c>
      <x:c r="V22" s="90" t="n">
        <x:f>U22*(1+'Assumptions &amp; Sources'!$M$24)</x:f>
        <x:v>9504.262764878935</x:v>
      </x:c>
      <x:c r="W22" s="90" t="n">
        <x:f>V22*(1+'Assumptions &amp; Sources'!$N$24)</x:f>
        <x:v>9985.178460781808</x:v>
      </x:c>
      <x:c r="X22" s="90" t="n">
        <x:f>W22*(1+'Assumptions &amp; Sources'!$O$24)</x:f>
        <x:v>10439.50408074738</x:v>
      </x:c>
      <x:c r="Y22" s="90" t="n">
        <x:f>X22*(1+'Assumptions &amp; Sources'!$P$24)</x:f>
        <x:v>10914.501516421384</x:v>
      </x:c>
    </x:row>
    <x:row r="23" ht="20" customHeight="1">
      <x:c r="B23" s="87"/>
      <x:c r="C23" s="87" t="str">
        <x:v>Other Women's Health</x:v>
      </x:c>
      <x:c r="D23" s="107" t="n">
        <x:f>E23/(1+'Assumptions &amp; Sources'!$D$25)</x:f>
        <x:v>1470.0597055929063</x:v>
      </x:c>
      <x:c r="E23" s="88" t="n">
        <x:f>F23/(1+'Assumptions &amp; Sources'!$E$25)</x:f>
        <x:v>1587.664482040339</x:v>
      </x:c>
      <x:c r="F23" s="88" t="n">
        <x:f>G23/(1+'Assumptions &amp; Sources'!$F$25)</x:f>
        <x:v>1714.6776406035663</x:v>
      </x:c>
      <x:c r="G23" s="88" t="n">
        <x:f>H23/(1+'Assumptions &amp; Sources'!$G$25)</x:f>
        <x:v>1851.8518518518517</x:v>
      </x:c>
      <x:c r="H23" s="89" t="n">
        <x:f>'Assumptions &amp; Sources'!$C$25</x:f>
        <x:v>2000</x:v>
      </x:c>
      <x:c r="I23" s="114" t="n">
        <x:f>'Assumptions &amp; Sources'!$G$6*M23/$M$41</x:f>
        <x:v>502.0491471193933</x:v>
      </x:c>
      <x:c r="J23" s="90" t="n">
        <x:f>(M23-I23)*'Assumptions &amp; Sources'!$D$50/SUM('Assumptions &amp; Sources'!$D$50:$D$52)</x:f>
        <x:v>584.891691116399</x:v>
      </x:c>
      <x:c r="K23" s="90" t="n">
        <x:f>(M23-I23)*'Assumptions &amp; Sources'!$D$51/SUM('Assumptions &amp; Sources'!$D$50:$D$52)</x:f>
        <x:v>549.1647162468597</x:v>
      </x:c>
      <x:c r="L23" s="90" t="n">
        <x:f>(M23-I23)*'Assumptions &amp; Sources'!$D$52/SUM('Assumptions &amp; Sources'!$D$50:$D$52)</x:f>
        <x:v>516.3944455173481</x:v>
      </x:c>
      <x:c r="M23" s="114" t="n">
        <x:f>H23*(1+'Assumptions &amp; Sources'!$H$25)</x:f>
        <x:v>2152.5</x:v>
      </x:c>
      <x:c r="N23" s="114" t="n">
        <x:f>R23*'Assumptions &amp; Sources'!$D$49</x:f>
        <x:v>562.3829181003942</x:v>
      </x:c>
      <x:c r="O23" s="90" t="n">
        <x:f>R23*'Assumptions &amp; Sources'!$D$50</x:f>
        <x:v>621.674643571208</x:v>
      </x:c>
      <x:c r="P23" s="90" t="n">
        <x:f>R23*'Assumptions &amp; Sources'!$D$51</x:f>
        <x:v>583.700853371685</x:v>
      </x:c>
      <x:c r="Q23" s="90" t="n">
        <x:f>R23*'Assumptions &amp; Sources'!$D$52</x:f>
        <x:v>548.8697099567125</x:v>
      </x:c>
      <x:c r="R23" s="114" t="n">
        <x:f>M23*(1+'Assumptions &amp; Sources'!$I$25)</x:f>
        <x:v>2316.6281249999997</x:v>
      </x:c>
      <x:c r="S23" s="114" t="n">
        <x:f>R23*(1+'Assumptions &amp; Sources'!$J$25)</x:f>
        <x:v>2493.2710195312497</x:v>
      </x:c>
      <x:c r="T23" s="90" t="n">
        <x:f>S23*(1+'Assumptions &amp; Sources'!$K$25)</x:f>
        <x:v>2670.6049207954097</x:v>
      </x:c>
      <x:c r="U23" s="90" t="n">
        <x:f>T23*(1+'Assumptions &amp; Sources'!$L$25)</x:f>
        <x:v>2860.551695786983</x:v>
      </x:c>
      <x:c r="V23" s="90" t="n">
        <x:f>U23*(1+'Assumptions &amp; Sources'!$M$25)</x:f>
        <x:v>3049.3481077089236</x:v>
      </x:c>
      <x:c r="W23" s="90" t="n">
        <x:f>V23*(1+'Assumptions &amp; Sources'!$N$25)</x:f>
        <x:v>3250.605082817712</x:v>
      </x:c>
      <x:c r="X23" s="90" t="n">
        <x:f>W23*(1+'Assumptions &amp; Sources'!$O$25)</x:f>
        <x:v>3448.48566723424</x:v>
      </x:c>
      <x:c r="Y23" s="90" t="n">
        <x:f>X23*(1+'Assumptions &amp; Sources'!$P$25)</x:f>
        <x:v>3658.4122322271232</x:v>
      </x:c>
    </x:row>
    <x:row r="24" ht="20" customHeight="1">
      <x:c r="B24" s="91" t="str">
        <x:v>Women's Health</x:v>
      </x:c>
      <x:c r="C24" s="91" t="str">
        <x:v>Women's Health subtotal</x:v>
      </x:c>
      <x:c r="D24" s="108" t="n">
        <x:f>SUM(D22:D23)</x:f>
        <x:v>6811.734598438907</x:v>
      </x:c>
      <x:c r="E24" s="92" t="n">
        <x:f>SUM(E22:E23)</x:f>
        <x:v>7356.673366314019</x:v>
      </x:c>
      <x:c r="F24" s="92" t="n">
        <x:f>SUM(F22:F23)</x:f>
        <x:v>7945.207235619141</x:v>
      </x:c>
      <x:c r="G24" s="92" t="n">
        <x:f>SUM(G22:G23)</x:f>
        <x:v>8518.518518518518</x:v>
      </x:c>
      <x:c r="H24" s="93" t="n">
        <x:f>SUM(H22:H23)</x:f>
        <x:v>9000</x:v>
      </x:c>
      <x:c r="I24" s="108" t="n">
        <x:f>SUM(I22:I23)</x:f>
        <x:v>2209.0162473253304</x:v>
      </x:c>
      <x:c r="J24" s="92" t="n">
        <x:f>SUM(J22:J23)</x:f>
        <x:v>2573.523440912155</x:v>
      </x:c>
      <x:c r="K24" s="92" t="n">
        <x:f>SUM(K22:K23)</x:f>
        <x:v>2416.3247514861823</x:v>
      </x:c>
      <x:c r="L24" s="92" t="n">
        <x:f>SUM(L22:L23)</x:f>
        <x:v>2272.1355602763315</x:v>
      </x:c>
      <x:c r="M24" s="108" t="n">
        <x:f>SUM(M22:M23)</x:f>
        <x:v>9471</x:v>
      </x:c>
      <x:c r="N24" s="108" t="n">
        <x:f>SUM(N22:N23)</x:f>
        <x:v>2428.9141875743385</x:v>
      </x:c>
      <x:c r="O24" s="92" t="n">
        <x:f>SUM(O22:O23)</x:f>
        <x:v>2684.9932905603814</x:v>
      </x:c>
      <x:c r="P24" s="92" t="n">
        <x:f>SUM(P22:P23)</x:f>
        <x:v>2520.985681504362</x:v>
      </x:c>
      <x:c r="Q24" s="92" t="n">
        <x:f>SUM(Q22:Q23)</x:f>
        <x:v>2370.551065360917</x:v>
      </x:c>
      <x:c r="R24" s="108" t="n">
        <x:f>SUM(R22:R23)</x:f>
        <x:v>10005.444225</x:v>
      </x:c>
      <x:c r="S24" s="108" t="n">
        <x:f>SUM(S22:S23)</x:f>
        <x:v>10610.354176301247</x:v>
      </x:c>
      <x:c r="T24" s="92" t="n">
        <x:f>SUM(T22:T23)</x:f>
        <x:v>11239.809609397495</x:v>
      </x:c>
      <x:c r="U24" s="92" t="n">
        <x:f>SUM(U22:U23)</x:f>
        <x:v>11907.061085544203</x:v>
      </x:c>
      <x:c r="V24" s="92" t="n">
        <x:f>SUM(V22:V23)</x:f>
        <x:v>12553.610872587858</x:v>
      </x:c>
      <x:c r="W24" s="92" t="n">
        <x:f>SUM(W22:W23)</x:f>
        <x:v>13235.78354359952</x:v>
      </x:c>
      <x:c r="X24" s="92" t="n">
        <x:f>SUM(X22:X23)</x:f>
        <x:v>13887.989747981619</x:v>
      </x:c>
      <x:c r="Y24" s="92" t="n">
        <x:f>SUM(Y22:Y23)</x:f>
        <x:v>14572.913748648507</x:v>
      </x:c>
    </x:row>
    <x:row r="25" ht="20" customHeight="1">
      <x:c r="B25" s="94" t="str">
        <x:v>CNS</x:v>
      </x:c>
      <x:c r="C25" s="94"/>
      <x:c r="D25" s="109"/>
      <x:c r="E25" s="95"/>
      <x:c r="F25" s="95"/>
      <x:c r="G25" s="95"/>
      <x:c r="H25" s="96"/>
      <x:c r="I25" s="109"/>
      <x:c r="J25" s="95"/>
      <x:c r="K25" s="95"/>
      <x:c r="L25" s="95"/>
      <x:c r="M25" s="109"/>
      <x:c r="N25" s="109"/>
      <x:c r="O25" s="95"/>
      <x:c r="P25" s="95"/>
      <x:c r="Q25" s="95"/>
      <x:c r="R25" s="109"/>
      <x:c r="S25" s="109"/>
      <x:c r="T25" s="95"/>
      <x:c r="U25" s="95"/>
      <x:c r="V25" s="95"/>
      <x:c r="W25" s="95"/>
      <x:c r="X25" s="95"/>
      <x:c r="Y25" s="95"/>
    </x:row>
    <x:row r="26" ht="20" customHeight="1">
      <x:c r="B26" s="87"/>
      <x:c r="C26" s="87" t="str">
        <x:v>Vertin</x:v>
      </x:c>
      <x:c r="D26" s="107" t="n">
        <x:f>E26/(1+'Assumptions &amp; Sources'!$D$26)</x:f>
        <x:v>2572.6044847875864</x:v>
      </x:c>
      <x:c r="E26" s="88" t="n">
        <x:f>F26/(1+'Assumptions &amp; Sources'!$E$26)</x:f>
        <x:v>2778.4128435705934</x:v>
      </x:c>
      <x:c r="F26" s="88" t="n">
        <x:f>G26/(1+'Assumptions &amp; Sources'!$F$26)</x:f>
        <x:v>3000.685871056241</x:v>
      </x:c>
      <x:c r="G26" s="88" t="n">
        <x:f>H26/(1+'Assumptions &amp; Sources'!$G$26)</x:f>
        <x:v>3240.7407407407404</x:v>
      </x:c>
      <x:c r="H26" s="89" t="n">
        <x:f>'Assumptions &amp; Sources'!$C$26</x:f>
        <x:v>3500</x:v>
      </x:c>
      <x:c r="I26" s="114" t="n">
        <x:f>'Assumptions &amp; Sources'!$G$6*M26/$M$41</x:f>
        <x:v>878.5860074589382</x:v>
      </x:c>
      <x:c r="J26" s="90" t="n">
        <x:f>(M26-I26)*'Assumptions &amp; Sources'!$D$50/SUM('Assumptions &amp; Sources'!$D$50:$D$52)</x:f>
        <x:v>1023.560459453698</x:v>
      </x:c>
      <x:c r="K26" s="90" t="n">
        <x:f>(M26-I26)*'Assumptions &amp; Sources'!$D$51/SUM('Assumptions &amp; Sources'!$D$50:$D$52)</x:f>
        <x:v>961.0382534320041</x:v>
      </x:c>
      <x:c r="L26" s="90" t="n">
        <x:f>(M26-I26)*'Assumptions &amp; Sources'!$D$52/SUM('Assumptions &amp; Sources'!$D$50:$D$52)</x:f>
        <x:v>903.6902796553591</x:v>
      </x:c>
      <x:c r="M26" s="114" t="n">
        <x:f>H26*(1+'Assumptions &amp; Sources'!$H$26)</x:f>
        <x:v>3766.8749999999995</x:v>
      </x:c>
      <x:c r="N26" s="114" t="n">
        <x:f>R26*'Assumptions &amp; Sources'!$D$49</x:f>
        <x:v>984.1701066756899</x:v>
      </x:c>
      <x:c r="O26" s="90" t="n">
        <x:f>R26*'Assumptions &amp; Sources'!$D$50</x:f>
        <x:v>1087.9306262496139</x:v>
      </x:c>
      <x:c r="P26" s="90" t="n">
        <x:f>R26*'Assumptions &amp; Sources'!$D$51</x:f>
        <x:v>1021.4764934004487</x:v>
      </x:c>
      <x:c r="Q26" s="90" t="n">
        <x:f>R26*'Assumptions &amp; Sources'!$D$52</x:f>
        <x:v>960.5219924242468</x:v>
      </x:c>
      <x:c r="R26" s="114" t="n">
        <x:f>M26*(1+'Assumptions &amp; Sources'!$I$26)</x:f>
        <x:v>4054.099218749999</x:v>
      </x:c>
      <x:c r="S26" s="114" t="n">
        <x:f>R26*(1+'Assumptions &amp; Sources'!$J$26)</x:f>
        <x:v>4342.447025683592</x:v>
      </x:c>
      <x:c r="T26" s="90" t="n">
        <x:f>S26*(1+'Assumptions &amp; Sources'!$K$26)</x:f>
        <x:v>4651.3035703853375</x:v>
      </x:c>
      <x:c r="U26" s="90" t="n">
        <x:f>T26*(1+'Assumptions &amp; Sources'!$L$26)</x:f>
        <x:v>4958.289606030769</x:v>
      </x:c>
      <x:c r="V26" s="90" t="n">
        <x:f>U26*(1+'Assumptions &amp; Sources'!$M$26)</x:f>
        <x:v>5285.536720028799</x:v>
      </x:c>
      <x:c r="W26" s="90" t="n">
        <x:f>V26*(1+'Assumptions &amp; Sources'!$N$26)</x:f>
        <x:v>5607.293767860551</x:v>
      </x:c>
      <x:c r="X26" s="90" t="n">
        <x:f>W26*(1+'Assumptions &amp; Sources'!$O$26)</x:f>
        <x:v>5948.637775979061</x:v>
      </x:c>
      <x:c r="Y26" s="90" t="n">
        <x:f>X26*(1+'Assumptions &amp; Sources'!$P$26)</x:f>
        <x:v>6280.274331989894</x:v>
      </x:c>
    </x:row>
    <x:row r="27" ht="20" customHeight="1">
      <x:c r="B27" s="87"/>
      <x:c r="C27" s="87" t="str">
        <x:v>Other CNS</x:v>
      </x:c>
      <x:c r="D27" s="107" t="n">
        <x:f>E27/(1+'Assumptions &amp; Sources'!$D$27)</x:f>
        <x:v>2217.8622570664575</x:v>
      </x:c>
      <x:c r="E27" s="88" t="n">
        <x:f>F27/(1+'Assumptions &amp; Sources'!$E$27)</x:f>
        <x:v>2350.9339924904452</x:v>
      </x:c>
      <x:c r="F27" s="88" t="n">
        <x:f>G27/(1+'Assumptions &amp; Sources'!$F$27)</x:f>
        <x:v>2491.990032039872</x:v>
      </x:c>
      <x:c r="G27" s="88" t="n">
        <x:f>H27/(1+'Assumptions &amp; Sources'!$G$27)</x:f>
        <x:v>2641.509433962264</x:v>
      </x:c>
      <x:c r="H27" s="89" t="n">
        <x:f>'Assumptions &amp; Sources'!$C$27</x:f>
        <x:v>2800</x:v>
      </x:c>
      <x:c r="I27" s="114" t="n">
        <x:f>'Assumptions &amp; Sources'!$G$6*M27/$M$41</x:f>
        <x:v>692.8278230247627</x:v>
      </x:c>
      <x:c r="J27" s="90" t="n">
        <x:f>(M27-I27)*'Assumptions &amp; Sources'!$D$50/SUM('Assumptions &amp; Sources'!$D$50:$D$52)</x:f>
        <x:v>807.1505337406303</x:v>
      </x:c>
      <x:c r="K27" s="90" t="n">
        <x:f>(M27-I27)*'Assumptions &amp; Sources'!$D$51/SUM('Assumptions &amp; Sources'!$D$50:$D$52)</x:f>
        <x:v>757.8473084206661</x:v>
      </x:c>
      <x:c r="L27" s="90" t="n">
        <x:f>(M27-I27)*'Assumptions &amp; Sources'!$D$52/SUM('Assumptions &amp; Sources'!$D$50:$D$52)</x:f>
        <x:v>712.6243348139402</x:v>
      </x:c>
      <x:c r="M27" s="114" t="n">
        <x:f>H27*(1+'Assumptions &amp; Sources'!$H$27)</x:f>
        <x:v>2970.4499999999994</x:v>
      </x:c>
      <x:c r="N27" s="114" t="n">
        <x:f>R27*'Assumptions &amp; Sources'!$D$49</x:f>
        <x:v>765.0014494502789</x:v>
      </x:c>
      <x:c r="O27" s="90" t="n">
        <x:f>R27*'Assumptions &amp; Sources'!$D$50</x:f>
        <x:v>845.6551365835772</x:v>
      </x:c>
      <x:c r="P27" s="90" t="n">
        <x:f>R27*'Assumptions &amp; Sources'!$D$51</x:f>
        <x:v>793.9999322578832</x:v>
      </x:c>
      <x:c r="Q27" s="90" t="n">
        <x:f>R27*'Assumptions &amp; Sources'!$D$52</x:f>
        <x:v>746.6196254582592</x:v>
      </x:c>
      <x:c r="R27" s="114" t="n">
        <x:f>M27*(1+'Assumptions &amp; Sources'!$I$27)</x:f>
        <x:v>3151.2761437499985</x:v>
      </x:c>
      <x:c r="S27" s="114" t="n">
        <x:f>R27*(1+'Assumptions &amp; Sources'!$J$27)</x:f>
        <x:v>3326.9597887640607</x:v>
      </x:c>
      <x:c r="T27" s="90" t="n">
        <x:f>S27*(1+'Assumptions &amp; Sources'!$K$27)</x:f>
        <x:v>3512.437796987657</x:v>
      </x:c>
      <x:c r="U27" s="90" t="n">
        <x:f>T27*(1+'Assumptions &amp; Sources'!$L$27)</x:f>
        <x:v>3708.256204169719</x:v>
      </x:c>
      <x:c r="V27" s="90" t="n">
        <x:f>U27*(1+'Assumptions &amp; Sources'!$M$27)</x:f>
        <x:v>3895.9866745058107</x:v>
      </x:c>
      <x:c r="W27" s="90" t="n">
        <x:f>V27*(1+'Assumptions &amp; Sources'!$N$27)</x:f>
        <x:v>4093.2209999026672</x:v>
      </x:c>
      <x:c r="X27" s="90" t="n">
        <x:f>W27*(1+'Assumptions &amp; Sources'!$O$27)</x:f>
        <x:v>4279.462555398238</x:v>
      </x:c>
      <x:c r="Y27" s="90" t="n">
        <x:f>X27*(1+'Assumptions &amp; Sources'!$P$27)</x:f>
        <x:v>4474.178101668857</x:v>
      </x:c>
    </x:row>
    <x:row r="28" ht="20" customHeight="1">
      <x:c r="B28" s="91" t="str">
        <x:v>CNS</x:v>
      </x:c>
      <x:c r="C28" s="91" t="str">
        <x:v>CNS subtotal</x:v>
      </x:c>
      <x:c r="D28" s="108" t="n">
        <x:f>SUM(D26:D27)</x:f>
        <x:v>4790.466741854044</x:v>
      </x:c>
      <x:c r="E28" s="92" t="n">
        <x:f>SUM(E26:E27)</x:f>
        <x:v>5129.346836061039</x:v>
      </x:c>
      <x:c r="F28" s="92" t="n">
        <x:f>SUM(F26:F27)</x:f>
        <x:v>5492.675903096113</x:v>
      </x:c>
      <x:c r="G28" s="92" t="n">
        <x:f>SUM(G26:G27)</x:f>
        <x:v>5882.250174703005</x:v>
      </x:c>
      <x:c r="H28" s="93" t="n">
        <x:f>SUM(H26:H27)</x:f>
        <x:v>6300</x:v>
      </x:c>
      <x:c r="I28" s="108" t="n">
        <x:f>SUM(I26:I27)</x:f>
        <x:v>1571.4138304837008</x:v>
      </x:c>
      <x:c r="J28" s="92" t="n">
        <x:f>SUM(J26:J27)</x:f>
        <x:v>1830.7109931943282</x:v>
      </x:c>
      <x:c r="K28" s="92" t="n">
        <x:f>SUM(K26:K27)</x:f>
        <x:v>1718.8855618526702</x:v>
      </x:c>
      <x:c r="L28" s="92" t="n">
        <x:f>SUM(L26:L27)</x:f>
        <x:v>1616.3146144692992</x:v>
      </x:c>
      <x:c r="M28" s="108" t="n">
        <x:f>SUM(M26:M27)</x:f>
        <x:v>6737.324999999999</x:v>
      </x:c>
      <x:c r="N28" s="108" t="n">
        <x:f>SUM(N26:N27)</x:f>
        <x:v>1749.171556125969</x:v>
      </x:c>
      <x:c r="O28" s="92" t="n">
        <x:f>SUM(O26:O27)</x:f>
        <x:v>1933.585762833191</x:v>
      </x:c>
      <x:c r="P28" s="92" t="n">
        <x:f>SUM(P26:P27)</x:f>
        <x:v>1815.476425658332</x:v>
      </x:c>
      <x:c r="Q28" s="92" t="n">
        <x:f>SUM(Q26:Q27)</x:f>
        <x:v>1707.1416178825061</x:v>
      </x:c>
      <x:c r="R28" s="108" t="n">
        <x:f>SUM(R26:R27)</x:f>
        <x:v>7205.375362499997</x:v>
      </x:c>
      <x:c r="S28" s="108" t="n">
        <x:f>SUM(S26:S27)</x:f>
        <x:v>7669.406814447653</x:v>
      </x:c>
      <x:c r="T28" s="92" t="n">
        <x:f>SUM(T26:T27)</x:f>
        <x:v>8163.741367372994</x:v>
      </x:c>
      <x:c r="U28" s="92" t="n">
        <x:f>SUM(U26:U27)</x:f>
        <x:v>8666.545810200489</x:v>
      </x:c>
      <x:c r="V28" s="92" t="n">
        <x:f>SUM(V26:V27)</x:f>
        <x:v>9181.52339453461</x:v>
      </x:c>
      <x:c r="W28" s="92" t="n">
        <x:f>SUM(W26:W27)</x:f>
        <x:v>9700.51476776322</x:v>
      </x:c>
      <x:c r="X28" s="92" t="n">
        <x:f>SUM(X26:X27)</x:f>
        <x:v>10228.1003313773</x:v>
      </x:c>
      <x:c r="Y28" s="92" t="n">
        <x:f>SUM(Y26:Y27)</x:f>
        <x:v>10754.452433658751</x:v>
      </x:c>
    </x:row>
    <x:row r="29" ht="20" customHeight="1">
      <x:c r="B29" s="94" t="str">
        <x:v>Multi-specialty</x:v>
      </x:c>
      <x:c r="C29" s="94"/>
      <x:c r="D29" s="109"/>
      <x:c r="E29" s="95"/>
      <x:c r="F29" s="95"/>
      <x:c r="G29" s="95"/>
      <x:c r="H29" s="96"/>
      <x:c r="I29" s="109"/>
      <x:c r="J29" s="95"/>
      <x:c r="K29" s="95"/>
      <x:c r="L29" s="95"/>
      <x:c r="M29" s="109"/>
      <x:c r="N29" s="109"/>
      <x:c r="O29" s="95"/>
      <x:c r="P29" s="95"/>
      <x:c r="Q29" s="95"/>
      <x:c r="R29" s="109"/>
      <x:c r="S29" s="109"/>
      <x:c r="T29" s="95"/>
      <x:c r="U29" s="95"/>
      <x:c r="V29" s="95"/>
      <x:c r="W29" s="95"/>
      <x:c r="X29" s="95"/>
      <x:c r="Y29" s="95"/>
    </x:row>
    <x:row r="30" ht="20" customHeight="1">
      <x:c r="B30" s="87"/>
      <x:c r="C30" s="87" t="str">
        <x:v>Arachitol franchise</x:v>
      </x:c>
      <x:c r="D30" s="107" t="n">
        <x:f>E30/(1+'Assumptions &amp; Sources'!$D$28)</x:f>
        <x:v>2412.478718491304</x:v>
      </x:c>
      <x:c r="E30" s="88" t="n">
        <x:f>F30/(1+'Assumptions &amp; Sources'!$E$28)</x:f>
        <x:v>2629.6018031555213</x:v>
      </x:c>
      <x:c r="F30" s="88" t="n">
        <x:f>G30/(1+'Assumptions &amp; Sources'!$F$28)</x:f>
        <x:v>2892.5619834710737</x:v>
      </x:c>
      <x:c r="G30" s="88" t="n">
        <x:f>H30/(1+'Assumptions &amp; Sources'!$G$28)</x:f>
        <x:v>3181.8181818181815</x:v>
      </x:c>
      <x:c r="H30" s="89" t="n">
        <x:f>'Assumptions &amp; Sources'!$C$28</x:f>
        <x:v>3500</x:v>
      </x:c>
      <x:c r="I30" s="114" t="n">
        <x:f>'Assumptions &amp; Sources'!$G$6*M30/$M$41</x:f>
        <x:v>895.3209790295846</x:v>
      </x:c>
      <x:c r="J30" s="90" t="n">
        <x:f>(M30-I30)*'Assumptions &amp; Sources'!$D$50/SUM('Assumptions &amp; Sources'!$D$50:$D$52)</x:f>
        <x:v>1043.056849157578</x:v>
      </x:c>
      <x:c r="K30" s="90" t="n">
        <x:f>(M30-I30)*'Assumptions &amp; Sources'!$D$51/SUM('Assumptions &amp; Sources'!$D$50:$D$52)</x:f>
        <x:v>979.3437439735661</x:v>
      </x:c>
      <x:c r="L30" s="90" t="n">
        <x:f>(M30-I30)*'Assumptions &amp; Sources'!$D$52/SUM('Assumptions &amp; Sources'!$D$50:$D$52)</x:f>
        <x:v>920.9034278392705</x:v>
      </x:c>
      <x:c r="M30" s="114" t="n">
        <x:f>H30*(1+'Assumptions &amp; Sources'!$H$28)</x:f>
        <x:v>3838.6249999999995</x:v>
      </x:c>
      <x:c r="N30" s="114" t="n">
        <x:f>R30*'Assumptions &amp; Sources'!$D$49</x:f>
        <x:v>1017.2435782877844</x:v>
      </x:c>
      <x:c r="O30" s="90" t="n">
        <x:f>R30*'Assumptions &amp; Sources'!$D$50</x:f>
        <x:v>1124.491016002492</x:v>
      </x:c>
      <x:c r="P30" s="90" t="n">
        <x:f>R30*'Assumptions &amp; Sources'!$D$51</x:f>
        <x:v>1055.8036626344501</x:v>
      </x:c>
      <x:c r="Q30" s="90" t="n">
        <x:f>R30*'Assumptions &amp; Sources'!$D$52</x:f>
        <x:v>992.8007587002725</x:v>
      </x:c>
      <x:c r="R30" s="114" t="n">
        <x:f>M30*(1+'Assumptions &amp; Sources'!$I$28)</x:f>
        <x:v>4190.339015624999</x:v>
      </x:c>
      <x:c r="S30" s="114" t="n">
        <x:f>R30*(1+'Assumptions &amp; Sources'!$J$28)</x:f>
        <x:v>4552.803340476561</x:v>
      </x:c>
      <x:c r="T30" s="90" t="n">
        <x:f>S30*(1+'Assumptions &amp; Sources'!$K$28)</x:f>
        <x:v>4923.28771230784</x:v>
      </x:c>
      <x:c r="U30" s="90" t="n">
        <x:f>T30*(1+'Assumptions &amp; Sources'!$L$28)</x:f>
        <x:v>5298.688400371312</x:v>
      </x:c>
      <x:c r="V30" s="90" t="n">
        <x:f>U30*(1+'Assumptions &amp; Sources'!$M$28)</x:f>
        <x:v>5675.557612847721</x:v>
      </x:c>
      <x:c r="W30" s="90" t="n">
        <x:f>V30*(1+'Assumptions &amp; Sources'!$N$28)</x:f>
        <x:v>6050.14441529567</x:v>
      </x:c>
      <x:c r="X30" s="90" t="n">
        <x:f>W30*(1+'Assumptions &amp; Sources'!$O$28)</x:f>
        <x:v>6418.446956576793</x:v>
      </x:c>
      <x:c r="Y30" s="90" t="n">
        <x:f>X30*(1+'Assumptions &amp; Sources'!$P$28)</x:f>
        <x:v>6776.275374405949</x:v>
      </x:c>
    </x:row>
    <x:row r="31" ht="20" customHeight="1">
      <x:c r="B31" s="87"/>
      <x:c r="C31" s="87" t="str">
        <x:v>Other Multi-specialty</x:v>
      </x:c>
      <x:c r="D31" s="107" t="n">
        <x:f>E31/(1+'Assumptions &amp; Sources'!$D$29)</x:f>
        <x:v>1525.7904240950504</x:v>
      </x:c>
      <x:c r="E31" s="88" t="n">
        <x:f>F31/(1+'Assumptions &amp; Sources'!$E$29)</x:f>
        <x:v>1632.595753781704</x:v>
      </x:c>
      <x:c r="F31" s="88" t="n">
        <x:f>G31/(1+'Assumptions &amp; Sources'!$F$29)</x:f>
        <x:v>1746.8774565464232</x:v>
      </x:c>
      <x:c r="G31" s="88" t="n">
        <x:f>H31/(1+'Assumptions &amp; Sources'!$G$29)</x:f>
        <x:v>1869.1588785046729</x:v>
      </x:c>
      <x:c r="H31" s="89" t="n">
        <x:f>'Assumptions &amp; Sources'!$C$29</x:f>
        <x:v>2000</x:v>
      </x:c>
      <x:c r="I31" s="114" t="n">
        <x:f>'Assumptions &amp; Sources'!$G$6*M31/$M$41</x:f>
        <x:v>497.2677266706371</x:v>
      </x:c>
      <x:c r="J31" s="90" t="n">
        <x:f>(M31-I31)*'Assumptions &amp; Sources'!$D$50/SUM('Assumptions &amp; Sources'!$D$50:$D$52)</x:f>
        <x:v>579.3212940581474</x:v>
      </x:c>
      <x:c r="K31" s="90" t="n">
        <x:f>(M31-I31)*'Assumptions &amp; Sources'!$D$51/SUM('Assumptions &amp; Sources'!$D$50:$D$52)</x:f>
        <x:v>543.9345760921275</x:v>
      </x:c>
      <x:c r="L31" s="90" t="n">
        <x:f>(M31-I31)*'Assumptions &amp; Sources'!$D$52/SUM('Assumptions &amp; Sources'!$D$50:$D$52)</x:f>
        <x:v>511.47640317908747</x:v>
      </x:c>
      <x:c r="M31" s="114" t="n">
        <x:f>H31*(1+'Assumptions &amp; Sources'!$H$29)</x:f>
        <x:v>2131.9999999999995</x:v>
      </x:c>
      <x:c r="N31" s="114" t="n">
        <x:f>R31*'Assumptions &amp; Sources'!$D$49</x:f>
        <x:v>551.7218723060192</x:v>
      </x:c>
      <x:c r="O31" s="90" t="n">
        <x:f>R31*'Assumptions &amp; Sources'!$D$50</x:f>
        <x:v>609.889609511672</x:v>
      </x:c>
      <x:c r="P31" s="90" t="n">
        <x:f>R31*'Assumptions &amp; Sources'!$D$51</x:f>
        <x:v>572.6356852669518</x:v>
      </x:c>
      <x:c r="Q31" s="90" t="n">
        <x:f>R31*'Assumptions &amp; Sources'!$D$52</x:f>
        <x:v>538.464832915356</x:v>
      </x:c>
      <x:c r="R31" s="114" t="n">
        <x:f>M31*(1+'Assumptions &amp; Sources'!$I$29)</x:f>
        <x:v>2272.711999999999</x:v>
      </x:c>
      <x:c r="S31" s="114" t="n">
        <x:f>R31*(1+'Assumptions &amp; Sources'!$J$29)</x:f>
        <x:v>2411.0633429999984</x:v>
      </x:c>
      <x:c r="T31" s="90" t="n">
        <x:f>S31*(1+'Assumptions &amp; Sources'!$K$29)</x:f>
        <x:v>2557.8368240051227</x:v>
      </x:c>
      <x:c r="U31" s="90" t="n">
        <x:f>T31*(1+'Assumptions &amp; Sources'!$L$29)</x:f>
        <x:v>2700.436226943408</x:v>
      </x:c>
      <x:c r="V31" s="90" t="n">
        <x:f>U31*(1+'Assumptions &amp; Sources'!$M$29)</x:f>
        <x:v>2850.985546595503</x:v>
      </x:c>
      <x:c r="W31" s="90" t="n">
        <x:f>V31*(1+'Assumptions &amp; Sources'!$N$29)</x:f>
        <x:v>2995.3166898919</x:v>
      </x:c>
      <x:c r="X31" s="90" t="n">
        <x:f>W31*(1+'Assumptions &amp; Sources'!$O$29)</x:f>
        <x:v>3146.954597317677</x:v>
      </x:c>
      <x:c r="Y31" s="90" t="n">
        <x:f>X31*(1+'Assumptions &amp; Sources'!$P$29)</x:f>
        <x:v>3290.1410314956306</x:v>
      </x:c>
    </x:row>
    <x:row r="32" ht="20" customHeight="1">
      <x:c r="B32" s="91" t="str">
        <x:v>Multi-specialty</x:v>
      </x:c>
      <x:c r="C32" s="91" t="str">
        <x:v>Multi-specialty subtotal</x:v>
      </x:c>
      <x:c r="D32" s="108" t="n">
        <x:f>SUM(D30:D31)</x:f>
        <x:v>3938.269142586354</x:v>
      </x:c>
      <x:c r="E32" s="92" t="n">
        <x:f>SUM(E30:E31)</x:f>
        <x:v>4262.197556937225</x:v>
      </x:c>
      <x:c r="F32" s="92" t="n">
        <x:f>SUM(F30:F31)</x:f>
        <x:v>4639.439440017497</x:v>
      </x:c>
      <x:c r="G32" s="92" t="n">
        <x:f>SUM(G30:G31)</x:f>
        <x:v>5050.977060322854</x:v>
      </x:c>
      <x:c r="H32" s="93" t="n">
        <x:f>SUM(H30:H31)</x:f>
        <x:v>5500</x:v>
      </x:c>
      <x:c r="I32" s="108" t="n">
        <x:f>SUM(I30:I31)</x:f>
        <x:v>1392.5887057002217</x:v>
      </x:c>
      <x:c r="J32" s="92" t="n">
        <x:f>SUM(J30:J31)</x:f>
        <x:v>1622.3781432157252</x:v>
      </x:c>
      <x:c r="K32" s="92" t="n">
        <x:f>SUM(K30:K31)</x:f>
        <x:v>1523.2783200656936</x:v>
      </x:c>
      <x:c r="L32" s="92" t="n">
        <x:f>SUM(L30:L31)</x:f>
        <x:v>1432.379831018358</x:v>
      </x:c>
      <x:c r="M32" s="108" t="n">
        <x:f>SUM(M30:M31)</x:f>
        <x:v>5970.624999999999</x:v>
      </x:c>
      <x:c r="N32" s="108" t="n">
        <x:f>SUM(N30:N31)</x:f>
        <x:v>1568.9654505938038</x:v>
      </x:c>
      <x:c r="O32" s="92" t="n">
        <x:f>SUM(O30:O31)</x:f>
        <x:v>1734.380625514164</x:v>
      </x:c>
      <x:c r="P32" s="92" t="n">
        <x:f>SUM(P30:P31)</x:f>
        <x:v>1628.439347901402</x:v>
      </x:c>
      <x:c r="Q32" s="92" t="n">
        <x:f>SUM(Q30:Q31)</x:f>
        <x:v>1531.2655916156286</x:v>
      </x:c>
      <x:c r="R32" s="108" t="n">
        <x:f>SUM(R30:R31)</x:f>
        <x:v>6463.051015624998</x:v>
      </x:c>
      <x:c r="S32" s="108" t="n">
        <x:f>SUM(S30:S31)</x:f>
        <x:v>6963.866683476559</x:v>
      </x:c>
      <x:c r="T32" s="92" t="n">
        <x:f>SUM(T30:T31)</x:f>
        <x:v>7481.124536312962</x:v>
      </x:c>
      <x:c r="U32" s="92" t="n">
        <x:f>SUM(U30:U31)</x:f>
        <x:v>7999.124627314721</x:v>
      </x:c>
      <x:c r="V32" s="92" t="n">
        <x:f>SUM(V30:V31)</x:f>
        <x:v>8526.543159443225</x:v>
      </x:c>
      <x:c r="W32" s="92" t="n">
        <x:f>SUM(W30:W31)</x:f>
        <x:v>9045.461105187569</x:v>
      </x:c>
      <x:c r="X32" s="92" t="n">
        <x:f>SUM(X30:X31)</x:f>
        <x:v>9565.40155389447</x:v>
      </x:c>
      <x:c r="Y32" s="92" t="n">
        <x:f>SUM(Y30:Y31)</x:f>
        <x:v>10066.41640590158</x:v>
      </x:c>
    </x:row>
    <x:row r="33" ht="20" customHeight="1">
      <x:c r="B33" s="94" t="str">
        <x:v>Vaccines</x:v>
      </x:c>
      <x:c r="C33" s="94"/>
      <x:c r="D33" s="109"/>
      <x:c r="E33" s="95"/>
      <x:c r="F33" s="95"/>
      <x:c r="G33" s="95"/>
      <x:c r="H33" s="96"/>
      <x:c r="I33" s="109"/>
      <x:c r="J33" s="95"/>
      <x:c r="K33" s="95"/>
      <x:c r="L33" s="95"/>
      <x:c r="M33" s="109"/>
      <x:c r="N33" s="109"/>
      <x:c r="O33" s="95"/>
      <x:c r="P33" s="95"/>
      <x:c r="Q33" s="95"/>
      <x:c r="R33" s="109"/>
      <x:c r="S33" s="109"/>
      <x:c r="T33" s="95"/>
      <x:c r="U33" s="95"/>
      <x:c r="V33" s="95"/>
      <x:c r="W33" s="95"/>
      <x:c r="X33" s="95"/>
      <x:c r="Y33" s="95"/>
    </x:row>
    <x:row r="34" ht="20" customHeight="1">
      <x:c r="B34" s="87"/>
      <x:c r="C34" s="87" t="str">
        <x:v>Influvac</x:v>
      </x:c>
      <x:c r="D34" s="107" t="n">
        <x:f>E34/(1+'Assumptions &amp; Sources'!$D$30)</x:f>
        <x:v>2572.6044847875864</x:v>
      </x:c>
      <x:c r="E34" s="88" t="n">
        <x:f>F34/(1+'Assumptions &amp; Sources'!$E$30)</x:f>
        <x:v>2778.4128435705934</x:v>
      </x:c>
      <x:c r="F34" s="88" t="n">
        <x:f>G34/(1+'Assumptions &amp; Sources'!$F$30)</x:f>
        <x:v>3000.685871056241</x:v>
      </x:c>
      <x:c r="G34" s="88" t="n">
        <x:f>H34/(1+'Assumptions &amp; Sources'!$G$30)</x:f>
        <x:v>3240.7407407407404</x:v>
      </x:c>
      <x:c r="H34" s="89" t="n">
        <x:f>'Assumptions &amp; Sources'!$C$30</x:f>
        <x:v>3500</x:v>
      </x:c>
      <x:c r="I34" s="114" t="n">
        <x:f>'Assumptions &amp; Sources'!$G$6*M34/$M$41</x:f>
        <x:v>870.218521673615</x:v>
      </x:c>
      <x:c r="J34" s="90" t="n">
        <x:f>(M34-I34)*'Assumptions &amp; Sources'!$D$50/SUM('Assumptions &amp; Sources'!$D$50:$D$52)</x:f>
        <x:v>1013.812264601758</x:v>
      </x:c>
      <x:c r="K34" s="90" t="n">
        <x:f>(M34-I34)*'Assumptions &amp; Sources'!$D$51/SUM('Assumptions &amp; Sources'!$D$50:$D$52)</x:f>
        <x:v>951.8855081612234</x:v>
      </x:c>
      <x:c r="L34" s="90" t="n">
        <x:f>(M34-I34)*'Assumptions &amp; Sources'!$D$52/SUM('Assumptions &amp; Sources'!$D$50:$D$52)</x:f>
        <x:v>895.0837055634033</x:v>
      </x:c>
      <x:c r="M34" s="114" t="n">
        <x:f>H34*(1+'Assumptions &amp; Sources'!$H$30)</x:f>
        <x:v>3730.9999999999995</x:v>
      </x:c>
      <x:c r="N34" s="114" t="n">
        <x:f>R34*'Assumptions &amp; Sources'!$D$49</x:f>
        <x:v>965.5132765355338</x:v>
      </x:c>
      <x:c r="O34" s="90" t="n">
        <x:f>R34*'Assumptions &amp; Sources'!$D$50</x:f>
        <x:v>1067.3068166454261</x:v>
      </x:c>
      <x:c r="P34" s="90" t="n">
        <x:f>R34*'Assumptions &amp; Sources'!$D$51</x:f>
        <x:v>1002.1124492171657</x:v>
      </x:c>
      <x:c r="Q34" s="90" t="n">
        <x:f>R34*'Assumptions &amp; Sources'!$D$52</x:f>
        <x:v>942.3134576018732</x:v>
      </x:c>
      <x:c r="R34" s="114" t="n">
        <x:f>M34*(1+'Assumptions &amp; Sources'!$I$30)</x:f>
        <x:v>3977.2459999999987</x:v>
      </x:c>
      <x:c r="S34" s="114" t="n">
        <x:f>R34*(1+'Assumptions &amp; Sources'!$J$30)</x:f>
        <x:v>4219.360850249997</x:v>
      </x:c>
      <x:c r="T34" s="90" t="n">
        <x:f>S34*(1+'Assumptions &amp; Sources'!$K$30)</x:f>
        <x:v>4476.214442008965</x:v>
      </x:c>
      <x:c r="U34" s="90" t="n">
        <x:f>T34*(1+'Assumptions &amp; Sources'!$L$30)</x:f>
        <x:v>4725.763397150965</x:v>
      </x:c>
      <x:c r="V34" s="90" t="n">
        <x:f>U34*(1+'Assumptions &amp; Sources'!$M$30)</x:f>
        <x:v>4989.224706542131</x:v>
      </x:c>
      <x:c r="W34" s="90" t="n">
        <x:f>V34*(1+'Assumptions &amp; Sources'!$N$30)</x:f>
        <x:v>5241.804207310825</x:v>
      </x:c>
      <x:c r="X34" s="90" t="n">
        <x:f>W34*(1+'Assumptions &amp; Sources'!$O$30)</x:f>
        <x:v>5507.170545305936</x:v>
      </x:c>
      <x:c r="Y34" s="90" t="n">
        <x:f>X34*(1+'Assumptions &amp; Sources'!$P$30)</x:f>
        <x:v>5757.7468051173555</x:v>
      </x:c>
    </x:row>
    <x:row r="35" ht="20" customHeight="1">
      <x:c r="B35" s="87"/>
      <x:c r="C35" s="87" t="str">
        <x:v>Pneumoshield 14 and Havshield</x:v>
      </x:c>
      <x:c r="D35" s="107" t="n">
        <x:f>E35/(1+'Assumptions &amp; Sources'!$D$31)</x:f>
        <x:v>808.7474120082816</x:v>
      </x:c>
      <x:c r="E35" s="88" t="n">
        <x:f>F35/(1+'Assumptions &amp; Sources'!$E$31)</x:f>
        <x:v>970.4968944099379</x:v>
      </x:c>
      <x:c r="F35" s="88" t="n">
        <x:f>G35/(1+'Assumptions &amp; Sources'!$F$31)</x:f>
        <x:v>1164.5962732919254</x:v>
      </x:c>
      <x:c r="G35" s="88" t="n">
        <x:f>H35/(1+'Assumptions &amp; Sources'!$G$31)</x:f>
        <x:v>1339.2857142857142</x:v>
      </x:c>
      <x:c r="H35" s="89" t="n">
        <x:f>'Assumptions &amp; Sources'!$C$31</x:f>
        <x:v>1500</x:v>
      </x:c>
      <x:c r="I35" s="114" t="n">
        <x:f>'Assumptions &amp; Sources'!$G$6*M35/$M$41</x:f>
        <x:v>383.7089910126791</x:v>
      </x:c>
      <x:c r="J35" s="90" t="n">
        <x:f>(M35-I35)*'Assumptions &amp; Sources'!$D$50/SUM('Assumptions &amp; Sources'!$D$50:$D$52)</x:f>
        <x:v>447.02436392467627</x:v>
      </x:c>
      <x:c r="K35" s="90" t="n">
        <x:f>(M35-I35)*'Assumptions &amp; Sources'!$D$51/SUM('Assumptions &amp; Sources'!$D$50:$D$52)</x:f>
        <x:v>419.7187474172427</x:v>
      </x:c>
      <x:c r="L35" s="90" t="n">
        <x:f>(M35-I35)*'Assumptions &amp; Sources'!$D$52/SUM('Assumptions &amp; Sources'!$D$50:$D$52)</x:f>
        <x:v>394.6728976454017</x:v>
      </x:c>
      <x:c r="M35" s="114" t="n">
        <x:f>H35*(1+'Assumptions &amp; Sources'!$H$31)</x:f>
        <x:v>1645.1249999999998</x:v>
      </x:c>
      <x:c r="N35" s="114" t="n">
        <x:f>R35*'Assumptions &amp; Sources'!$D$49</x:f>
        <x:v>435.96153355190756</x:v>
      </x:c>
      <x:c r="O35" s="90" t="n">
        <x:f>R35*'Assumptions &amp; Sources'!$D$50</x:f>
        <x:v>481.9247211439251</x:v>
      </x:c>
      <x:c r="P35" s="90" t="n">
        <x:f>R35*'Assumptions &amp; Sources'!$D$51</x:f>
        <x:v>452.48728398619284</x:v>
      </x:c>
      <x:c r="Q35" s="90" t="n">
        <x:f>R35*'Assumptions &amp; Sources'!$D$52</x:f>
        <x:v>425.4860394429739</x:v>
      </x:c>
      <x:c r="R35" s="114" t="n">
        <x:f>M35*(1+'Assumptions &amp; Sources'!$I$31)</x:f>
        <x:v>1795.8595781249994</x:v>
      </x:c>
      <x:c r="S35" s="114" t="n">
        <x:f>R35*(1+'Assumptions &amp; Sources'!$J$31)</x:f>
        <x:v>1941.9976512949208</x:v>
      </x:c>
      <x:c r="T35" s="90" t="n">
        <x:f>S35*(1+'Assumptions &amp; Sources'!$K$31)</x:f>
        <x:v>2090.0749722061582</x:v>
      </x:c>
      <x:c r="U35" s="90" t="n">
        <x:f>T35*(1+'Assumptions &amp; Sources'!$L$31)</x:f>
        <x:v>2238.731554604321</x:v>
      </x:c>
      <x:c r="V35" s="90" t="n">
        <x:f>U35*(1+'Assumptions &amp; Sources'!$M$31)</x:f>
        <x:v>2386.4878372082057</x:v>
      </x:c>
      <x:c r="W35" s="90" t="n">
        <x:f>V35*(1+'Assumptions &amp; Sources'!$N$31)</x:f>
        <x:v>2531.7652842982548</x:v>
      </x:c>
      <x:c r="X35" s="90" t="n">
        <x:f>W35*(1+'Assumptions &amp; Sources'!$O$31)</x:f>
        <x:v>2672.9111988978825</x:v>
      </x:c>
      <x:c r="Y35" s="90" t="n">
        <x:f>X35*(1+'Assumptions &amp; Sources'!$P$31)</x:f>
        <x:v>2808.2273283420877</x:v>
      </x:c>
    </x:row>
    <x:row r="36" ht="20" customHeight="1">
      <x:c r="B36" s="87"/>
      <x:c r="C36" s="87" t="str">
        <x:v>Other vaccines</x:v>
      </x:c>
      <x:c r="D36" s="107" t="n">
        <x:f>E36/(1+'Assumptions &amp; Sources'!$D$32)</x:f>
        <x:v>396.0468316190102</x:v>
      </x:c>
      <x:c r="E36" s="88" t="n">
        <x:f>F36/(1+'Assumptions &amp; Sources'!$E$32)</x:f>
        <x:v>419.80964151615086</x:v>
      </x:c>
      <x:c r="F36" s="88" t="n">
        <x:f>G36/(1+'Assumptions &amp; Sources'!$F$32)</x:f>
        <x:v>444.9982200071199</x:v>
      </x:c>
      <x:c r="G36" s="88" t="n">
        <x:f>H36/(1+'Assumptions &amp; Sources'!$G$32)</x:f>
        <x:v>471.6981132075471</x:v>
      </x:c>
      <x:c r="H36" s="89" t="n">
        <x:f>'Assumptions &amp; Sources'!$C$32</x:f>
        <x:v>500</x:v>
      </x:c>
      <x:c r="I36" s="114" t="n">
        <x:f>'Assumptions &amp; Sources'!$G$6*M36/$M$41</x:f>
        <x:v>123.12157655547027</x:v>
      </x:c>
      <x:c r="J36" s="90" t="n">
        <x:f>(M36-I36)*'Assumptions &amp; Sources'!$D$50/SUM('Assumptions &amp; Sources'!$D$50:$D$52)</x:f>
        <x:v>143.43772424997402</x:v>
      </x:c>
      <x:c r="K36" s="90" t="n">
        <x:f>(M36-I36)*'Assumptions &amp; Sources'!$D$51/SUM('Assumptions &amp; Sources'!$D$50:$D$52)</x:f>
        <x:v>134.6761089843489</x:v>
      </x:c>
      <x:c r="L36" s="90" t="n">
        <x:f>(M36-I36)*'Assumptions &amp; Sources'!$D$52/SUM('Assumptions &amp; Sources'!$D$50:$D$52)</x:f>
        <x:v>126.63959021020679</x:v>
      </x:c>
      <x:c r="M36" s="114" t="n">
        <x:f>H36*(1+'Assumptions &amp; Sources'!$H$32)</x:f>
        <x:v>527.875</x:v>
      </x:c>
      <x:c r="N36" s="114" t="n">
        <x:f>R36*'Assumptions &amp; Sources'!$D$49</x:f>
        <x:v>135.29071152215607</x:v>
      </x:c>
      <x:c r="O36" s="90" t="n">
        <x:f>R36*'Assumptions &amp; Sources'!$D$50</x:f>
        <x:v>149.55433772442055</x:v>
      </x:c>
      <x:c r="P36" s="90" t="n">
        <x:f>R36*'Assumptions &amp; Sources'!$D$51</x:f>
        <x:v>140.41910098458519</x:v>
      </x:c>
      <x:c r="Q36" s="90" t="n">
        <x:f>R36*'Assumptions &amp; Sources'!$D$52</x:f>
        <x:v>132.03988101883817</x:v>
      </x:c>
      <x:c r="R36" s="114" t="n">
        <x:f>M36*(1+'Assumptions &amp; Sources'!$I$32)</x:f>
        <x:v>557.30403125</x:v>
      </x:c>
      <x:c r="S36" s="114" t="n">
        <x:f>R36*(1+'Assumptions &amp; Sources'!$J$32)</x:f>
        <x:v>588.3737309921875</x:v>
      </x:c>
      <x:c r="T36" s="90" t="n">
        <x:f>S36*(1+'Assumptions &amp; Sources'!$K$32)</x:f>
        <x:v>618.1601511236669</x:v>
      </x:c>
      <x:c r="U36" s="90" t="n">
        <x:f>T36*(1+'Assumptions &amp; Sources'!$L$32)</x:f>
        <x:v>649.4545087743024</x:v>
      </x:c>
      <x:c r="V36" s="90" t="n">
        <x:f>U36*(1+'Assumptions &amp; Sources'!$M$32)</x:f>
        <x:v>682.3331432810014</x:v>
      </x:c>
      <x:c r="W36" s="90" t="n">
        <x:f>V36*(1+'Assumptions &amp; Sources'!$N$32)</x:f>
        <x:v>713.3793013002869</x:v>
      </x:c>
      <x:c r="X36" s="90" t="n">
        <x:f>W36*(1+'Assumptions &amp; Sources'!$O$32)</x:f>
        <x:v>745.8380595094499</x:v>
      </x:c>
      <x:c r="Y36" s="90" t="n">
        <x:f>X36*(1+'Assumptions &amp; Sources'!$P$32)</x:f>
        <x:v>779.7736912171298</x:v>
      </x:c>
    </x:row>
    <x:row r="37" ht="20" customHeight="1">
      <x:c r="B37" s="91" t="str">
        <x:v>Vaccines</x:v>
      </x:c>
      <x:c r="C37" s="91" t="str">
        <x:v>Vaccines subtotal</x:v>
      </x:c>
      <x:c r="D37" s="108" t="n">
        <x:f>SUM(D34:D36)</x:f>
        <x:v>3777.3987284148784</x:v>
      </x:c>
      <x:c r="E37" s="92" t="n">
        <x:f>SUM(E34:E36)</x:f>
        <x:v>4168.719379496682</x:v>
      </x:c>
      <x:c r="F37" s="92" t="n">
        <x:f>SUM(F34:F36)</x:f>
        <x:v>4610.280364355286</x:v>
      </x:c>
      <x:c r="G37" s="92" t="n">
        <x:f>SUM(G34:G36)</x:f>
        <x:v>5051.724568234002</x:v>
      </x:c>
      <x:c r="H37" s="93" t="n">
        <x:f>SUM(H34:H36)</x:f>
        <x:v>5500</x:v>
      </x:c>
      <x:c r="I37" s="108" t="n">
        <x:f>SUM(I34:I36)</x:f>
        <x:v>1377.0490892417642</x:v>
      </x:c>
      <x:c r="J37" s="92" t="n">
        <x:f>SUM(J34:J36)</x:f>
        <x:v>1604.2743527764083</x:v>
      </x:c>
      <x:c r="K37" s="92" t="n">
        <x:f>SUM(K34:K36)</x:f>
        <x:v>1506.280364562815</x:v>
      </x:c>
      <x:c r="L37" s="92" t="n">
        <x:f>SUM(L34:L36)</x:f>
        <x:v>1416.3961934190118</x:v>
      </x:c>
      <x:c r="M37" s="108" t="n">
        <x:f>SUM(M34:M36)</x:f>
        <x:v>5903.999999999999</x:v>
      </x:c>
      <x:c r="N37" s="108" t="n">
        <x:f>SUM(N34:N36)</x:f>
        <x:v>1536.7655216095973</x:v>
      </x:c>
      <x:c r="O37" s="92" t="n">
        <x:f>SUM(O34:O36)</x:f>
        <x:v>1698.7858755137718</x:v>
      </x:c>
      <x:c r="P37" s="92" t="n">
        <x:f>SUM(P34:P36)</x:f>
        <x:v>1595.0188341879436</x:v>
      </x:c>
      <x:c r="Q37" s="92" t="n">
        <x:f>SUM(Q34:Q36)</x:f>
        <x:v>1499.8393780636852</x:v>
      </x:c>
      <x:c r="R37" s="108" t="n">
        <x:f>SUM(R34:R36)</x:f>
        <x:v>6330.409609374998</x:v>
      </x:c>
      <x:c r="S37" s="108" t="n">
        <x:f>SUM(S34:S36)</x:f>
        <x:v>6749.732232537105</x:v>
      </x:c>
      <x:c r="T37" s="92" t="n">
        <x:f>SUM(T34:T36)</x:f>
        <x:v>7184.44956533879</x:v>
      </x:c>
      <x:c r="U37" s="92" t="n">
        <x:f>SUM(U34:U36)</x:f>
        <x:v>7613.949460529589</x:v>
      </x:c>
      <x:c r="V37" s="92" t="n">
        <x:f>SUM(V34:V36)</x:f>
        <x:v>8058.045687031337</x:v>
      </x:c>
      <x:c r="W37" s="92" t="n">
        <x:f>SUM(W34:W36)</x:f>
        <x:v>8486.948792909367</x:v>
      </x:c>
      <x:c r="X37" s="92" t="n">
        <x:f>SUM(X34:X36)</x:f>
        <x:v>8925.919803713268</x:v>
      </x:c>
      <x:c r="Y37" s="92" t="n">
        <x:f>SUM(Y34:Y36)</x:f>
        <x:v>9345.747824676573</x:v>
      </x:c>
    </x:row>
    <x:row r="38" ht="20" customHeight="1">
      <x:c r="B38" s="87" t="str">
        <x:v>Other pharma</x:v>
      </x:c>
      <x:c r="C38" s="87" t="str">
        <x:v>Other products</x:v>
      </x:c>
      <x:c r="D38" s="107" t="n">
        <x:f>D39-SUM(D15,D20,D24,D28,D32,D37)</x:f>
        <x:v>4576.191067276843</x:v>
      </x:c>
      <x:c r="E38" s="88" t="n">
        <x:f>E39-SUM(E15,E20,E24,E28,E32,E37)</x:f>
        <x:v>5344.937490060984</x:v>
      </x:c>
      <x:c r="F38" s="88" t="n">
        <x:f>F39-SUM(F15,F20,F24,F28,F32,F37)</x:f>
        <x:v>6129.497992236065</x:v>
      </x:c>
      <x:c r="G38" s="88" t="n">
        <x:f>G39-SUM(G15,G20,G24,G28,G32,G37)</x:f>
        <x:v>6966.633551934079</x:v>
      </x:c>
      <x:c r="H38" s="89" t="n">
        <x:f>'Assumptions &amp; Sources'!$C$33</x:f>
        <x:v>6329.0999999999985</x:v>
      </x:c>
      <x:c r="I38" s="114" t="n">
        <x:f>'Assumptions &amp; Sources'!$G$6*M38/$M$41</x:f>
        <x:v>1558.4975403544533</x:v>
      </x:c>
      <x:c r="J38" s="90" t="n">
        <x:f>(M38-I38)*'Assumptions &amp; Sources'!$D$50/SUM('Assumptions &amp; Sources'!$D$50:$D$52)</x:f>
        <x:v>1815.6634011010208</x:v>
      </x:c>
      <x:c r="K38" s="90" t="n">
        <x:f>(M38-I38)*'Assumptions &amp; Sources'!$D$51/SUM('Assumptions &amp; Sources'!$D$50:$D$52)</x:f>
        <x:v>1704.757122745685</x:v>
      </x:c>
      <x:c r="L38" s="90" t="n">
        <x:f>(M38-I38)*'Assumptions &amp; Sources'!$D$52/SUM('Assumptions &amp; Sources'!$D$50:$D$52)</x:f>
        <x:v>1603.0292607988392</x:v>
      </x:c>
      <x:c r="M38" s="114" t="n">
        <x:f>H38*(1+'Assumptions &amp; Sources'!$H$33)</x:f>
        <x:v>6681.947324999998</x:v>
      </x:c>
      <x:c r="N38" s="114" t="n">
        <x:f>R38*'Assumptions &amp; Sources'!$D$49</x:f>
        <x:v>1712.5368845897558</x:v>
      </x:c>
      <x:c r="O38" s="90" t="n">
        <x:f>R38*'Assumptions &amp; Sources'!$D$50</x:f>
        <x:v>1893.0887177832597</x:v>
      </x:c>
      <x:c r="P38" s="90" t="n">
        <x:f>R38*'Assumptions &amp; Sources'!$D$51</x:f>
        <x:v>1777.4530640830758</x:v>
      </x:c>
      <x:c r="Q38" s="90" t="n">
        <x:f>R38*'Assumptions &amp; Sources'!$D$52</x:f>
        <x:v>1671.387221912657</x:v>
      </x:c>
      <x:c r="R38" s="114" t="n">
        <x:f>M38*(1+'Assumptions &amp; Sources'!$I$33)</x:f>
        <x:v>7054.465888368748</x:v>
      </x:c>
      <x:c r="S38" s="114" t="n">
        <x:f>R38*(1+'Assumptions &amp; Sources'!$J$33)</x:f>
        <x:v>7433.290706574148</x:v>
      </x:c>
      <x:c r="T38" s="90" t="n">
        <x:f>S38*(1+'Assumptions &amp; Sources'!$K$33)</x:f>
        <x:v>7809.601048594464</x:v>
      </x:c>
      <x:c r="U38" s="90" t="n">
        <x:f>T38*(1+'Assumptions &amp; Sources'!$L$33)</x:f>
        <x:v>8204.962101679559</x:v>
      </x:c>
      <x:c r="V38" s="90" t="n">
        <x:f>U38*(1+'Assumptions &amp; Sources'!$M$33)</x:f>
        <x:v>8603.518135768642</x:v>
      </x:c>
      <x:c r="W38" s="90" t="n">
        <x:f>V38*(1+'Assumptions &amp; Sources'!$N$33)</x:f>
        <x:v>8994.978210946114</x:v>
      </x:c>
      <x:c r="X38" s="90" t="n">
        <x:f>W38*(1+'Assumptions &amp; Sources'!$O$33)</x:f>
        <x:v>9404.249719544161</x:v>
      </x:c>
      <x:c r="Y38" s="90" t="n">
        <x:f>X38*(1+'Assumptions &amp; Sources'!$P$33)</x:f>
        <x:v>9812.864369858355</x:v>
      </x:c>
    </x:row>
    <x:row r="39" ht="20" customHeight="1">
      <x:c r="B39" s="97" t="str">
        <x:v>Total</x:v>
      </x:c>
      <x:c r="C39" s="97" t="str">
        <x:v>Product revenue</x:v>
      </x:c>
      <x:c r="D39" s="110" t="n">
        <x:f>'Assumptions &amp; Sources'!$B$7</x:f>
        <x:v>48620.03194634964</x:v>
      </x:c>
      <x:c r="E39" s="98" t="n">
        <x:f>'Assumptions &amp; Sources'!$C$7</x:f>
        <x:v>52940.04650205761</x:v>
      </x:c>
      <x:c r="F39" s="98" t="n">
        <x:f>'Assumptions &amp; Sources'!$D$7</x:f>
        <x:v>57900.12222222222</x:v>
      </x:c>
      <x:c r="G39" s="98" t="n">
        <x:f>'Assumptions &amp; Sources'!$E$7</x:f>
        <x:v>63454</x:v>
      </x:c>
      <x:c r="H39" s="99" t="n">
        <x:f>SUM(H15,H20,H24,H28,H32,H37,H38)</x:f>
        <x:v>68461</x:v>
      </x:c>
      <x:c r="I39" s="110" t="n">
        <x:f>SUM(I15,I20,I24,I28,I32,I37,I38)</x:f>
        <x:v>17526.868236411825</x:v>
      </x:c>
      <x:c r="J39" s="98" t="n">
        <x:f>SUM(J15,J20,J24,J28,J32,J37,J38)</x:f>
        <x:v>20418.956314512612</x:v>
      </x:c>
      <x:c r="K39" s="98" t="n">
        <x:f>SUM(K15,K20,K24,K28,K32,K37,K38)</x:f>
        <x:v>19171.703959605024</x:v>
      </x:c>
      <x:c r="L39" s="98" t="n">
        <x:f>SUM(L15,L20,L24,L28,L32,L37,L38)</x:f>
        <x:v>18027.67210447052</x:v>
      </x:c>
      <x:c r="M39" s="110" t="n">
        <x:f>SUM(M15,M20,M24,M28,M32,M37,M38)</x:f>
        <x:v>75145.200615</x:v>
      </x:c>
      <x:c r="N39" s="110" t="n">
        <x:f>SUM(N15,N20,N24,N28,N32,N37,N38)</x:f>
        <x:v>19970.63818224351</x:v>
      </x:c>
      <x:c r="O39" s="98" t="n">
        <x:f>SUM(O15,O20,O24,O28,O32,O37,O38)</x:f>
        <x:v>22076.131714262832</x:v>
      </x:c>
      <x:c r="P39" s="98" t="n">
        <x:f>SUM(P15,P20,P24,P28,P32,P37,P38)</x:f>
        <x:v>20727.65401326033</x:v>
      </x:c>
      <x:c r="Q39" s="98" t="n">
        <x:f>SUM(Q15,Q20,Q24,Q28,Q32,Q37,Q38)</x:f>
        <x:v>19490.774050825064</x:v>
      </x:c>
      <x:c r="R39" s="110" t="n">
        <x:f>SUM(R15,R20,R24,R28,R32,R37,R38)</x:f>
        <x:v>82265.19796059174</x:v>
      </x:c>
      <x:c r="S39" s="110" t="n">
        <x:f>SUM(S15,S20,S24,S28,S32,S37,S38)</x:f>
        <x:v>89594.9630044192</x:v>
      </x:c>
      <x:c r="T39" s="98" t="n">
        <x:f>SUM(T15,T20,T24,T28,T32,T37,T38)</x:f>
        <x:v>97012.1811667399</x:v>
      </x:c>
      <x:c r="U39" s="98" t="n">
        <x:f>SUM(U15,U20,U24,U28,U32,U37,U38)</x:f>
        <x:v>104206.12629206084</x:v>
      </x:c>
      <x:c r="V39" s="98" t="n">
        <x:f>SUM(V15,V20,V24,V28,V32,V37,V38)</x:f>
        <x:v>111192.77271879849</x:v>
      </x:c>
      <x:c r="W39" s="98" t="n">
        <x:f>SUM(W15,W20,W24,W28,W32,W37,W38)</x:f>
        <x:v>117755.82877519057</x:v>
      </x:c>
      <x:c r="X39" s="98" t="n">
        <x:f>SUM(X15,X20,X24,X28,X32,X37,X38)</x:f>
        <x:v>124205.84401742794</x:v>
      </x:c>
      <x:c r="Y39" s="98" t="n">
        <x:f>SUM(Y15,Y20,Y24,Y28,Y32,Y37,Y38)</x:f>
        <x:v>130466.31753907769</x:v>
      </x:c>
    </x:row>
    <x:row r="40" ht="20" customHeight="1">
      <x:c r="B40" s="97" t="str">
        <x:v>Other operating revenue</x:v>
      </x:c>
      <x:c r="C40" s="97" t="str">
        <x:v>Services and other operating revenue</x:v>
      </x:c>
      <x:c r="D40" s="111" t="n">
        <x:f>'Assumptions &amp; Sources'!$B$8</x:f>
        <x:v>506.06805365035814</x:v>
      </x:c>
      <x:c r="E40" s="100" t="n">
        <x:f>'Assumptions &amp; Sources'!$C$8</x:f>
        <x:v>546.5534979423868</x:v>
      </x:c>
      <x:c r="F40" s="100" t="n">
        <x:f>'Assumptions &amp; Sources'!$D$8</x:f>
        <x:v>590.2777777777778</x:v>
      </x:c>
      <x:c r="G40" s="100" t="n">
        <x:f>'Assumptions &amp; Sources'!$E$8</x:f>
        <x:v>637.5</x:v>
      </x:c>
      <x:c r="H40" s="99" t="n">
        <x:f>'Assumptions &amp; Sources'!$C$34</x:f>
        <x:v>829.5</x:v>
      </x:c>
      <x:c r="I40" s="110" t="n">
        <x:f>'Assumptions &amp; Sources'!$G$6*M40/$M$41</x:f>
        <x:v>207.1317635881745</x:v>
      </x:c>
      <x:c r="J40" s="98" t="n">
        <x:f>(M40-I40)*'Assumptions &amp; Sources'!$D$50/SUM('Assumptions &amp; Sources'!$D$50:$D$52)</x:f>
        <x:v>241.31033422550297</x:v>
      </x:c>
      <x:c r="K40" s="98" t="n">
        <x:f>(M40-I40)*'Assumptions &amp; Sources'!$D$51/SUM('Assumptions &amp; Sources'!$D$50:$D$52)</x:f>
        <x:v>226.57036035071775</x:v>
      </x:c>
      <x:c r="L40" s="98" t="n">
        <x:f>(M40-I40)*'Assumptions &amp; Sources'!$D$52/SUM('Assumptions &amp; Sources'!$D$50:$D$52)</x:f>
        <x:v>213.05024183560462</x:v>
      </x:c>
      <x:c r="M40" s="110" t="n">
        <x:f>H40*(1+'Assumptions &amp; Sources'!$H$34)</x:f>
        <x:v>888.0627</x:v>
      </x:c>
      <x:c r="N40" s="110" t="n">
        <x:f>R40*'Assumptions &amp; Sources'!$D$49</x:f>
        <x:v>230.80577161924614</x:v>
      </x:c>
      <x:c r="O40" s="98" t="n">
        <x:f>R40*'Assumptions &amp; Sources'!$D$50</x:f>
        <x:v>255.1394987071032</x:v>
      </x:c>
      <x:c r="P40" s="98" t="n">
        <x:f>R40*'Assumptions &amp; Sources'!$D$51</x:f>
        <x:v>239.55479713417304</x:v>
      </x:c>
      <x:c r="Q40" s="98" t="n">
        <x:f>R40*'Assumptions &amp; Sources'!$D$52</x:f>
        <x:v>225.25985915947763</x:v>
      </x:c>
      <x:c r="R40" s="110" t="n">
        <x:f>M40*(1+'Assumptions &amp; Sources'!$I$34)</x:f>
        <x:v>950.75992662</x:v>
      </x:c>
      <x:c r="S40" s="110" t="n">
        <x:f>R40*(1+'Assumptions &amp; Sources'!$J$34)</x:f>
        <x:v>1013.082239809941</x:v>
      </x:c>
      <x:c r="T40" s="98" t="n">
        <x:f>S40*(1+'Assumptions &amp; Sources'!$K$34)</x:f>
        <x:v>1074.3737153184425</x:v>
      </x:c>
      <x:c r="U40" s="98" t="n">
        <x:f>T40*(1+'Assumptions &amp; Sources'!$L$34)</x:f>
        <x:v>1139.3733250952082</x:v>
      </x:c>
      <x:c r="V40" s="98" t="n">
        <x:f>U40*(1+'Assumptions &amp; Sources'!$M$34)</x:f>
        <x:v>1202.5515759717375</x:v>
      </x:c>
      <x:c r="W40" s="98" t="n">
        <x:f>V40*(1+'Assumptions &amp; Sources'!$N$34)</x:f>
        <x:v>1263.1601754007131</x:v>
      </x:c>
      <x:c r="X40" s="98" t="n">
        <x:f>W40*(1+'Assumptions &amp; Sources'!$O$34)</x:f>
        <x:v>1326.823448240909</x:v>
      </x:c>
      <x:c r="Y40" s="98" t="n">
        <x:f>X40*(1+'Assumptions &amp; Sources'!$P$34)</x:f>
        <x:v>1386.9948916186343</x:v>
      </x:c>
    </x:row>
    <x:row r="41" ht="20" customHeight="1">
      <x:c r="B41" s="101" t="str">
        <x:v>Total</x:v>
      </x:c>
      <x:c r="C41" s="101" t="str">
        <x:v>Revenue from operations</x:v>
      </x:c>
      <x:c r="D41" s="112" t="n">
        <x:f>'Assumptions &amp; Sources'!$B$6</x:f>
        <x:v>49126.1</x:v>
      </x:c>
      <x:c r="E41" s="96" t="n">
        <x:f>'Assumptions &amp; Sources'!$C$6</x:f>
        <x:v>53486.6</x:v>
      </x:c>
      <x:c r="F41" s="96" t="n">
        <x:f>'Assumptions &amp; Sources'!$D$6</x:f>
        <x:v>58490.4</x:v>
      </x:c>
      <x:c r="G41" s="96" t="n">
        <x:f>G39+G40</x:f>
        <x:v>64091.5</x:v>
      </x:c>
      <x:c r="H41" s="96" t="n">
        <x:f>H39+H40</x:f>
        <x:v>69290.5</x:v>
      </x:c>
      <x:c r="I41" s="115" t="n">
        <x:f>I39+I40</x:f>
        <x:v>17734</x:v>
      </x:c>
      <x:c r="J41" s="102" t="n">
        <x:f>J39+J40</x:f>
        <x:v>20660.266648738114</x:v>
      </x:c>
      <x:c r="K41" s="102" t="n">
        <x:f>K39+K40</x:f>
        <x:v>19398.27431995574</x:v>
      </x:c>
      <x:c r="L41" s="102" t="n">
        <x:f>L39+L40</x:f>
        <x:v>18240.722346306124</x:v>
      </x:c>
      <x:c r="M41" s="115" t="n">
        <x:f>M39+M40</x:f>
        <x:v>76033.26331499999</x:v>
      </x:c>
      <x:c r="N41" s="115" t="n">
        <x:f>N39+N40</x:f>
        <x:v>20201.443953862756</x:v>
      </x:c>
      <x:c r="O41" s="102" t="n">
        <x:f>O39+O40</x:f>
        <x:v>22331.271212969936</x:v>
      </x:c>
      <x:c r="P41" s="102" t="n">
        <x:f>P39+P40</x:f>
        <x:v>20967.208810394503</x:v>
      </x:c>
      <x:c r="Q41" s="102" t="n">
        <x:f>Q39+Q40</x:f>
        <x:v>19716.03390998454</x:v>
      </x:c>
      <x:c r="R41" s="115" t="n">
        <x:f>R39+R40</x:f>
        <x:v>83215.95788721174</x:v>
      </x:c>
      <x:c r="S41" s="115" t="n">
        <x:f>S39+S40</x:f>
        <x:v>90608.04524422914</x:v>
      </x:c>
      <x:c r="T41" s="102" t="n">
        <x:f>T39+T40</x:f>
        <x:v>98086.55488205835</x:v>
      </x:c>
      <x:c r="U41" s="102" t="n">
        <x:f>U39+U40</x:f>
        <x:v>105345.49961715605</x:v>
      </x:c>
      <x:c r="V41" s="102" t="n">
        <x:f>V39+V40</x:f>
        <x:v>112395.32429477022</x:v>
      </x:c>
      <x:c r="W41" s="102" t="n">
        <x:f>W39+W40</x:f>
        <x:v>119018.98895059129</x:v>
      </x:c>
      <x:c r="X41" s="102" t="n">
        <x:f>X39+X40</x:f>
        <x:v>125532.66746566884</x:v>
      </x:c>
      <x:c r="Y41" s="102" t="n">
        <x:f>Y39+Y40</x:f>
        <x:v>131853.31243069633</x:v>
      </x:c>
    </x:row>
    <x:row r="42" ht="20" customHeight="1">
      <x:c r="B42" s="103" t="str">
        <x:v>Total</x:v>
      </x:c>
      <x:c r="C42" s="103" t="str">
        <x:v>YoY growth</x:v>
      </x:c>
      <x:c r="D42" s="113"/>
      <x:c r="E42" s="104" t="n">
        <x:f>E41/D41-1</x:f>
        <x:v>0.08876137124664885</x:v>
      </x:c>
      <x:c r="F42" s="104" t="n">
        <x:f>F41/E41-1</x:f>
        <x:v>0.09355240377963825</x:v>
      </x:c>
      <x:c r="G42" s="104" t="n">
        <x:f>G41/F41-1</x:f>
        <x:v>0.09576101377320034</x:v>
      </x:c>
      <x:c r="H42" s="104" t="n">
        <x:f>H41/G41-1</x:f>
        <x:v>0.08111840103601886</x:v>
      </x:c>
      <x:c r="I42" s="113" t="n">
        <x:f>I41/'Assumptions &amp; Sources'!$C$49-1</x:f>
        <x:v>0.05764757803833631</x:v>
      </x:c>
      <x:c r="J42" s="104" t="n">
        <x:f>J41/'Assumptions &amp; Sources'!$C$50-1</x:f>
        <x:v>0.12725771358083104</x:v>
      </x:c>
      <x:c r="K42" s="104" t="n">
        <x:f>K41/'Assumptions &amp; Sources'!$C$51-1</x:f>
        <x:v>0.1109486466958216</x:v>
      </x:c>
      <x:c r="L42" s="104" t="n">
        <x:f>L41/'Assumptions &amp; Sources'!$C$52-1</x:f>
        <x:v>0.0900265531848623</x:v>
      </x:c>
      <x:c r="M42" s="113" t="n">
        <x:f>M41/H41-1</x:f>
        <x:v>0.09731151189556986</x:v>
      </x:c>
      <x:c r="N42" s="113" t="n">
        <x:f>N41/I41-1</x:f>
        <x:v>0.13913634565595778</x:v>
      </x:c>
      <x:c r="O42" s="104" t="n">
        <x:f>O41/J41-1</x:f>
        <x:v>0.08088010637238718</x:v>
      </x:c>
      <x:c r="P42" s="104" t="n">
        <x:f>P41/K41-1</x:f>
        <x:v>0.08088010637238696</x:v>
      </x:c>
      <x:c r="Q42" s="104" t="n">
        <x:f>Q41/L41-1</x:f>
        <x:v>0.08088010637238696</x:v>
      </x:c>
      <x:c r="R42" s="113" t="n">
        <x:f>R41/M41-1</x:f>
        <x:v>0.09446779289814766</x:v>
      </x:c>
      <x:c r="S42" s="113" t="n">
        <x:f>S41/R41-1</x:f>
        <x:v>0.08883016604863703</x:v>
      </x:c>
      <x:c r="T42" s="104" t="n">
        <x:f>T41/S41-1</x:f>
        <x:v>0.08253692724162942</x:v>
      </x:c>
      <x:c r="U42" s="104" t="n">
        <x:f>U41/T41-1</x:f>
        <x:v>0.0740055020163164</x:v>
      </x:c>
      <x:c r="V42" s="104" t="n">
        <x:f>V41/U41-1</x:f>
        <x:v>0.06692098573963268</x:v>
      </x:c>
      <x:c r="W42" s="104" t="n">
        <x:f>W41/V41-1</x:f>
        <x:v>0.05893185234689757</x:v>
      </x:c>
      <x:c r="X42" s="104" t="n">
        <x:f>X41/W41-1</x:f>
        <x:v>0.054728061232158565</x:v>
      </x:c>
      <x:c r="Y42" s="104" t="n">
        <x:f>Y41/X41-1</x:f>
        <x:v>0.050350598713725825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A7BD"/>
  </x:sheetPr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23" hidden="0" customWidth="1"/>
    <x:col min="2" max="2" width="27" hidden="0" customWidth="1"/>
    <x:col min="3" max="3" width="13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  <x:col min="16" max="16" width="10.5" hidden="0" customWidth="1"/>
    <x:col min="17" max="17" width="48" hidden="0" customWidth="1"/>
  </x:cols>
  <x:sheetData>
    <x:row r="1">
      <x:c r="A1" s="41"/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</x:row>
    <x:row r="2">
      <x:c r="A2" s="1" t="str">
        <x:v>Abbott India Revenue Assumptions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</x:row>
    <x:row r="3">
      <x:c r="A3" s="2" t="str">
        <x:v>Blue font denotes editable assumptions. FY22-FY25 product sales are formula-driven Bernstein back-casts; company revenue is audited. INR mn unless stated.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</x:row>
    <x:row r="5">
      <x:c r="A5" s="8" t="str">
        <x:v>Actual control</x:v>
      </x:c>
      <x:c r="B5" s="8" t="str">
        <x:v>FY22A</x:v>
      </x:c>
      <x:c r="C5" s="8" t="str">
        <x:v>FY23A</x:v>
      </x:c>
      <x:c r="D5" s="8" t="str">
        <x:v>FY24A</x:v>
      </x:c>
      <x:c r="E5" s="8" t="str">
        <x:v>FY25A</x:v>
      </x:c>
      <x:c r="F5" s="8" t="str">
        <x:v>FY26A</x:v>
      </x:c>
      <x:c r="G5" s="8" t="str">
        <x:v>FY27Q1A</x:v>
      </x:c>
      <x:c r="H5" s="41"/>
      <x:c r="I5" s="41"/>
      <x:c r="J5" s="41"/>
      <x:c r="K5" s="41"/>
      <x:c r="L5" s="41"/>
      <x:c r="M5" s="41"/>
      <x:c r="N5" s="41"/>
      <x:c r="O5" s="41"/>
      <x:c r="P5" s="41"/>
      <x:c r="Q5" s="41"/>
    </x:row>
    <x:row r="6">
      <x:c r="A6" s="45" t="str">
        <x:v>Revenue from operations</x:v>
      </x:c>
      <x:c r="B6" s="11" t="n">
        <x:v>49126.1</x:v>
      </x:c>
      <x:c r="C6" s="11" t="n">
        <x:v>53486.6</x:v>
      </x:c>
      <x:c r="D6" s="11" t="n">
        <x:v>58490.4</x:v>
      </x:c>
      <x:c r="E6" s="11" t="n">
        <x:v>64091.5</x:v>
      </x:c>
      <x:c r="F6" s="11" t="n">
        <x:v>69290.5</x:v>
      </x:c>
      <x:c r="G6" s="11" t="n">
        <x:v>17734</x:v>
      </x:c>
      <x:c r="H6" s="41"/>
      <x:c r="I6" s="41"/>
      <x:c r="J6" s="41"/>
      <x:c r="K6" s="41"/>
      <x:c r="L6" s="41"/>
      <x:c r="M6" s="41"/>
      <x:c r="N6" s="41"/>
      <x:c r="O6" s="41"/>
      <x:c r="P6" s="41"/>
      <x:c r="Q6" s="41"/>
    </x:row>
    <x:row r="7">
      <x:c r="A7" s="45" t="str">
        <x:v>Product sales (FY22-FY24 est.)</x:v>
      </x:c>
      <x:c r="B7" s="19" t="n">
        <x:f>B6-B8</x:f>
        <x:v>48620.03194634964</x:v>
      </x:c>
      <x:c r="C7" s="19" t="n">
        <x:f>C6-C8</x:f>
        <x:v>52940.04650205761</x:v>
      </x:c>
      <x:c r="D7" s="19" t="n">
        <x:f>D6-D8</x:f>
        <x:v>57900.12222222222</x:v>
      </x:c>
      <x:c r="E7" s="11" t="n">
        <x:v>63454</x:v>
      </x:c>
      <x:c r="F7" s="11" t="n">
        <x:v>68461</x:v>
      </x:c>
      <x:c r="G7" s="11"/>
      <x:c r="H7" s="41"/>
      <x:c r="I7" s="41"/>
      <x:c r="J7" s="41"/>
      <x:c r="K7" s="41"/>
      <x:c r="L7" s="41"/>
      <x:c r="M7" s="41"/>
      <x:c r="N7" s="41"/>
      <x:c r="O7" s="41"/>
      <x:c r="P7" s="41"/>
      <x:c r="Q7" s="41"/>
    </x:row>
    <x:row r="8">
      <x:c r="A8" s="45" t="str">
        <x:v>Other operating revenue (FY22-FY24 est.)</x:v>
      </x:c>
      <x:c r="B8" s="19" t="n">
        <x:f>$E$8/((1+$D$34)*(1+$E$34)*(1+$F$34))</x:f>
        <x:v>506.06805365035814</x:v>
      </x:c>
      <x:c r="C8" s="19" t="n">
        <x:f>B8*(1+$D$34)</x:f>
        <x:v>546.5534979423868</x:v>
      </x:c>
      <x:c r="D8" s="19" t="n">
        <x:f>C8*(1+$E$34)</x:f>
        <x:v>590.2777777777778</x:v>
      </x:c>
      <x:c r="E8" s="11" t="n">
        <x:v>637.5</x:v>
      </x:c>
      <x:c r="F8" s="11" t="n">
        <x:v>829.5</x:v>
      </x:c>
      <x:c r="G8" s="11"/>
      <x:c r="H8" s="41"/>
      <x:c r="I8" s="41"/>
      <x:c r="J8" s="41"/>
      <x:c r="K8" s="41"/>
      <x:c r="L8" s="41"/>
      <x:c r="M8" s="41"/>
      <x:c r="N8" s="41"/>
      <x:c r="O8" s="41"/>
      <x:c r="P8" s="41"/>
      <x:c r="Q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</x:row>
    <x:row r="10">
      <x:c r="A10" s="43" t="str">
        <x:v>* Historical product growth rates are Bernstein back-cast assumptions; audited company totals remain unchanged.</x:v>
      </x:c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</x:row>
    <x:row r="12" ht="30" customHeight="1">
      <x:c r="A12" s="8" t="str">
        <x:v>Therapy</x:v>
      </x:c>
      <x:c r="B12" s="8" t="str">
        <x:v>Product / family</x:v>
      </x:c>
      <x:c r="C12" s="8" t="str">
        <x:v>FY26 base</x:v>
      </x:c>
      <x:c r="D12" s="8" t="str">
        <x:v>FY23A*</x:v>
      </x:c>
      <x:c r="E12" s="8" t="str">
        <x:v>FY24A*</x:v>
      </x:c>
      <x:c r="F12" s="8" t="str">
        <x:v>FY25A*</x:v>
      </x:c>
      <x:c r="G12" s="8" t="str">
        <x:v>FY26A*</x:v>
      </x:c>
      <x:c r="H12" s="8" t="str">
        <x:v>FY27E</x:v>
      </x:c>
      <x:c r="I12" s="8" t="str">
        <x:v>FY28E</x:v>
      </x:c>
      <x:c r="J12" s="8" t="str">
        <x:v>FY29E</x:v>
      </x:c>
      <x:c r="K12" s="8" t="str">
        <x:v>FY30E</x:v>
      </x:c>
      <x:c r="L12" s="8" t="str">
        <x:v>FY31E</x:v>
      </x:c>
      <x:c r="M12" s="8" t="str">
        <x:v>FY32E</x:v>
      </x:c>
      <x:c r="N12" s="8" t="str">
        <x:v>FY33E</x:v>
      </x:c>
      <x:c r="O12" s="8" t="str">
        <x:v>FY34E</x:v>
      </x:c>
      <x:c r="P12" s="8" t="str">
        <x:v>FY35E</x:v>
      </x:c>
      <x:c r="Q12" s="8" t="str">
        <x:v>Source / method</x:v>
      </x:c>
    </x:row>
    <x:row r="13" ht="28" customHeight="1">
      <x:c r="A13" s="45" t="str">
        <x:v>GI and hepatology</x:v>
      </x:c>
      <x:c r="B13" s="45" t="str">
        <x:v>Udiliv</x:v>
      </x:c>
      <x:c r="C13" s="11" t="n">
        <x:v>7100</x:v>
      </x:c>
      <x:c r="D13" s="14" t="n">
        <x:v>0.08</x:v>
      </x:c>
      <x:c r="E13" s="14" t="n">
        <x:v>0.09</x:v>
      </x:c>
      <x:c r="F13" s="14" t="n">
        <x:v>0.1</x:v>
      </x:c>
      <x:c r="G13" s="14" t="n">
        <x:v>0.1</x:v>
      </x:c>
      <x:c r="H13" s="14" t="n">
        <x:v>0.09694999999999987</x:v>
      </x:c>
      <x:c r="I13" s="14" t="n">
        <x:v>0.0918000000000001</x:v>
      </x:c>
      <x:c r="J13" s="14" t="n">
        <x:v>0.0866499999999999</x:v>
      </x:c>
      <x:c r="K13" s="14" t="n">
        <x:v>0.08150000000000013</x:v>
      </x:c>
      <x:c r="L13" s="14" t="n">
        <x:v>0.07425999999999999</x:v>
      </x:c>
      <x:c r="M13" s="14" t="n">
        <x:v>0.06912000000000007</x:v>
      </x:c>
      <x:c r="N13" s="14" t="n">
        <x:v>0.06087499999999979</x:v>
      </x:c>
      <x:c r="O13" s="14" t="n">
        <x:v>0.06087499999999979</x:v>
      </x:c>
      <x:c r="P13" s="14" t="n">
        <x:v>0.055749999999999966</x:v>
      </x:c>
      <x:c r="Q13" s="47" t="str">
        <x:v>Company disclosed FY26 sales above INR 7,000mn; Bernstein estimate uses INR 7,100mn.</x:v>
      </x:c>
    </x:row>
    <x:row r="14" ht="28" customHeight="1">
      <x:c r="A14" s="45" t="str">
        <x:v>GI and hepatology</x:v>
      </x:c>
      <x:c r="B14" s="45" t="str">
        <x:v>Cremaffin franchise</x:v>
      </x:c>
      <x:c r="C14" s="11" t="n">
        <x:v>6273</x:v>
      </x:c>
      <x:c r="D14" s="14" t="n">
        <x:v>0.08</x:v>
      </x:c>
      <x:c r="E14" s="14" t="n">
        <x:v>0.1</x:v>
      </x:c>
      <x:c r="F14" s="14" t="n">
        <x:v>0.12</x:v>
      </x:c>
      <x:c r="G14" s="14" t="n">
        <x:v>0.19</x:v>
      </x:c>
      <x:c r="H14" s="14" t="n">
        <x:v>0.12270000000000003</x:v>
      </x:c>
      <x:c r="I14" s="14" t="n">
        <x:v>0.11240000000000006</x:v>
      </x:c>
      <x:c r="J14" s="14" t="n">
        <x:v>0.10210000000000008</x:v>
      </x:c>
      <x:c r="K14" s="14" t="n">
        <x:v>0.0918000000000001</x:v>
      </x:c>
      <x:c r="L14" s="14" t="n">
        <x:v>0.08454000000000006</x:v>
      </x:c>
      <x:c r="M14" s="14" t="n">
        <x:v>0.07940000000000014</x:v>
      </x:c>
      <x:c r="N14" s="14" t="n">
        <x:v>0.07112499999999988</x:v>
      </x:c>
      <x:c r="O14" s="14" t="n">
        <x:v>0.06599999999999984</x:v>
      </x:c>
      <x:c r="P14" s="14" t="n">
        <x:v>0.06087499999999979</x:v>
      </x:c>
      <x:c r="Q14" s="47" t="str">
        <x:v>IQVIA TTM Aug-26: Cremaffin Plus INR 4,374.9mn plus Cremaffin INR 1,898.1mn.</x:v>
      </x:c>
    </x:row>
    <x:row r="15" ht="28" customHeight="1">
      <x:c r="A15" s="45" t="str">
        <x:v>GI and hepatology</x:v>
      </x:c>
      <x:c r="B15" s="45" t="str">
        <x:v>Duphalac</x:v>
      </x:c>
      <x:c r="C15" s="11" t="n">
        <x:v>3200</x:v>
      </x:c>
      <x:c r="D15" s="14" t="n">
        <x:v>0.07</x:v>
      </x:c>
      <x:c r="E15" s="14" t="n">
        <x:v>0.08</x:v>
      </x:c>
      <x:c r="F15" s="14" t="n">
        <x:v>0.08</x:v>
      </x:c>
      <x:c r="G15" s="14" t="n">
        <x:v>0.09</x:v>
      </x:c>
      <x:c r="H15" s="14" t="n">
        <x:v>0.0866499999999999</x:v>
      </x:c>
      <x:c r="I15" s="14" t="n">
        <x:v>0.0866499999999999</x:v>
      </x:c>
      <x:c r="J15" s="14" t="n">
        <x:v>0.08150000000000013</x:v>
      </x:c>
      <x:c r="K15" s="14" t="n">
        <x:v>0.07634999999999992</x:v>
      </x:c>
      <x:c r="L15" s="14" t="n">
        <x:v>0.06912000000000007</x:v>
      </x:c>
      <x:c r="M15" s="14" t="n">
        <x:v>0.06912000000000007</x:v>
      </x:c>
      <x:c r="N15" s="14" t="n">
        <x:v>0.06087499999999979</x:v>
      </x:c>
      <x:c r="O15" s="14" t="n">
        <x:v>0.055749999999999966</x:v>
      </x:c>
      <x:c r="P15" s="14" t="n">
        <x:v>0.055749999999999966</x:v>
      </x:c>
      <x:c r="Q15" s="47" t="str">
        <x:v>Bernstein estimate; company identifies Duphalac as a flagship GI brand.</x:v>
      </x:c>
    </x:row>
    <x:row r="16" ht="28" customHeight="1">
      <x:c r="A16" s="45" t="str">
        <x:v>GI and hepatology</x:v>
      </x:c>
      <x:c r="B16" s="45" t="str">
        <x:v>Digene</x:v>
      </x:c>
      <x:c r="C16" s="11" t="n">
        <x:v>2706.1</x:v>
      </x:c>
      <x:c r="D16" s="14" t="n">
        <x:v>0.07</x:v>
      </x:c>
      <x:c r="E16" s="14" t="n">
        <x:v>0.09</x:v>
      </x:c>
      <x:c r="F16" s="14" t="n">
        <x:v>0.1</x:v>
      </x:c>
      <x:c r="G16" s="14" t="n">
        <x:v>0.1101</x:v>
      </x:c>
      <x:c r="H16" s="14" t="n">
        <x:v>0.10210000000000008</x:v>
      </x:c>
      <x:c r="I16" s="14" t="n">
        <x:v>0.09694999999999987</x:v>
      </x:c>
      <x:c r="J16" s="14" t="n">
        <x:v>0.0918000000000001</x:v>
      </x:c>
      <x:c r="K16" s="14" t="n">
        <x:v>0.0866499999999999</x:v>
      </x:c>
      <x:c r="L16" s="14" t="n">
        <x:v>0.07940000000000014</x:v>
      </x:c>
      <x:c r="M16" s="14" t="n">
        <x:v>0.07425999999999999</x:v>
      </x:c>
      <x:c r="N16" s="14" t="n">
        <x:v>0.06599999999999984</x:v>
      </x:c>
      <x:c r="O16" s="14" t="n">
        <x:v>0.06087499999999979</x:v>
      </x:c>
      <x:c r="P16" s="14" t="n">
        <x:v>0.055749999999999966</x:v>
      </x:c>
      <x:c r="Q16" s="47" t="str">
        <x:v>IQVIA TTM Aug-26 sales of INR 2,706.1mn.</x:v>
      </x:c>
    </x:row>
    <x:row r="17" ht="28" customHeight="1">
      <x:c r="A17" s="45" t="str">
        <x:v>GI and hepatology</x:v>
      </x:c>
      <x:c r="B17" s="45" t="str">
        <x:v>Creon</x:v>
      </x:c>
      <x:c r="C17" s="11" t="n">
        <x:v>2000</x:v>
      </x:c>
      <x:c r="D17" s="14" t="n">
        <x:v>0.07</x:v>
      </x:c>
      <x:c r="E17" s="14" t="n">
        <x:v>0.08</x:v>
      </x:c>
      <x:c r="F17" s="14" t="n">
        <x:v>0.09</x:v>
      </x:c>
      <x:c r="G17" s="14" t="n">
        <x:v>0.09</x:v>
      </x:c>
      <x:c r="H17" s="14" t="n">
        <x:v>0.0866499999999999</x:v>
      </x:c>
      <x:c r="I17" s="14" t="n">
        <x:v>0.08150000000000013</x:v>
      </x:c>
      <x:c r="J17" s="14" t="n">
        <x:v>0.07634999999999992</x:v>
      </x:c>
      <x:c r="K17" s="14" t="n">
        <x:v>0.07120000000000015</x:v>
      </x:c>
      <x:c r="L17" s="14" t="n">
        <x:v>0.06912000000000007</x:v>
      </x:c>
      <x:c r="M17" s="14" t="n">
        <x:v>0.06397999999999993</x:v>
      </x:c>
      <x:c r="N17" s="14" t="n">
        <x:v>0.055749999999999966</x:v>
      </x:c>
      <x:c r="O17" s="14" t="n">
        <x:v>0.055749999999999966</x:v>
      </x:c>
      <x:c r="P17" s="14" t="n">
        <x:v>0.05062499999999992</x:v>
      </x:c>
      <x:c r="Q17" s="47" t="str">
        <x:v>Bernstein estimate; company identifies Creon as a flagship GI brand.</x:v>
      </x:c>
    </x:row>
    <x:row r="18" ht="28" customHeight="1">
      <x:c r="A18" s="45" t="str">
        <x:v>GI and hepatology</x:v>
      </x:c>
      <x:c r="B18" s="45" t="str">
        <x:v>Ganaton</x:v>
      </x:c>
      <x:c r="C18" s="11" t="n">
        <x:v>1050</x:v>
      </x:c>
      <x:c r="D18" s="14" t="n">
        <x:v>0.09</x:v>
      </x:c>
      <x:c r="E18" s="14" t="n">
        <x:v>0.1</x:v>
      </x:c>
      <x:c r="F18" s="14" t="n">
        <x:v>0.1</x:v>
      </x:c>
      <x:c r="G18" s="14" t="n">
        <x:v>0.11</x:v>
      </x:c>
      <x:c r="H18" s="14" t="n">
        <x:v>0.11240000000000006</x:v>
      </x:c>
      <x:c r="I18" s="14" t="n">
        <x:v>0.10725000000000007</x:v>
      </x:c>
      <x:c r="J18" s="14" t="n">
        <x:v>0.09694999999999987</x:v>
      </x:c>
      <x:c r="K18" s="14" t="n">
        <x:v>0.0866499999999999</x:v>
      </x:c>
      <x:c r="L18" s="14" t="n">
        <x:v>0.07940000000000014</x:v>
      </x:c>
      <x:c r="M18" s="14" t="n">
        <x:v>0.07425999999999999</x:v>
      </x:c>
      <x:c r="N18" s="14" t="n">
        <x:v>0.06599999999999984</x:v>
      </x:c>
      <x:c r="O18" s="14" t="n">
        <x:v>0.06087499999999979</x:v>
      </x:c>
      <x:c r="P18" s="14" t="n">
        <x:v>0.055749999999999966</x:v>
      </x:c>
      <x:c r="Q18" s="47" t="str">
        <x:v>Company disclosed FY26 sales above INR 1,000mn; Bernstein estimate uses INR 1,050mn.</x:v>
      </x:c>
    </x:row>
    <x:row r="19" ht="28" customHeight="1">
      <x:c r="A19" s="45" t="str">
        <x:v>GI and hepatology</x:v>
      </x:c>
      <x:c r="B19" s="45" t="str">
        <x:v>Recent GI launches</x:v>
      </x:c>
      <x:c r="C19" s="11" t="n">
        <x:v>200</x:v>
      </x:c>
      <x:c r="D19" s="14" t="n">
        <x:v>1</x:v>
      </x:c>
      <x:c r="E19" s="14" t="n">
        <x:v>1</x:v>
      </x:c>
      <x:c r="F19" s="14" t="n">
        <x:v>1</x:v>
      </x:c>
      <x:c r="G19" s="14" t="n">
        <x:v>1</x:v>
      </x:c>
      <x:c r="H19" s="14" t="n">
        <x:v>0.53</x:v>
      </x:c>
      <x:c r="I19" s="14" t="n">
        <x:v>0.3770000000000002</x:v>
      </x:c>
      <x:c r="J19" s="14" t="n">
        <x:v>0.24439999999999995</x:v>
      </x:c>
      <x:c r="K19" s="14" t="n">
        <x:v>0.16280000000000006</x:v>
      </x:c>
      <x:c r="L19" s="14" t="n">
        <x:v>0.12200000000000011</x:v>
      </x:c>
      <x:c r="M19" s="14" t="n">
        <x:v>0.10160000000000013</x:v>
      </x:c>
      <x:c r="N19" s="14" t="n">
        <x:v>0.08120000000000016</x:v>
      </x:c>
      <x:c r="O19" s="14" t="n">
        <x:v>0.07100000000000017</x:v>
      </x:c>
      <x:c r="P19" s="14" t="n">
        <x:v>0.060799999999999965</x:v>
      </x:c>
      <x:c r="Q19" s="47" t="str">
        <x:v>Vonefi, Digeraft, Digene Insta On The Go, Duphalac Rapid and Ezybixy cohort.</x:v>
      </x:c>
    </x:row>
    <x:row r="20" ht="28" customHeight="1">
      <x:c r="A20" s="45" t="str">
        <x:v>GI and hepatology</x:v>
      </x:c>
      <x:c r="B20" s="45" t="str">
        <x:v>Other GI products</x:v>
      </x:c>
      <x:c r="C20" s="11" t="n">
        <x:v>3800</x:v>
      </x:c>
      <x:c r="D20" s="14" t="n">
        <x:v>0.07</x:v>
      </x:c>
      <x:c r="E20" s="14" t="n">
        <x:v>0.07</x:v>
      </x:c>
      <x:c r="F20" s="14" t="n">
        <x:v>0.07</x:v>
      </x:c>
      <x:c r="G20" s="14" t="n">
        <x:v>0.07</x:v>
      </x:c>
      <x:c r="H20" s="14" t="n">
        <x:v>0.06599999999999984</x:v>
      </x:c>
      <x:c r="I20" s="14" t="n">
        <x:v>0.06599999999999984</x:v>
      </x:c>
      <x:c r="J20" s="14" t="n">
        <x:v>0.06087499999999979</x:v>
      </x:c>
      <x:c r="K20" s="14" t="n">
        <x:v>0.06087499999999979</x:v>
      </x:c>
      <x:c r="L20" s="14" t="n">
        <x:v>0.055749999999999966</x:v>
      </x:c>
      <x:c r="M20" s="14" t="n">
        <x:v>0.055749999999999966</x:v>
      </x:c>
      <x:c r="N20" s="14" t="n">
        <x:v>0.05062499999999992</x:v>
      </x:c>
      <x:c r="O20" s="14" t="n">
        <x:v>0.05062499999999992</x:v>
      </x:c>
      <x:c r="P20" s="14" t="n">
        <x:v>0.045499999999999874</x:v>
      </x:c>
      <x:c r="Q20" s="47" t="str">
        <x:v>Residual established GI portfolio excluding separately modelled products.</x:v>
      </x:c>
    </x:row>
    <x:row r="21" ht="28" customHeight="1">
      <x:c r="A21" s="45" t="str">
        <x:v>Metabolics</x:v>
      </x:c>
      <x:c r="B21" s="45" t="str">
        <x:v>Thyronorm</x:v>
      </x:c>
      <x:c r="C21" s="11" t="n">
        <x:v>7952.8</x:v>
      </x:c>
      <x:c r="D21" s="14" t="n">
        <x:v>0.09</x:v>
      </x:c>
      <x:c r="E21" s="14" t="n">
        <x:v>0.1</x:v>
      </x:c>
      <x:c r="F21" s="14" t="n">
        <x:v>0.11</x:v>
      </x:c>
      <x:c r="G21" s="14" t="n">
        <x:v>0.128</x:v>
      </x:c>
      <x:c r="H21" s="14" t="n">
        <x:v>0.10210000000000008</x:v>
      </x:c>
      <x:c r="I21" s="14" t="n">
        <x:v>0.09694999999999987</x:v>
      </x:c>
      <x:c r="J21" s="14" t="n">
        <x:v>0.0918000000000001</x:v>
      </x:c>
      <x:c r="K21" s="14" t="n">
        <x:v>0.0866499999999999</x:v>
      </x:c>
      <x:c r="L21" s="14" t="n">
        <x:v>0.07940000000000014</x:v>
      </x:c>
      <x:c r="M21" s="14" t="n">
        <x:v>0.07425999999999999</x:v>
      </x:c>
      <x:c r="N21" s="14" t="n">
        <x:v>0.06599999999999984</x:v>
      </x:c>
      <x:c r="O21" s="14" t="n">
        <x:v>0.06087499999999979</x:v>
      </x:c>
      <x:c r="P21" s="14" t="n">
        <x:v>0.055749999999999966</x:v>
      </x:c>
      <x:c r="Q21" s="47" t="str">
        <x:v>IQVIA TTM Aug-26 sales of INR 7,952.8mn.</x:v>
      </x:c>
    </x:row>
    <x:row r="22" ht="28" customHeight="1">
      <x:c r="A22" s="45" t="str">
        <x:v>Metabolics</x:v>
      </x:c>
      <x:c r="B22" s="45" t="str">
        <x:v>Extensior</x:v>
      </x:c>
      <x:c r="C22" s="18" t="n">
        <x:f>$C$43</x:f>
        <x:v>50</x:v>
      </x:c>
      <x:c r="D22" s="17" t="n">
        <x:v>0</x:v>
      </x:c>
      <x:c r="E22" s="17" t="n">
        <x:v>0</x:v>
      </x:c>
      <x:c r="F22" s="17" t="n">
        <x:v>0</x:v>
      </x:c>
      <x:c r="G22" s="17" t="n">
        <x:v>0</x:v>
      </x:c>
      <x:c r="H22" s="17"/>
      <x:c r="I22" s="17"/>
      <x:c r="J22" s="17"/>
      <x:c r="K22" s="17"/>
      <x:c r="L22" s="17"/>
      <x:c r="M22" s="17"/>
      <x:c r="N22" s="17"/>
      <x:c r="O22" s="17"/>
      <x:c r="P22" s="17"/>
      <x:c r="Q22" s="47" t="str">
        <x:v>Patient-price build below. Gross revenue recognition assumed; listed-entity economics remain undisclosed.</x:v>
      </x:c>
    </x:row>
    <x:row r="23" ht="28" customHeight="1">
      <x:c r="A23" s="45" t="str">
        <x:v>Metabolics</x:v>
      </x:c>
      <x:c r="B23" s="45" t="str">
        <x:v>Other metabolic products</x:v>
      </x:c>
      <x:c r="C23" s="11" t="n">
        <x:v>1500</x:v>
      </x:c>
      <x:c r="D23" s="14" t="n">
        <x:v>0.07</x:v>
      </x:c>
      <x:c r="E23" s="14" t="n">
        <x:v>0.07</x:v>
      </x:c>
      <x:c r="F23" s="14" t="n">
        <x:v>0.07</x:v>
      </x:c>
      <x:c r="G23" s="14" t="n">
        <x:v>0.07</x:v>
      </x:c>
      <x:c r="H23" s="14" t="n">
        <x:v>0.07112499999999988</x:v>
      </x:c>
      <x:c r="I23" s="14" t="n">
        <x:v>0.07112499999999988</x:v>
      </x:c>
      <x:c r="J23" s="14" t="n">
        <x:v>0.06599999999999984</x:v>
      </x:c>
      <x:c r="K23" s="14" t="n">
        <x:v>0.06599999999999984</x:v>
      </x:c>
      <x:c r="L23" s="14" t="n">
        <x:v>0.06087499999999979</x:v>
      </x:c>
      <x:c r="M23" s="14" t="n">
        <x:v>0.06087499999999979</x:v>
      </x:c>
      <x:c r="N23" s="14" t="n">
        <x:v>0.055749999999999966</x:v>
      </x:c>
      <x:c r="O23" s="14" t="n">
        <x:v>0.055749999999999966</x:v>
      </x:c>
      <x:c r="P23" s="14" t="n">
        <x:v>0.05062499999999992</x:v>
      </x:c>
      <x:c r="Q23" s="47" t="str">
        <x:v>Residual metabolic portfolio excluding Thyronorm and Extensior.</x:v>
      </x:c>
    </x:row>
    <x:row r="24" ht="28" customHeight="1">
      <x:c r="A24" s="45" t="str">
        <x:v>Women's Health</x:v>
      </x:c>
      <x:c r="B24" s="45" t="str">
        <x:v>Duphaston and Femoston</x:v>
      </x:c>
      <x:c r="C24" s="11" t="n">
        <x:v>7000</x:v>
      </x:c>
      <x:c r="D24" s="14" t="n">
        <x:v>0.08</x:v>
      </x:c>
      <x:c r="E24" s="14" t="n">
        <x:v>0.08</x:v>
      </x:c>
      <x:c r="F24" s="14" t="n">
        <x:v>0.07</x:v>
      </x:c>
      <x:c r="G24" s="14" t="n">
        <x:v>0.05</x:v>
      </x:c>
      <x:c r="H24" s="14" t="n">
        <x:v>0.045499999999999874</x:v>
      </x:c>
      <x:c r="I24" s="14" t="n">
        <x:v>0.05059999999999998</x:v>
      </x:c>
      <x:c r="J24" s="14" t="n">
        <x:v>0.05569999999999986</x:v>
      </x:c>
      <x:c r="K24" s="14" t="n">
        <x:v>0.05569999999999986</x:v>
      </x:c>
      <x:c r="L24" s="14" t="n">
        <x:v>0.05569999999999986</x:v>
      </x:c>
      <x:c r="M24" s="14" t="n">
        <x:v>0.05059999999999998</x:v>
      </x:c>
      <x:c r="N24" s="14" t="n">
        <x:v>0.05059999999999998</x:v>
      </x:c>
      <x:c r="O24" s="14" t="n">
        <x:v>0.045499999999999874</x:v>
      </x:c>
      <x:c r="P24" s="14" t="n">
        <x:v>0.045499999999999874</x:v>
      </x:c>
      <x:c r="Q24" s="47" t="str">
        <x:v>Bernstein estimate reflecting Duphaston leadership and generic pricing pressure.</x:v>
      </x:c>
    </x:row>
    <x:row r="25" ht="28" customHeight="1">
      <x:c r="A25" s="45" t="str">
        <x:v>Women's Health</x:v>
      </x:c>
      <x:c r="B25" s="45" t="str">
        <x:v>Other Women's Health</x:v>
      </x:c>
      <x:c r="C25" s="11" t="n">
        <x:v>2000</x:v>
      </x:c>
      <x:c r="D25" s="14" t="n">
        <x:v>0.08</x:v>
      </x:c>
      <x:c r="E25" s="14" t="n">
        <x:v>0.08</x:v>
      </x:c>
      <x:c r="F25" s="14" t="n">
        <x:v>0.08</x:v>
      </x:c>
      <x:c r="G25" s="14" t="n">
        <x:v>0.08</x:v>
      </x:c>
      <x:c r="H25" s="14" t="n">
        <x:v>0.07624999999999993</x:v>
      </x:c>
      <x:c r="I25" s="14" t="n">
        <x:v>0.07624999999999993</x:v>
      </x:c>
      <x:c r="J25" s="14" t="n">
        <x:v>0.07624999999999993</x:v>
      </x:c>
      <x:c r="K25" s="14" t="n">
        <x:v>0.07112499999999988</x:v>
      </x:c>
      <x:c r="L25" s="14" t="n">
        <x:v>0.07112499999999988</x:v>
      </x:c>
      <x:c r="M25" s="14" t="n">
        <x:v>0.06599999999999984</x:v>
      </x:c>
      <x:c r="N25" s="14" t="n">
        <x:v>0.06599999999999984</x:v>
      </x:c>
      <x:c r="O25" s="14" t="n">
        <x:v>0.06087499999999979</x:v>
      </x:c>
      <x:c r="P25" s="14" t="n">
        <x:v>0.06087499999999979</x:v>
      </x:c>
      <x:c r="Q25" s="47" t="str">
        <x:v>Fertility, contraception, menopause and other products.</x:v>
      </x:c>
    </x:row>
    <x:row r="26" ht="28" customHeight="1">
      <x:c r="A26" s="45" t="str">
        <x:v>CNS</x:v>
      </x:c>
      <x:c r="B26" s="45" t="str">
        <x:v>Vertin</x:v>
      </x:c>
      <x:c r="C26" s="11" t="n">
        <x:v>3500</x:v>
      </x:c>
      <x:c r="D26" s="14" t="n">
        <x:v>0.08</x:v>
      </x:c>
      <x:c r="E26" s="14" t="n">
        <x:v>0.08</x:v>
      </x:c>
      <x:c r="F26" s="14" t="n">
        <x:v>0.08</x:v>
      </x:c>
      <x:c r="G26" s="14" t="n">
        <x:v>0.08</x:v>
      </x:c>
      <x:c r="H26" s="14" t="n">
        <x:v>0.07624999999999993</x:v>
      </x:c>
      <x:c r="I26" s="14" t="n">
        <x:v>0.07624999999999993</x:v>
      </x:c>
      <x:c r="J26" s="14" t="n">
        <x:v>0.07112499999999988</x:v>
      </x:c>
      <x:c r="K26" s="14" t="n">
        <x:v>0.07112499999999988</x:v>
      </x:c>
      <x:c r="L26" s="14" t="n">
        <x:v>0.06599999999999984</x:v>
      </x:c>
      <x:c r="M26" s="14" t="n">
        <x:v>0.06599999999999984</x:v>
      </x:c>
      <x:c r="N26" s="14" t="n">
        <x:v>0.06087499999999979</x:v>
      </x:c>
      <x:c r="O26" s="14" t="n">
        <x:v>0.06087499999999979</x:v>
      </x:c>
      <x:c r="P26" s="14" t="n">
        <x:v>0.055749999999999966</x:v>
      </x:c>
      <x:c r="Q26" s="47" t="str">
        <x:v>Bernstein estimate; Vertin is the disclosed CNS anchor.</x:v>
      </x:c>
    </x:row>
    <x:row r="27" ht="28" customHeight="1">
      <x:c r="A27" s="45" t="str">
        <x:v>CNS</x:v>
      </x:c>
      <x:c r="B27" s="45" t="str">
        <x:v>Other CNS</x:v>
      </x:c>
      <x:c r="C27" s="11" t="n">
        <x:v>2800</x:v>
      </x:c>
      <x:c r="D27" s="14" t="n">
        <x:v>0.06</x:v>
      </x:c>
      <x:c r="E27" s="14" t="n">
        <x:v>0.06</x:v>
      </x:c>
      <x:c r="F27" s="14" t="n">
        <x:v>0.06</x:v>
      </x:c>
      <x:c r="G27" s="14" t="n">
        <x:v>0.06</x:v>
      </x:c>
      <x:c r="H27" s="14" t="n">
        <x:v>0.06087499999999979</x:v>
      </x:c>
      <x:c r="I27" s="14" t="n">
        <x:v>0.06087499999999979</x:v>
      </x:c>
      <x:c r="J27" s="14" t="n">
        <x:v>0.055749999999999966</x:v>
      </x:c>
      <x:c r="K27" s="14" t="n">
        <x:v>0.055749999999999966</x:v>
      </x:c>
      <x:c r="L27" s="14" t="n">
        <x:v>0.055749999999999966</x:v>
      </x:c>
      <x:c r="M27" s="14" t="n">
        <x:v>0.05062499999999992</x:v>
      </x:c>
      <x:c r="N27" s="14" t="n">
        <x:v>0.05062499999999992</x:v>
      </x:c>
      <x:c r="O27" s="14" t="n">
        <x:v>0.045499999999999874</x:v>
      </x:c>
      <x:c r="P27" s="14" t="n">
        <x:v>0.045499999999999874</x:v>
      </x:c>
      <x:c r="Q27" s="47" t="str">
        <x:v>Includes Inderal, Prothiaden, Zolfresh and the remaining CNS portfolio.</x:v>
      </x:c>
    </x:row>
    <x:row r="28" ht="28" customHeight="1">
      <x:c r="A28" s="45" t="str">
        <x:v>Multi-specialty</x:v>
      </x:c>
      <x:c r="B28" s="45" t="str">
        <x:v>Arachitol franchise</x:v>
      </x:c>
      <x:c r="C28" s="11" t="n">
        <x:v>3500</x:v>
      </x:c>
      <x:c r="D28" s="14" t="n">
        <x:v>0.09</x:v>
      </x:c>
      <x:c r="E28" s="14" t="n">
        <x:v>0.1</x:v>
      </x:c>
      <x:c r="F28" s="14" t="n">
        <x:v>0.1</x:v>
      </x:c>
      <x:c r="G28" s="14" t="n">
        <x:v>0.1</x:v>
      </x:c>
      <x:c r="H28" s="14" t="n">
        <x:v>0.09674999999999989</x:v>
      </x:c>
      <x:c r="I28" s="14" t="n">
        <x:v>0.09162499999999985</x:v>
      </x:c>
      <x:c r="J28" s="14" t="n">
        <x:v>0.08650000000000002</x:v>
      </x:c>
      <x:c r="K28" s="14" t="n">
        <x:v>0.08137499999999975</x:v>
      </x:c>
      <x:c r="L28" s="14" t="n">
        <x:v>0.07624999999999993</x:v>
      </x:c>
      <x:c r="M28" s="14" t="n">
        <x:v>0.07112499999999988</x:v>
      </x:c>
      <x:c r="N28" s="14" t="n">
        <x:v>0.06599999999999984</x:v>
      </x:c>
      <x:c r="O28" s="14" t="n">
        <x:v>0.06087499999999979</x:v>
      </x:c>
      <x:c r="P28" s="14" t="n">
        <x:v>0.055749999999999966</x:v>
      </x:c>
      <x:c r="Q28" s="47" t="str">
        <x:v>Bernstein estimate including nano and injection formats.</x:v>
      </x:c>
    </x:row>
    <x:row r="29" ht="28" customHeight="1">
      <x:c r="A29" s="45" t="str">
        <x:v>Multi-specialty</x:v>
      </x:c>
      <x:c r="B29" s="45" t="str">
        <x:v>Other Multi-specialty</x:v>
      </x:c>
      <x:c r="C29" s="11" t="n">
        <x:v>2000</x:v>
      </x:c>
      <x:c r="D29" s="14" t="n">
        <x:v>0.07</x:v>
      </x:c>
      <x:c r="E29" s="14" t="n">
        <x:v>0.07</x:v>
      </x:c>
      <x:c r="F29" s="14" t="n">
        <x:v>0.07</x:v>
      </x:c>
      <x:c r="G29" s="14" t="n">
        <x:v>0.07</x:v>
      </x:c>
      <x:c r="H29" s="14" t="n">
        <x:v>0.06599999999999984</x:v>
      </x:c>
      <x:c r="I29" s="14" t="n">
        <x:v>0.06599999999999984</x:v>
      </x:c>
      <x:c r="J29" s="14" t="n">
        <x:v>0.06087499999999979</x:v>
      </x:c>
      <x:c r="K29" s="14" t="n">
        <x:v>0.06087499999999979</x:v>
      </x:c>
      <x:c r="L29" s="14" t="n">
        <x:v>0.055749999999999966</x:v>
      </x:c>
      <x:c r="M29" s="14" t="n">
        <x:v>0.055749999999999966</x:v>
      </x:c>
      <x:c r="N29" s="14" t="n">
        <x:v>0.05062499999999992</x:v>
      </x:c>
      <x:c r="O29" s="14" t="n">
        <x:v>0.05062499999999992</x:v>
      </x:c>
      <x:c r="P29" s="14" t="n">
        <x:v>0.045499999999999874</x:v>
      </x:c>
      <x:c r="Q29" s="47" t="str">
        <x:v>Residual multi-specialty portfolio.</x:v>
      </x:c>
    </x:row>
    <x:row r="30" ht="28" customHeight="1">
      <x:c r="A30" s="45" t="str">
        <x:v>Vaccines</x:v>
      </x:c>
      <x:c r="B30" s="45" t="str">
        <x:v>Influvac</x:v>
      </x:c>
      <x:c r="C30" s="11" t="n">
        <x:v>3500</x:v>
      </x:c>
      <x:c r="D30" s="14" t="n">
        <x:v>0.08</x:v>
      </x:c>
      <x:c r="E30" s="14" t="n">
        <x:v>0.08</x:v>
      </x:c>
      <x:c r="F30" s="14" t="n">
        <x:v>0.08</x:v>
      </x:c>
      <x:c r="G30" s="14" t="n">
        <x:v>0.08</x:v>
      </x:c>
      <x:c r="H30" s="14" t="n">
        <x:v>0.06599999999999984</x:v>
      </x:c>
      <x:c r="I30" s="14" t="n">
        <x:v>0.06599999999999984</x:v>
      </x:c>
      <x:c r="J30" s="14" t="n">
        <x:v>0.06087499999999979</x:v>
      </x:c>
      <x:c r="K30" s="14" t="n">
        <x:v>0.06087499999999979</x:v>
      </x:c>
      <x:c r="L30" s="14" t="n">
        <x:v>0.055749999999999966</x:v>
      </x:c>
      <x:c r="M30" s="14" t="n">
        <x:v>0.055749999999999966</x:v>
      </x:c>
      <x:c r="N30" s="14" t="n">
        <x:v>0.05062499999999992</x:v>
      </x:c>
      <x:c r="O30" s="14" t="n">
        <x:v>0.05062499999999992</x:v>
      </x:c>
      <x:c r="P30" s="14" t="n">
        <x:v>0.045499999999999874</x:v>
      </x:c>
      <x:c r="Q30" s="47" t="str">
        <x:v>Bernstein estimate; annual report identifies Influvac among the IPM top 50 brands.</x:v>
      </x:c>
    </x:row>
    <x:row r="31" ht="28" customHeight="1">
      <x:c r="A31" s="45" t="str">
        <x:v>Vaccines</x:v>
      </x:c>
      <x:c r="B31" s="45" t="str">
        <x:v>Pneumoshield 14 and Havshield</x:v>
      </x:c>
      <x:c r="C31" s="11" t="n">
        <x:v>1500</x:v>
      </x:c>
      <x:c r="D31" s="14" t="n">
        <x:v>0.2</x:v>
      </x:c>
      <x:c r="E31" s="14" t="n">
        <x:v>0.2</x:v>
      </x:c>
      <x:c r="F31" s="14" t="n">
        <x:v>0.15</x:v>
      </x:c>
      <x:c r="G31" s="14" t="n">
        <x:v>0.12</x:v>
      </x:c>
      <x:c r="H31" s="14" t="n">
        <x:v>0.09674999999999989</x:v>
      </x:c>
      <x:c r="I31" s="14" t="n">
        <x:v>0.09162499999999985</x:v>
      </x:c>
      <x:c r="J31" s="14" t="n">
        <x:v>0.08137499999999975</x:v>
      </x:c>
      <x:c r="K31" s="14" t="n">
        <x:v>0.07624999999999993</x:v>
      </x:c>
      <x:c r="L31" s="14" t="n">
        <x:v>0.07112499999999988</x:v>
      </x:c>
      <x:c r="M31" s="14" t="n">
        <x:v>0.06599999999999984</x:v>
      </x:c>
      <x:c r="N31" s="14" t="n">
        <x:v>0.06087499999999979</x:v>
      </x:c>
      <x:c r="O31" s="14" t="n">
        <x:v>0.055749999999999966</x:v>
      </x:c>
      <x:c r="P31" s="14" t="n">
        <x:v>0.05062499999999992</x:v>
      </x:c>
      <x:c r="Q31" s="47" t="str">
        <x:v>Bernstein estimate for the vaccine portfolio excluding Influvac.</x:v>
      </x:c>
    </x:row>
    <x:row r="32" ht="28" customHeight="1">
      <x:c r="A32" s="45" t="str">
        <x:v>Vaccines</x:v>
      </x:c>
      <x:c r="B32" s="45" t="str">
        <x:v>Other vaccines</x:v>
      </x:c>
      <x:c r="C32" s="11" t="n">
        <x:v>500</x:v>
      </x:c>
      <x:c r="D32" s="14" t="n">
        <x:v>0.06</x:v>
      </x:c>
      <x:c r="E32" s="14" t="n">
        <x:v>0.06</x:v>
      </x:c>
      <x:c r="F32" s="14" t="n">
        <x:v>0.06</x:v>
      </x:c>
      <x:c r="G32" s="14" t="n">
        <x:v>0.06</x:v>
      </x:c>
      <x:c r="H32" s="14" t="n">
        <x:v>0.055749999999999966</x:v>
      </x:c>
      <x:c r="I32" s="14" t="n">
        <x:v>0.055749999999999966</x:v>
      </x:c>
      <x:c r="J32" s="14" t="n">
        <x:v>0.055749999999999966</x:v>
      </x:c>
      <x:c r="K32" s="14" t="n">
        <x:v>0.05062499999999992</x:v>
      </x:c>
      <x:c r="L32" s="14" t="n">
        <x:v>0.05062499999999992</x:v>
      </x:c>
      <x:c r="M32" s="14" t="n">
        <x:v>0.05062499999999992</x:v>
      </x:c>
      <x:c r="N32" s="14" t="n">
        <x:v>0.045499999999999874</x:v>
      </x:c>
      <x:c r="O32" s="14" t="n">
        <x:v>0.045499999999999874</x:v>
      </x:c>
      <x:c r="P32" s="14" t="n">
        <x:v>0.045499999999999874</x:v>
      </x:c>
      <x:c r="Q32" s="47" t="str">
        <x:v>Residual vaccine portfolio.</x:v>
      </x:c>
    </x:row>
    <x:row r="33" ht="28" customHeight="1">
      <x:c r="A33" s="45" t="str">
        <x:v>Other pharma</x:v>
      </x:c>
      <x:c r="B33" s="45" t="str">
        <x:v>Other products</x:v>
      </x:c>
      <x:c r="C33" s="19" t="n">
        <x:f>$F$7-SUM($C$13:$C$32)</x:f>
        <x:v>6329.0999999999985</x:v>
      </x:c>
      <x:c r="D33" s="14" t="n">
        <x:v>0</x:v>
      </x:c>
      <x:c r="E33" s="14" t="n">
        <x:v>0</x:v>
      </x:c>
      <x:c r="F33" s="14" t="n">
        <x:v>0</x:v>
      </x:c>
      <x:c r="G33" s="14" t="n">
        <x:v>0</x:v>
      </x:c>
      <x:c r="H33" s="14" t="n">
        <x:v>0.055749999999999966</x:v>
      </x:c>
      <x:c r="I33" s="14" t="n">
        <x:v>0.055749999999999966</x:v>
      </x:c>
      <x:c r="J33" s="14" t="n">
        <x:v>0.05369999999999986</x:v>
      </x:c>
      <x:c r="K33" s="14" t="n">
        <x:v>0.05062499999999992</x:v>
      </x:c>
      <x:c r="L33" s="14" t="n">
        <x:v>0.05062499999999992</x:v>
      </x:c>
      <x:c r="M33" s="14" t="n">
        <x:v>0.04857499999999981</x:v>
      </x:c>
      <x:c r="N33" s="14" t="n">
        <x:v>0.045499999999999874</x:v>
      </x:c>
      <x:c r="O33" s="14" t="n">
        <x:v>0.045499999999999874</x:v>
      </x:c>
      <x:c r="P33" s="14" t="n">
        <x:v>0.04344999999999999</x:v>
      </x:c>
      <x:c r="Q33" s="47" t="str">
        <x:v>Calculated residual to audited FY26 product sales.</x:v>
      </x:c>
    </x:row>
    <x:row r="34" ht="28" customHeight="1">
      <x:c r="A34" s="45" t="str">
        <x:v>Other operating revenue</x:v>
      </x:c>
      <x:c r="B34" s="45" t="str">
        <x:v>Services and other operating revenue</x:v>
      </x:c>
      <x:c r="C34" s="19" t="n">
        <x:f>$F$8</x:f>
        <x:v>829.5</x:v>
      </x:c>
      <x:c r="D34" s="14" t="n">
        <x:v>0.08</x:v>
      </x:c>
      <x:c r="E34" s="14" t="n">
        <x:v>0.08</x:v>
      </x:c>
      <x:c r="F34" s="14" t="n">
        <x:v>0.08</x:v>
      </x:c>
      <x:c r="G34" s="14" t="n">
        <x:v>0.3012</x:v>
      </x:c>
      <x:c r="H34" s="14" t="n">
        <x:v>0.0706</x:v>
      </x:c>
      <x:c r="I34" s="14" t="n">
        <x:v>0.0706</x:v>
      </x:c>
      <x:c r="J34" s="14" t="n">
        <x:v>0.06555</x:v>
      </x:c>
      <x:c r="K34" s="14" t="n">
        <x:v>0.0605</x:v>
      </x:c>
      <x:c r="L34" s="14" t="n">
        <x:v>0.0605</x:v>
      </x:c>
      <x:c r="M34" s="14" t="n">
        <x:v>0.05545</x:v>
      </x:c>
      <x:c r="N34" s="14" t="n">
        <x:v>0.0504</x:v>
      </x:c>
      <x:c r="O34" s="14" t="n">
        <x:v>0.0504</x:v>
      </x:c>
      <x:c r="P34" s="14" t="n">
        <x:v>0.04535</x:v>
      </x:c>
      <x:c r="Q34" s="47" t="str">
        <x:v>FY26 annual report Note 24: services, scrap and export incentives.</x:v>
      </x:c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</x:row>
    <x:row r="38">
      <x:c r="A38" s="23" t="str">
        <x:v>Extensior patient-price build</x:v>
      </x:c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41"/>
      <x:c r="N38" s="41"/>
      <x:c r="O38" s="41"/>
      <x:c r="P38" s="41"/>
      <x:c r="Q38" s="41"/>
    </x:row>
    <x:row r="39">
      <x:c r="A39" s="8" t="str">
        <x:v>Driver</x:v>
      </x:c>
      <x:c r="B39" s="8" t="str">
        <x:v>Unit</x:v>
      </x:c>
      <x:c r="C39" s="8" t="str">
        <x:v>FY26A</x:v>
      </x:c>
      <x:c r="D39" s="8" t="str">
        <x:v>FY27E</x:v>
      </x:c>
      <x:c r="E39" s="8" t="str">
        <x:v>FY28E</x:v>
      </x:c>
      <x:c r="F39" s="8" t="str">
        <x:v>FY29E</x:v>
      </x:c>
      <x:c r="G39" s="8" t="str">
        <x:v>FY30E</x:v>
      </x:c>
      <x:c r="H39" s="8" t="str">
        <x:v>FY31E</x:v>
      </x:c>
      <x:c r="I39" s="8" t="str">
        <x:v>FY32E</x:v>
      </x:c>
      <x:c r="J39" s="8" t="str">
        <x:v>FY33E</x:v>
      </x:c>
      <x:c r="K39" s="8" t="str">
        <x:v>FY34E</x:v>
      </x:c>
      <x:c r="L39" s="8" t="str">
        <x:v>FY35E</x:v>
      </x:c>
      <x:c r="M39" s="41"/>
      <x:c r="N39" s="41"/>
      <x:c r="O39" s="41"/>
      <x:c r="P39" s="41"/>
      <x:c r="Q39" s="41"/>
    </x:row>
    <x:row r="40">
      <x:c r="A40" s="45" t="str">
        <x:v>Annualised treated patient equivalents</x:v>
      </x:c>
      <x:c r="B40" s="45" t="str">
        <x:v>Patients</x:v>
      </x:c>
      <x:c r="C40" s="25" t="n">
        <x:v>500</x:v>
      </x:c>
      <x:c r="D40" s="25" t="n">
        <x:v>12000</x:v>
      </x:c>
      <x:c r="E40" s="25" t="n">
        <x:v>28000</x:v>
      </x:c>
      <x:c r="F40" s="25" t="n">
        <x:v>50000</x:v>
      </x:c>
      <x:c r="G40" s="25" t="n">
        <x:v>75000</x:v>
      </x:c>
      <x:c r="H40" s="25" t="n">
        <x:v>100000</x:v>
      </x:c>
      <x:c r="I40" s="25" t="n">
        <x:v>120000</x:v>
      </x:c>
      <x:c r="J40" s="25" t="n">
        <x:v>135000</x:v>
      </x:c>
      <x:c r="K40" s="25" t="n">
        <x:v>145000</x:v>
      </x:c>
      <x:c r="L40" s="25" t="n">
        <x:v>150000</x:v>
      </x:c>
      <x:c r="M40" s="41"/>
      <x:c r="N40" s="41"/>
      <x:c r="O40" s="41"/>
      <x:c r="P40" s="41"/>
      <x:c r="Q40" s="41"/>
    </x:row>
    <x:row r="41">
      <x:c r="A41" s="45" t="str">
        <x:v>Net reported revenue per patient</x:v>
      </x:c>
      <x:c r="B41" s="45" t="str">
        <x:v>INR / year</x:v>
      </x:c>
      <x:c r="C41" s="25" t="n">
        <x:v>100000</x:v>
      </x:c>
      <x:c r="D41" s="25" t="n">
        <x:v>85000</x:v>
      </x:c>
      <x:c r="E41" s="25" t="n">
        <x:v>75000</x:v>
      </x:c>
      <x:c r="F41" s="25" t="n">
        <x:v>65000</x:v>
      </x:c>
      <x:c r="G41" s="25" t="n">
        <x:v>58000</x:v>
      </x:c>
      <x:c r="H41" s="25" t="n">
        <x:v>52000</x:v>
      </x:c>
      <x:c r="I41" s="25" t="n">
        <x:v>48000</x:v>
      </x:c>
      <x:c r="J41" s="25" t="n">
        <x:v>45000</x:v>
      </x:c>
      <x:c r="K41" s="25" t="n">
        <x:v>43000</x:v>
      </x:c>
      <x:c r="L41" s="25" t="n">
        <x:v>42000</x:v>
      </x:c>
      <x:c r="M41" s="41"/>
      <x:c r="N41" s="41"/>
      <x:c r="O41" s="41"/>
      <x:c r="P41" s="41"/>
      <x:c r="Q41" s="41"/>
    </x:row>
    <x:row r="42">
      <x:c r="A42" s="45" t="str">
        <x:v>Abbott reported revenue capture</x:v>
      </x:c>
      <x:c r="B42" s="45" t="str">
        <x:v>%</x:v>
      </x:c>
      <x:c r="C42" s="26" t="n">
        <x:v>1</x:v>
      </x:c>
      <x:c r="D42" s="26" t="n">
        <x:v>1</x:v>
      </x:c>
      <x:c r="E42" s="26" t="n">
        <x:v>1</x:v>
      </x:c>
      <x:c r="F42" s="26" t="n">
        <x:v>1</x:v>
      </x:c>
      <x:c r="G42" s="26" t="n">
        <x:v>1</x:v>
      </x:c>
      <x:c r="H42" s="26" t="n">
        <x:v>1</x:v>
      </x:c>
      <x:c r="I42" s="26" t="n">
        <x:v>1</x:v>
      </x:c>
      <x:c r="J42" s="26" t="n">
        <x:v>1</x:v>
      </x:c>
      <x:c r="K42" s="26" t="n">
        <x:v>1</x:v>
      </x:c>
      <x:c r="L42" s="26" t="n">
        <x:v>1</x:v>
      </x:c>
      <x:c r="M42" s="41"/>
      <x:c r="N42" s="41"/>
      <x:c r="O42" s="41"/>
      <x:c r="P42" s="41"/>
      <x:c r="Q42" s="41"/>
    </x:row>
    <x:row r="43">
      <x:c r="A43" s="29" t="str">
        <x:v>Extensior reported revenue</x:v>
      </x:c>
      <x:c r="B43" s="29" t="str">
        <x:v>INR mn</x:v>
      </x:c>
      <x:c r="C43" s="30" t="n">
        <x:f>C40*C41*C42/1000000</x:f>
        <x:v>50</x:v>
      </x:c>
      <x:c r="D43" s="30" t="n">
        <x:f>D40*D41*D42/1000000</x:f>
        <x:v>1020</x:v>
      </x:c>
      <x:c r="E43" s="30" t="n">
        <x:f>E40*E41*E42/1000000</x:f>
        <x:v>2100</x:v>
      </x:c>
      <x:c r="F43" s="30" t="n">
        <x:f>F40*F41*F42/1000000</x:f>
        <x:v>3250</x:v>
      </x:c>
      <x:c r="G43" s="30" t="n">
        <x:f>G40*G41*G42/1000000</x:f>
        <x:v>4350</x:v>
      </x:c>
      <x:c r="H43" s="30" t="n">
        <x:f>H40*H41*H42/1000000</x:f>
        <x:v>5200</x:v>
      </x:c>
      <x:c r="I43" s="30" t="n">
        <x:f>I40*I41*I42/1000000</x:f>
        <x:v>5760</x:v>
      </x:c>
      <x:c r="J43" s="30" t="n">
        <x:f>J40*J41*J42/1000000</x:f>
        <x:v>6075</x:v>
      </x:c>
      <x:c r="K43" s="30" t="n">
        <x:f>K40*K41*K42/1000000</x:f>
        <x:v>6235</x:v>
      </x:c>
      <x:c r="L43" s="30" t="n">
        <x:f>L40*L41*L42/1000000</x:f>
        <x:v>6300</x:v>
      </x:c>
      <x:c r="M43" s="41"/>
      <x:c r="N43" s="41"/>
      <x:c r="O43" s="41"/>
      <x:c r="P43" s="41"/>
      <x:c r="Q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</x:row>
    <x:row r="45" ht="28" customHeight="1">
      <x:c r="A45" s="43" t="str">
        <x:v>Extensior assumes gross revenue recognition. If Abbott acts as an agent, change the revenue-capture row to the retained commission rate.</x:v>
      </x:c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1"/>
      <x:c r="O45" s="41"/>
      <x:c r="P45" s="41"/>
      <x:c r="Q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</x:row>
    <x:row r="48">
      <x:c r="A48" s="8" t="str">
        <x:v>Quarter</x:v>
      </x:c>
      <x:c r="B48" s="8" t="str">
        <x:v>FY25 revenue</x:v>
      </x:c>
      <x:c r="C48" s="8" t="str">
        <x:v>FY26 revenue</x:v>
      </x:c>
      <x:c r="D48" s="8" t="str">
        <x:v>Forecast share</x:v>
      </x:c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</x:row>
    <x:row r="49">
      <x:c r="A49" s="45" t="str">
        <x:v>Q1</x:v>
      </x:c>
      <x:c r="B49" s="32" t="n">
        <x:v>15608.3</x:v>
      </x:c>
      <x:c r="C49" s="32" t="n">
        <x:v>16767.4</x:v>
      </x:c>
      <x:c r="D49" s="53" t="n">
        <x:f>AVERAGE(B49/SUM($B$49:$B$52),C49/SUM($C$49:$C$52))</x:f>
        <x:v>0.24275925515684324</x:v>
      </x:c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</x:row>
    <x:row r="50">
      <x:c r="A50" s="45" t="str">
        <x:v>Q2</x:v>
      </x:c>
      <x:c r="B50" s="32" t="n">
        <x:v>17445.6</x:v>
      </x:c>
      <x:c r="C50" s="32" t="n">
        <x:v>18327.9</x:v>
      </x:c>
      <x:c r="D50" s="53" t="n">
        <x:f>AVERAGE(B50/SUM($B$49:$B$52),C50/SUM($C$49:$C$52))</x:f>
        <x:v>0.2683532315188516</x:v>
      </x:c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</x:row>
    <x:row r="51">
      <x:c r="A51" s="45" t="str">
        <x:v>Q3</x:v>
      </x:c>
      <x:c r="B51" s="32" t="n">
        <x:v>16146.3</x:v>
      </x:c>
      <x:c r="C51" s="32" t="n">
        <x:v>17461</x:v>
      </x:c>
      <x:c r="D51" s="53" t="n">
        <x:f>AVERAGE(B51/SUM($B$49:$B$52),C51/SUM($C$49:$C$52))</x:f>
        <x:v>0.25196139469803125</x:v>
      </x:c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</x:row>
    <x:row r="52">
      <x:c r="A52" s="45" t="str">
        <x:v>Q4</x:v>
      </x:c>
      <x:c r="B52" s="32" t="n">
        <x:v>14891.3</x:v>
      </x:c>
      <x:c r="C52" s="32" t="n">
        <x:v>16734.2</x:v>
      </x:c>
      <x:c r="D52" s="53" t="n">
        <x:f>AVERAGE(B52/SUM($B$49:$B$52),C52/SUM($C$49:$C$52))</x:f>
        <x:v>0.23692611862627394</x:v>
      </x:c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</x:row>
    <x:row r="55">
      <x:c r="A55" s="8" t="str">
        <x:v>Model check</x:v>
      </x:c>
      <x:c r="B55" s="8" t="str">
        <x:v>Value</x:v>
      </x:c>
      <x:c r="C55" s="8" t="str">
        <x:v>Expected</x:v>
      </x:c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</x:row>
    <x:row r="56">
      <x:c r="A56" s="34" t="str">
        <x:v>FY22-FY25 modeled revenue variance versus audited totals</x:v>
      </x:c>
      <x:c r="B56" s="35" t="n">
        <x:f>ABS('Revenue Model'!D41-$B$6)+ABS('Revenue Model'!E41-$C$6)+ABS('Revenue Model'!F41-$D$6)+ABS('Revenue Model'!G41-$E$6)</x:f>
        <x:v>0</x:v>
      </x:c>
      <x:c r="C56" s="35" t="n">
        <x:v>0</x:v>
      </x:c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</x:row>
    <x:row r="57">
      <x:c r="A57" s="34" t="str">
        <x:v>FY22-FY25 historical product allocation reconciliation</x:v>
      </x:c>
      <x:c r="B57" s="35" t="n">
        <x:f>ABS('Revenue Model'!D39-$B$7)+ABS('Revenue Model'!E39-$C$7)+ABS('Revenue Model'!F39-$D$7)+ABS('Revenue Model'!G39-$E$7)</x:f>
        <x:v>0</x:v>
      </x:c>
      <x:c r="C57" s="35" t="n">
        <x:v>0</x:v>
      </x:c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</x:row>
    <x:row r="58">
      <x:c r="A58" s="34" t="str">
        <x:v>FY26 product base less audited product sales</x:v>
      </x:c>
      <x:c r="B58" s="35" t="n">
        <x:f>SUM($C$13:$C$33)-$F$7</x:f>
        <x:v>0</x:v>
      </x:c>
      <x:c r="C58" s="35" t="n">
        <x:v>0</x:v>
      </x:c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</x:row>
    <x:row r="59">
      <x:c r="A59" s="34" t="str">
        <x:v>FY26 revenue model less audited revenue</x:v>
      </x:c>
      <x:c r="B59" s="35" t="n">
        <x:f>SUM($C$13:$C$34)-$F$6</x:f>
        <x:v>0</x:v>
      </x:c>
      <x:c r="C59" s="35" t="n">
        <x:v>0</x:v>
      </x:c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</x:row>
    <x:row r="60">
      <x:c r="A60" s="34" t="str">
        <x:v>FY27 sum of quarters less FY27E</x:v>
      </x:c>
      <x:c r="B60" s="35" t="n">
        <x:f>SUM('Revenue Model'!$I$41:$L$41)-'Revenue Model'!$M$41</x:f>
        <x:v>-1.4551915228366852e-11</x:v>
      </x:c>
      <x:c r="C60" s="35" t="n">
        <x:v>0</x:v>
      </x:c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</x:row>
    <x:row r="61">
      <x:c r="A61" s="34" t="str">
        <x:v>FY28 sum of quarters less FY28E</x:v>
      </x:c>
      <x:c r="B61" s="35" t="n">
        <x:f>SUM('Revenue Model'!$N$41:$Q$41)-'Revenue Model'!$R$41</x:f>
        <x:v>0</x:v>
      </x:c>
      <x:c r="C61" s="35" t="n">
        <x:v>0</x:v>
      </x:c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</x:row>
    <x:row r="62">
      <x:c r="A62" s="34" t="str">
        <x:v>FY27 Q1 total less reported Q1 revenue</x:v>
      </x:c>
      <x:c r="B62" s="35" t="n">
        <x:f>'Revenue Model'!$I$41-$G$6</x:f>
        <x:v>0</x:v>
      </x:c>
      <x:c r="C62" s="35" t="n">
        <x:v>0</x:v>
      </x:c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</x:row>
    <x:row r="63">
      <x:c r="A63" s="45" t="str">
        <x:v>FY26 base residual products</x:v>
      </x:c>
      <x:c r="B63" s="19" t="n">
        <x:f>$C$33</x:f>
        <x:v>6329.0999999999985</x:v>
      </x:c>
      <x:c r="C63" s="19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</x:row>
    <x:row r="64">
      <x:c r="A64" s="23" t="str">
        <x:v>Sources</x:v>
      </x:c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</x:row>
    <x:row r="65" ht="38" customHeight="1">
      <x:c r="A65" s="38" t="str">
        <x:v>Abbott India Annual Report 2025-26</x:v>
      </x:c>
      <x:c r="B65" s="38" t="str">
        <x:v>Audited FY25-FY26 revenue and portfolio disclosures</x:v>
      </x:c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 t="str">
        <x:v>https://www.abbott.co.in/investor-relations/financials/annual-reports.html</x:v>
      </x:c>
    </x:row>
    <x:row r="66" ht="38" customHeight="1">
      <x:c r="A66" s="39" t="str">
        <x:v>Abbott India quarterly reports</x:v>
      </x:c>
      <x:c r="B66" s="39" t="str">
        <x:v>FY22-FY24 audited revenue, quarterly revenue and Q1 FY27 actual</x:v>
      </x:c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 t="str">
        <x:v>https://www.abbott.co.in/investor-relations/financials/quarterly-reports.html</x:v>
      </x:c>
    </x:row>
    <x:row r="67" ht="38" customHeight="1">
      <x:c r="A67" s="39" t="str">
        <x:v>India IPM GSK Pfizer Abbott Initiation Analysis Aug 2026</x:v>
      </x:c>
      <x:c r="B67" s="39" t="str">
        <x:v>IQVIA market sales and growth for verified Abbott India brands</x:v>
      </x:c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 t="str">
        <x:v>User-supplied workbook dated 23-Sep-2026</x:v>
      </x:c>
    </x:row>
    <x:row r="68" ht="38" customHeight="1">
      <x:c r="A68" s="39" t="str">
        <x:v>Abbott and Novo Nordisk Extensior press release</x:v>
      </x:c>
      <x:c r="B68" s="39" t="str">
        <x:v>Commercialisation and manufacturing responsibilities</x:v>
      </x:c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 t="str">
        <x:v>https://www.abbott.in/media-center/press-releases/abbott-partners-with-novo-nordisk-india-to-launch-extensior-broadening-access-to-semaglutide-ozempic-for-advanced-diabetes-management.html</x:v>
      </x:c>
    </x:row>
    <x:row r="69" ht="38" customHeight="1">
      <x:c r="A69" s="40" t="str">
        <x:v>Bernstein estimates</x:v>
      </x:c>
      <x:c r="B69" s="40" t="str">
        <x:v>FY22-FY25 product back-casts, FY26 product allocation and forecasts; Other products is the annual reconciliation residual</x:v>
      </x:c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 t="str">
        <x:v>Prepared 25-Sep-2026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05574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3.5" hidden="0" customWidth="1"/>
    <x:col min="15" max="15" width="13.5" hidden="0" customWidth="1"/>
    <x:col min="16" max="16" width="13.5" hidden="0" customWidth="1"/>
    <x:col min="17" max="17" width="13.5" hidden="0" customWidth="1"/>
    <x:col min="18" max="18" width="13.5" hidden="0" customWidth="1"/>
    <x:col min="19" max="19" width="13.5" hidden="0" customWidth="1"/>
    <x:col min="20" max="20" width="13.5" hidden="0" customWidth="1"/>
    <x:col min="21" max="21" width="13.5" hidden="0" customWidth="1"/>
    <x:col min="22" max="22" width="13.5" hidden="0" customWidth="1"/>
    <x:col min="23" max="23" width="13.5" hidden="0" customWidth="1"/>
  </x:cols>
  <x:sheetData>
    <x:row r="1" ht="19" customHeight="1">
      <x:c r="A1" s="117"/>
      <x:c r="B1" s="117"/>
      <x:c r="C1" s="117"/>
      <x:c r="D1" s="117"/>
      <x:c r="E1" s="117"/>
      <x:c r="F1" s="117"/>
      <x:c r="G1" s="117"/>
      <x:c r="H1" s="117"/>
      <x:c r="I1" s="117"/>
      <x:c r="J1" s="117"/>
      <x:c r="K1" s="117"/>
      <x:c r="L1" s="117"/>
      <x:c r="M1" s="117"/>
      <x:c r="N1" s="117"/>
      <x:c r="O1" s="117"/>
      <x:c r="P1" s="117"/>
      <x:c r="Q1" s="117"/>
      <x:c r="R1" s="117"/>
      <x:c r="S1" s="117"/>
      <x:c r="T1" s="117"/>
      <x:c r="U1" s="117"/>
      <x:c r="V1" s="117"/>
      <x:c r="W1" s="117"/>
    </x:row>
    <x:row r="2" ht="19" customHeight="1">
      <x:c r="A2" s="117"/>
      <x:c r="B2" s="117"/>
      <x:c r="C2" s="169" t="str">
        <x:v>Abbott India - Profit and loss</x:v>
      </x:c>
      <x:c r="D2" s="117"/>
      <x:c r="E2" s="117"/>
      <x:c r="F2" s="117"/>
      <x:c r="G2" s="117"/>
      <x:c r="H2" s="117"/>
      <x:c r="I2" s="117"/>
      <x:c r="J2" s="117"/>
      <x:c r="K2" s="117"/>
      <x:c r="L2" s="117"/>
      <x:c r="M2" s="117"/>
      <x:c r="N2" s="117"/>
      <x:c r="O2" s="117"/>
      <x:c r="P2" s="117"/>
      <x:c r="Q2" s="117"/>
      <x:c r="R2" s="117"/>
      <x:c r="S2" s="117"/>
      <x:c r="T2" s="117"/>
      <x:c r="U2" s="117"/>
      <x:c r="V2" s="117"/>
      <x:c r="W2" s="117"/>
    </x:row>
    <x:row r="3" ht="19" customHeight="1">
      <x:c r="A3" s="117"/>
      <x:c r="B3" s="117"/>
      <x:c r="C3" s="134" t="str">
        <x:v>INR million, except per-share figures, ratios and days. March year-end.</x:v>
      </x:c>
      <x:c r="D3" s="117"/>
      <x:c r="E3" s="117"/>
      <x:c r="F3" s="117"/>
      <x:c r="G3" s="117"/>
      <x:c r="H3" s="117"/>
      <x:c r="I3" s="117"/>
      <x:c r="J3" s="117"/>
      <x:c r="K3" s="117"/>
      <x:c r="L3" s="117"/>
      <x:c r="M3" s="117"/>
      <x:c r="N3" s="117"/>
      <x:c r="O3" s="117"/>
      <x:c r="P3" s="117"/>
      <x:c r="Q3" s="117"/>
      <x:c r="R3" s="117"/>
      <x:c r="S3" s="117"/>
      <x:c r="T3" s="117"/>
      <x:c r="U3" s="117"/>
      <x:c r="V3" s="117"/>
      <x:c r="W3" s="117"/>
    </x:row>
    <x:row r="4" ht="19" customHeight="1">
      <x:c r="A4" s="117"/>
      <x:c r="B4" s="117"/>
      <x:c r="C4" s="117"/>
      <x:c r="D4" s="117"/>
      <x:c r="E4" s="117"/>
      <x:c r="F4" s="117"/>
      <x:c r="G4" s="117"/>
      <x:c r="H4" s="117"/>
      <x:c r="I4" s="117"/>
      <x:c r="J4" s="117"/>
      <x:c r="K4" s="117"/>
      <x:c r="L4" s="117"/>
      <x:c r="M4" s="117"/>
      <x:c r="N4" s="117"/>
      <x:c r="O4" s="117"/>
      <x:c r="P4" s="117"/>
      <x:c r="Q4" s="117"/>
      <x:c r="R4" s="117"/>
      <x:c r="S4" s="117"/>
      <x:c r="T4" s="117"/>
      <x:c r="U4" s="117"/>
      <x:c r="V4" s="117"/>
      <x:c r="W4" s="117"/>
    </x:row>
    <x:row r="5" ht="27" customHeight="1">
      <x:c r="A5" s="117"/>
      <x:c r="B5" s="117"/>
      <x:c r="C5" s="123" t="str">
        <x:v>Financial year</x:v>
      </x:c>
      <x:c r="D5" s="124" t="str">
        <x:v>FY24A</x:v>
      </x:c>
      <x:c r="E5" s="124" t="str">
        <x:v>FY25A</x:v>
      </x:c>
      <x:c r="F5" s="124" t="str">
        <x:v>FY26A</x:v>
      </x:c>
      <x:c r="G5" s="174" t="str">
        <x:v>FY27Q1A</x:v>
      </x:c>
      <x:c r="H5" s="124" t="str">
        <x:v>FY27Q2E</x:v>
      </x:c>
      <x:c r="I5" s="124" t="str">
        <x:v>FY27Q3E</x:v>
      </x:c>
      <x:c r="J5" s="124" t="str">
        <x:v>FY27Q4E</x:v>
      </x:c>
      <x:c r="K5" s="124" t="str">
        <x:v>FY27E</x:v>
      </x:c>
      <x:c r="L5" s="174" t="str">
        <x:v>FY28Q1E</x:v>
      </x:c>
      <x:c r="M5" s="124" t="str">
        <x:v>FY28Q2E</x:v>
      </x:c>
      <x:c r="N5" s="124" t="str">
        <x:v>FY28Q3E</x:v>
      </x:c>
      <x:c r="O5" s="124" t="str">
        <x:v>FY28Q4E</x:v>
      </x:c>
      <x:c r="P5" s="124" t="str">
        <x:v>FY28E</x:v>
      </x:c>
      <x:c r="Q5" s="174" t="str">
        <x:v>FY29E</x:v>
      </x:c>
      <x:c r="R5" s="124" t="str">
        <x:v>FY30E</x:v>
      </x:c>
      <x:c r="S5" s="124" t="str">
        <x:v>FY31E</x:v>
      </x:c>
      <x:c r="T5" s="124" t="str">
        <x:v>FY32E</x:v>
      </x:c>
      <x:c r="U5" s="124" t="str">
        <x:v>FY33E</x:v>
      </x:c>
      <x:c r="V5" s="124" t="str">
        <x:v>FY34E</x:v>
      </x:c>
      <x:c r="W5" s="124" t="str">
        <x:v>FY35E</x:v>
      </x:c>
    </x:row>
    <x:row r="6" ht="19" customHeight="1">
      <x:c r="A6" s="117"/>
      <x:c r="B6" s="117"/>
      <x:c r="C6" s="117"/>
      <x:c r="D6" s="118"/>
      <x:c r="E6" s="118"/>
      <x:c r="F6" s="118"/>
      <x:c r="G6" s="175"/>
      <x:c r="H6" s="118"/>
      <x:c r="I6" s="118"/>
      <x:c r="J6" s="118"/>
      <x:c r="K6" s="118"/>
      <x:c r="L6" s="175"/>
      <x:c r="M6" s="118"/>
      <x:c r="N6" s="118"/>
      <x:c r="O6" s="118"/>
      <x:c r="P6" s="118"/>
      <x:c r="Q6" s="175"/>
      <x:c r="R6" s="118"/>
      <x:c r="S6" s="118"/>
      <x:c r="T6" s="118"/>
      <x:c r="U6" s="118"/>
      <x:c r="V6" s="118"/>
      <x:c r="W6" s="118"/>
    </x:row>
    <x:row r="7" ht="19" customHeight="1">
      <x:c r="A7" s="117"/>
      <x:c r="B7" s="117"/>
      <x:c r="C7" s="117" t="str">
        <x:v>Revenue from operations</x:v>
      </x:c>
      <x:c r="D7" s="118" t="n">
        <x:f>'Schedules'!D23</x:f>
        <x:v>58489.1</x:v>
      </x:c>
      <x:c r="E7" s="118" t="n">
        <x:f>'Schedules'!E23</x:f>
        <x:v>64091.5</x:v>
      </x:c>
      <x:c r="F7" s="118" t="n">
        <x:f>'Schedules'!F23</x:f>
        <x:v>69290.5</x:v>
      </x:c>
      <x:c r="G7" s="175" t="n">
        <x:f>'Schedules'!D41</x:f>
        <x:v>18136.8</x:v>
      </x:c>
      <x:c r="H7" s="118" t="n">
        <x:f>'Schedules'!E41</x:f>
        <x:v>20660.266648738114</x:v>
      </x:c>
      <x:c r="I7" s="118" t="n">
        <x:f>'Schedules'!F41</x:f>
        <x:v>19398.27431995574</x:v>
      </x:c>
      <x:c r="J7" s="118" t="n">
        <x:f>'Schedules'!G41</x:f>
        <x:v>18240.722346306124</x:v>
      </x:c>
      <x:c r="K7" s="118" t="n">
        <x:f>'Schedules'!H41</x:f>
        <x:v>76436.06331499998</x:v>
      </x:c>
      <x:c r="L7" s="175" t="n">
        <x:f>'Schedules'!I41</x:f>
        <x:v>20201.443953862756</x:v>
      </x:c>
      <x:c r="M7" s="118" t="n">
        <x:f>'Schedules'!J41</x:f>
        <x:v>22331.271212969936</x:v>
      </x:c>
      <x:c r="N7" s="118" t="n">
        <x:f>'Schedules'!K41</x:f>
        <x:v>20967.208810394503</x:v>
      </x:c>
      <x:c r="O7" s="118" t="n">
        <x:f>'Schedules'!L41</x:f>
        <x:v>19716.03390998454</x:v>
      </x:c>
      <x:c r="P7" s="118" t="n">
        <x:f>'Schedules'!M41</x:f>
        <x:v>83215.95788721174</x:v>
      </x:c>
      <x:c r="Q7" s="175" t="n">
        <x:f>'Schedules'!I23</x:f>
        <x:v>90608.04524422914</x:v>
      </x:c>
      <x:c r="R7" s="118" t="n">
        <x:f>'Schedules'!J23</x:f>
        <x:v>98086.55488205835</x:v>
      </x:c>
      <x:c r="S7" s="118" t="n">
        <x:f>'Schedules'!K23</x:f>
        <x:v>105345.49961715605</x:v>
      </x:c>
      <x:c r="T7" s="118" t="n">
        <x:f>'Schedules'!L23</x:f>
        <x:v>112395.32429477022</x:v>
      </x:c>
      <x:c r="U7" s="118" t="n">
        <x:f>'Schedules'!M23</x:f>
        <x:v>119018.98895059129</x:v>
      </x:c>
      <x:c r="V7" s="118" t="n">
        <x:f>'Schedules'!N23</x:f>
        <x:v>125532.66746566884</x:v>
      </x:c>
      <x:c r="W7" s="118" t="n">
        <x:f>'Schedules'!O23</x:f>
        <x:v>131853.31243069633</x:v>
      </x:c>
    </x:row>
    <x:row r="8" ht="19" customHeight="1">
      <x:c r="A8" s="117"/>
      <x:c r="B8" s="117"/>
      <x:c r="C8" s="134" t="str">
        <x:v>YoY growth</x:v>
      </x:c>
      <x:c r="D8" s="135" t="str">
        <x:v>n.a.</x:v>
      </x:c>
      <x:c r="E8" s="135" t="n">
        <x:f>E7/D7-1</x:f>
        <x:v>0.09578536855585051</x:v>
      </x:c>
      <x:c r="F8" s="135" t="n">
        <x:f>F7/E7-1</x:f>
        <x:v>0.08111840103601886</x:v>
      </x:c>
      <x:c r="G8" s="176" t="str">
        <x:v>n.a.</x:v>
      </x:c>
      <x:c r="H8" s="135" t="str">
        <x:v>n.a.</x:v>
      </x:c>
      <x:c r="I8" s="135" t="str">
        <x:v>n.a.</x:v>
      </x:c>
      <x:c r="J8" s="135" t="str">
        <x:v>n.a.</x:v>
      </x:c>
      <x:c r="K8" s="135" t="n">
        <x:f>K7/F7-1</x:f>
        <x:v>0.10312471861221928</x:v>
      </x:c>
      <x:c r="L8" s="176" t="str">
        <x:v>n.a.</x:v>
      </x:c>
      <x:c r="M8" s="135" t="str">
        <x:v>n.a.</x:v>
      </x:c>
      <x:c r="N8" s="135" t="str">
        <x:v>n.a.</x:v>
      </x:c>
      <x:c r="O8" s="135" t="str">
        <x:v>n.a.</x:v>
      </x:c>
      <x:c r="P8" s="135" t="n">
        <x:f>P7/K7-1</x:f>
        <x:v>0.08870020613530549</x:v>
      </x:c>
      <x:c r="Q8" s="176" t="n">
        <x:f>Q7/P7-1</x:f>
        <x:v>0.08883016604863703</x:v>
      </x:c>
      <x:c r="R8" s="135" t="n">
        <x:f>R7/Q7-1</x:f>
        <x:v>0.08253692724162942</x:v>
      </x:c>
      <x:c r="S8" s="135" t="n">
        <x:f>S7/R7-1</x:f>
        <x:v>0.0740055020163164</x:v>
      </x:c>
      <x:c r="T8" s="135" t="n">
        <x:f>T7/S7-1</x:f>
        <x:v>0.06692098573963268</x:v>
      </x:c>
      <x:c r="U8" s="135" t="n">
        <x:f>U7/T7-1</x:f>
        <x:v>0.05893185234689757</x:v>
      </x:c>
      <x:c r="V8" s="135" t="n">
        <x:f>V7/U7-1</x:f>
        <x:v>0.054728061232158565</x:v>
      </x:c>
      <x:c r="W8" s="135" t="n">
        <x:f>W7/V7-1</x:f>
        <x:v>0.050350598713725825</x:v>
      </x:c>
    </x:row>
    <x:row r="9" ht="19" customHeight="1">
      <x:c r="A9" s="117"/>
      <x:c r="B9" s="117"/>
      <x:c r="C9" s="117"/>
      <x:c r="D9" s="118"/>
      <x:c r="E9" s="118"/>
      <x:c r="F9" s="118"/>
      <x:c r="G9" s="175"/>
      <x:c r="H9" s="118"/>
      <x:c r="I9" s="118"/>
      <x:c r="J9" s="118"/>
      <x:c r="K9" s="118"/>
      <x:c r="L9" s="175"/>
      <x:c r="M9" s="118"/>
      <x:c r="N9" s="118"/>
      <x:c r="O9" s="118"/>
      <x:c r="P9" s="118"/>
      <x:c r="Q9" s="175"/>
      <x:c r="R9" s="118"/>
      <x:c r="S9" s="118"/>
      <x:c r="T9" s="118"/>
      <x:c r="U9" s="118"/>
      <x:c r="V9" s="118"/>
      <x:c r="W9" s="118"/>
    </x:row>
    <x:row r="10" ht="19" customHeight="1">
      <x:c r="A10" s="117"/>
      <x:c r="B10" s="117"/>
      <x:c r="C10" s="117" t="str">
        <x:v>Cost of goods sold</x:v>
      </x:c>
      <x:c r="D10" s="118" t="n">
        <x:f>'Schedules'!D24</x:f>
        <x:v>32206.1</x:v>
      </x:c>
      <x:c r="E10" s="118" t="n">
        <x:f>'Schedules'!E24</x:f>
        <x:v>34967.8</x:v>
      </x:c>
      <x:c r="F10" s="118" t="n">
        <x:f>'Schedules'!F24</x:f>
        <x:v>36928.2</x:v>
      </x:c>
      <x:c r="G10" s="175" t="n">
        <x:f>'Schedules'!D42</x:f>
        <x:v>9315.9</x:v>
      </x:c>
      <x:c r="H10" s="118" t="n">
        <x:f>'Schedules'!E42</x:f>
        <x:v>11053.242657074892</x:v>
      </x:c>
      <x:c r="I10" s="118" t="n">
        <x:f>'Schedules'!F42</x:f>
        <x:v>10378.076761176322</x:v>
      </x:c>
      <x:c r="J10" s="118" t="n">
        <x:f>'Schedules'!G42</x:f>
        <x:v>9758.786455273777</x:v>
      </x:c>
      <x:c r="K10" s="118" t="n">
        <x:f>'Schedules'!H42</x:f>
        <x:v>40506.00587352499</x:v>
      </x:c>
      <x:c r="L10" s="175" t="n">
        <x:f>'Schedules'!I42</x:f>
        <x:v>10807.772515316576</x:v>
      </x:c>
      <x:c r="M10" s="118" t="n">
        <x:f>'Schedules'!J42</x:f>
        <x:v>11947.230098938917</x:v>
      </x:c>
      <x:c r="N10" s="118" t="n">
        <x:f>'Schedules'!K42</x:f>
        <x:v>11217.45671356106</x:v>
      </x:c>
      <x:c r="O10" s="118" t="n">
        <x:f>'Schedules'!L42</x:f>
        <x:v>10548.07814184173</x:v>
      </x:c>
      <x:c r="P10" s="118" t="n">
        <x:f>'Schedules'!M42</x:f>
        <x:v>44520.53746965829</x:v>
      </x:c>
      <x:c r="Q10" s="175" t="n">
        <x:f>'Schedules'!I24</x:f>
        <x:v>48475.30420566259</x:v>
      </x:c>
      <x:c r="R10" s="118" t="n">
        <x:f>'Schedules'!J24</x:f>
        <x:v>52476.30686190122</x:v>
      </x:c>
      <x:c r="S10" s="118" t="n">
        <x:f>'Schedules'!K24</x:f>
        <x:v>56359.84229517849</x:v>
      </x:c>
      <x:c r="T10" s="118" t="n">
        <x:f>'Schedules'!L24</x:f>
        <x:v>60131.49849770207</x:v>
      </x:c>
      <x:c r="U10" s="118" t="n">
        <x:f>'Schedules'!M24</x:f>
        <x:v>63675.15908856634</x:v>
      </x:c>
      <x:c r="V10" s="118" t="n">
        <x:f>'Schedules'!N24</x:f>
        <x:v>67159.97709413283</x:v>
      </x:c>
      <x:c r="W10" s="118" t="n">
        <x:f>'Schedules'!O24</x:f>
        <x:v>70541.52215042253</x:v>
      </x:c>
    </x:row>
    <x:row r="11" ht="19" customHeight="1">
      <x:c r="A11" s="117"/>
      <x:c r="B11" s="117"/>
      <x:c r="C11" s="141" t="str">
        <x:v>Gross profit</x:v>
      </x:c>
      <x:c r="D11" s="159" t="n">
        <x:f>D7-D10</x:f>
        <x:v>26283</x:v>
      </x:c>
      <x:c r="E11" s="159" t="n">
        <x:f>E7-E10</x:f>
        <x:v>29123.699999999997</x:v>
      </x:c>
      <x:c r="F11" s="159" t="n">
        <x:f>F7-F10</x:f>
        <x:v>32362.300000000003</x:v>
      </x:c>
      <x:c r="G11" s="177" t="n">
        <x:f>G7-G10</x:f>
        <x:v>8820.9</x:v>
      </x:c>
      <x:c r="H11" s="159" t="n">
        <x:f>H7-H10</x:f>
        <x:v>9607.023991663222</x:v>
      </x:c>
      <x:c r="I11" s="159" t="n">
        <x:f>I7-I10</x:f>
        <x:v>9020.197558779419</x:v>
      </x:c>
      <x:c r="J11" s="159" t="n">
        <x:f>J7-J10</x:f>
        <x:v>8481.935891032346</x:v>
      </x:c>
      <x:c r="K11" s="159" t="n">
        <x:f>K7-K10</x:f>
        <x:v>35930.057441474986</x:v>
      </x:c>
      <x:c r="L11" s="177" t="n">
        <x:f>L7-L10</x:f>
        <x:v>9393.67143854618</x:v>
      </x:c>
      <x:c r="M11" s="159" t="n">
        <x:f>M7-M10</x:f>
        <x:v>10384.041114031019</x:v>
      </x:c>
      <x:c r="N11" s="159" t="n">
        <x:f>N7-N10</x:f>
        <x:v>9749.752096833443</x:v>
      </x:c>
      <x:c r="O11" s="159" t="n">
        <x:f>O7-O10</x:f>
        <x:v>9167.95576814281</x:v>
      </x:c>
      <x:c r="P11" s="159" t="n">
        <x:f>P7-P10</x:f>
        <x:v>38695.420417553454</x:v>
      </x:c>
      <x:c r="Q11" s="177" t="n">
        <x:f>Q7-Q10</x:f>
        <x:v>42132.74103856655</x:v>
      </x:c>
      <x:c r="R11" s="159" t="n">
        <x:f>R7-R10</x:f>
        <x:v>45610.24802015713</x:v>
      </x:c>
      <x:c r="S11" s="159" t="n">
        <x:f>S7-S10</x:f>
        <x:v>48985.65732197756</x:v>
      </x:c>
      <x:c r="T11" s="159" t="n">
        <x:f>T7-T10</x:f>
        <x:v>52263.82579706815</x:v>
      </x:c>
      <x:c r="U11" s="159" t="n">
        <x:f>U7-U10</x:f>
        <x:v>55343.82986202495</x:v>
      </x:c>
      <x:c r="V11" s="159" t="n">
        <x:f>V7-V10</x:f>
        <x:v>58372.69037153601</x:v>
      </x:c>
      <x:c r="W11" s="159" t="n">
        <x:f>W7-W10</x:f>
        <x:v>61311.790280273795</x:v>
      </x:c>
    </x:row>
    <x:row r="12" ht="19" customHeight="1">
      <x:c r="A12" s="117"/>
      <x:c r="B12" s="117"/>
      <x:c r="C12" s="134" t="str">
        <x:v>Gross margin</x:v>
      </x:c>
      <x:c r="D12" s="135" t="n">
        <x:f>D11/D7</x:f>
        <x:v>0.4493657792648545</x:v>
      </x:c>
      <x:c r="E12" s="135" t="n">
        <x:f>E11/E7</x:f>
        <x:v>0.4544081508468361</x:v>
      </x:c>
      <x:c r="F12" s="135" t="n">
        <x:f>F11/F7</x:f>
        <x:v>0.467052481941969</x:v>
      </x:c>
      <x:c r="G12" s="176" t="n">
        <x:f>G11/G7</x:f>
        <x:v>0.486353711790393</x:v>
      </x:c>
      <x:c r="H12" s="135" t="n">
        <x:f>H11/H7</x:f>
        <x:v>0.46499999999999997</x:v>
      </x:c>
      <x:c r="I12" s="135" t="n">
        <x:f>I11/I7</x:f>
        <x:v>0.46499999999999997</x:v>
      </x:c>
      <x:c r="J12" s="135" t="n">
        <x:f>J11/J7</x:f>
        <x:v>0.4649999999999999</x:v>
      </x:c>
      <x:c r="K12" s="135" t="n">
        <x:f>K11/K7</x:f>
        <x:v>0.4700668229524583</x:v>
      </x:c>
      <x:c r="L12" s="176" t="n">
        <x:f>L11/L7</x:f>
        <x:v>0.4649999999999999</x:v>
      </x:c>
      <x:c r="M12" s="135" t="n">
        <x:f>M11/M7</x:f>
        <x:v>0.46499999999999997</x:v>
      </x:c>
      <x:c r="N12" s="135" t="n">
        <x:f>N11/N7</x:f>
        <x:v>0.46499999999999997</x:v>
      </x:c>
      <x:c r="O12" s="135" t="n">
        <x:f>O11/O7</x:f>
        <x:v>0.46499999999999997</x:v>
      </x:c>
      <x:c r="P12" s="135" t="n">
        <x:f>P11/P7</x:f>
        <x:v>0.4649999999999999</x:v>
      </x:c>
      <x:c r="Q12" s="176" t="n">
        <x:f>Q11/Q7</x:f>
        <x:v>0.46499999999999997</x:v>
      </x:c>
      <x:c r="R12" s="135" t="n">
        <x:f>R11/R7</x:f>
        <x:v>0.46499999999999997</x:v>
      </x:c>
      <x:c r="S12" s="135" t="n">
        <x:f>S11/S7</x:f>
        <x:v>0.46499999999999997</x:v>
      </x:c>
      <x:c r="T12" s="135" t="n">
        <x:f>T11/T7</x:f>
        <x:v>0.46499999999999997</x:v>
      </x:c>
      <x:c r="U12" s="135" t="n">
        <x:f>U11/U7</x:f>
        <x:v>0.46499999999999997</x:v>
      </x:c>
      <x:c r="V12" s="135" t="n">
        <x:f>V11/V7</x:f>
        <x:v>0.46499999999999997</x:v>
      </x:c>
      <x:c r="W12" s="135" t="n">
        <x:f>W11/W7</x:f>
        <x:v>0.465</x:v>
      </x:c>
    </x:row>
    <x:row r="13" ht="19" customHeight="1">
      <x:c r="A13" s="117"/>
      <x:c r="B13" s="117"/>
      <x:c r="C13" s="117"/>
      <x:c r="D13" s="118"/>
      <x:c r="E13" s="118"/>
      <x:c r="F13" s="118"/>
      <x:c r="G13" s="175"/>
      <x:c r="H13" s="118"/>
      <x:c r="I13" s="118"/>
      <x:c r="J13" s="118"/>
      <x:c r="K13" s="118"/>
      <x:c r="L13" s="175"/>
      <x:c r="M13" s="118"/>
      <x:c r="N13" s="118"/>
      <x:c r="O13" s="118"/>
      <x:c r="P13" s="118"/>
      <x:c r="Q13" s="175"/>
      <x:c r="R13" s="118"/>
      <x:c r="S13" s="118"/>
      <x:c r="T13" s="118"/>
      <x:c r="U13" s="118"/>
      <x:c r="V13" s="118"/>
      <x:c r="W13" s="118"/>
    </x:row>
    <x:row r="14" ht="19" customHeight="1">
      <x:c r="A14" s="117"/>
      <x:c r="B14" s="117"/>
      <x:c r="C14" s="117" t="str">
        <x:v>Employee benefits expense</x:v>
      </x:c>
      <x:c r="D14" s="118" t="n">
        <x:f>'Schedules'!D25</x:f>
        <x:v>5765.8</x:v>
      </x:c>
      <x:c r="E14" s="118" t="n">
        <x:f>'Schedules'!E25</x:f>
        <x:v>5875.4</x:v>
      </x:c>
      <x:c r="F14" s="118" t="n">
        <x:f>'Schedules'!F25</x:f>
        <x:v>6688.2</x:v>
      </x:c>
      <x:c r="G14" s="175" t="n">
        <x:f>'Schedules'!D43</x:f>
        <x:v>1752.4</x:v>
      </x:c>
      <x:c r="H14" s="118" t="n">
        <x:f>'Schedules'!E43</x:f>
        <x:v>2004.045864927597</x:v>
      </x:c>
      <x:c r="I14" s="118" t="n">
        <x:f>'Schedules'!F43</x:f>
        <x:v>1881.632609035707</x:v>
      </x:c>
      <x:c r="J14" s="118" t="n">
        <x:f>'Schedules'!G43</x:f>
        <x:v>1769.3500675916941</x:v>
      </x:c>
      <x:c r="K14" s="118" t="n">
        <x:f>'Schedules'!H43</x:f>
        <x:v>7407.4285415549975</x:v>
      </x:c>
      <x:c r="L14" s="175" t="n">
        <x:f>'Schedules'!I43</x:f>
        <x:v>1959.5400635246874</x:v>
      </x:c>
      <x:c r="M14" s="118" t="n">
        <x:f>'Schedules'!J43</x:f>
        <x:v>2166.133307658084</x:v>
      </x:c>
      <x:c r="N14" s="118" t="n">
        <x:f>'Schedules'!K43</x:f>
        <x:v>2033.8192546082669</x:v>
      </x:c>
      <x:c r="O14" s="118" t="n">
        <x:f>'Schedules'!L43</x:f>
        <x:v>1912.4552892685006</x:v>
      </x:c>
      <x:c r="P14" s="118" t="n">
        <x:f>'Schedules'!M43</x:f>
        <x:v>8071.947915059538</x:v>
      </x:c>
      <x:c r="Q14" s="175" t="n">
        <x:f>'Schedules'!I25</x:f>
        <x:v>8788.980388690226</x:v>
      </x:c>
      <x:c r="R14" s="118" t="n">
        <x:f>'Schedules'!J25</x:f>
        <x:v>9514.39582355966</x:v>
      </x:c>
      <x:c r="S14" s="118" t="n">
        <x:f>'Schedules'!K25</x:f>
        <x:v>10218.513462864137</x:v>
      </x:c>
      <x:c r="T14" s="118" t="n">
        <x:f>'Schedules'!L25</x:f>
        <x:v>10902.346456592712</x:v>
      </x:c>
      <x:c r="U14" s="118" t="n">
        <x:f>'Schedules'!M25</x:f>
        <x:v>11544.841928207356</x:v>
      </x:c>
      <x:c r="V14" s="118" t="n">
        <x:f>'Schedules'!N25</x:f>
        <x:v>12176.668744169878</x:v>
      </x:c>
      <x:c r="W14" s="118" t="n">
        <x:f>'Schedules'!O25</x:f>
        <x:v>12789.771305777544</x:v>
      </x:c>
    </x:row>
    <x:row r="15" ht="19" customHeight="1">
      <x:c r="A15" s="117"/>
      <x:c r="B15" s="117"/>
      <x:c r="C15" s="117" t="str">
        <x:v>Other operating expenses</x:v>
      </x:c>
      <x:c r="D15" s="118" t="n">
        <x:f>'Schedules'!D26</x:f>
        <x:v>5986.2</x:v>
      </x:c>
      <x:c r="E15" s="118" t="n">
        <x:f>'Schedules'!E26</x:f>
        <x:v>6302.3</x:v>
      </x:c>
      <x:c r="F15" s="118" t="n">
        <x:f>'Schedules'!F26</x:f>
        <x:v>6753.3</x:v>
      </x:c>
      <x:c r="G15" s="175" t="n">
        <x:f>'Schedules'!D44</x:f>
        <x:v>1843.5</x:v>
      </x:c>
      <x:c r="H15" s="118" t="n">
        <x:f>'Schedules'!E44</x:f>
        <x:v>2066.0266648738116</x:v>
      </x:c>
      <x:c r="I15" s="118" t="n">
        <x:f>'Schedules'!F44</x:f>
        <x:v>1939.8274319955742</x:v>
      </x:c>
      <x:c r="J15" s="118" t="n">
        <x:f>'Schedules'!G44</x:f>
        <x:v>1824.0722346306125</x:v>
      </x:c>
      <x:c r="K15" s="118" t="n">
        <x:f>'Schedules'!H44</x:f>
        <x:v>7673.426331499999</x:v>
      </x:c>
      <x:c r="L15" s="175" t="n">
        <x:f>'Schedules'!I44</x:f>
        <x:v>2020.1443953862756</x:v>
      </x:c>
      <x:c r="M15" s="118" t="n">
        <x:f>'Schedules'!J44</x:f>
        <x:v>2233.1271212969937</x:v>
      </x:c>
      <x:c r="N15" s="118" t="n">
        <x:f>'Schedules'!K44</x:f>
        <x:v>2096.7208810394504</x:v>
      </x:c>
      <x:c r="O15" s="118" t="n">
        <x:f>'Schedules'!L44</x:f>
        <x:v>1971.6033909984542</x:v>
      </x:c>
      <x:c r="P15" s="118" t="n">
        <x:f>'Schedules'!M44</x:f>
        <x:v>8321.595788721173</x:v>
      </x:c>
      <x:c r="Q15" s="175" t="n">
        <x:f>'Schedules'!I26</x:f>
        <x:v>9060.804524422914</x:v>
      </x:c>
      <x:c r="R15" s="118" t="n">
        <x:f>'Schedules'!J26</x:f>
        <x:v>9808.655488205835</x:v>
      </x:c>
      <x:c r="S15" s="118" t="n">
        <x:f>'Schedules'!K26</x:f>
        <x:v>10534.549961715606</x:v>
      </x:c>
      <x:c r="T15" s="118" t="n">
        <x:f>'Schedules'!L26</x:f>
        <x:v>11239.532429477023</x:v>
      </x:c>
      <x:c r="U15" s="118" t="n">
        <x:f>'Schedules'!M26</x:f>
        <x:v>11901.89889505913</x:v>
      </x:c>
      <x:c r="V15" s="118" t="n">
        <x:f>'Schedules'!N26</x:f>
        <x:v>12553.266746566886</x:v>
      </x:c>
      <x:c r="W15" s="118" t="n">
        <x:f>'Schedules'!O26</x:f>
        <x:v>13185.331243069633</x:v>
      </x:c>
    </x:row>
    <x:row r="16" ht="19" customHeight="1">
      <x:c r="A16" s="117"/>
      <x:c r="B16" s="117"/>
      <x:c r="C16" s="141" t="str">
        <x:v>EBITDA</x:v>
      </x:c>
      <x:c r="D16" s="159" t="n">
        <x:f>D11-SUM(D14:D15)</x:f>
        <x:v>14531</x:v>
      </x:c>
      <x:c r="E16" s="159" t="n">
        <x:f>E11-SUM(E14:E15)</x:f>
        <x:v>16945.999999999996</x:v>
      </x:c>
      <x:c r="F16" s="159" t="n">
        <x:f>F11-SUM(F14:F15)</x:f>
        <x:v>18920.800000000003</x:v>
      </x:c>
      <x:c r="G16" s="177" t="n">
        <x:f>G11-SUM(G14:G15)</x:f>
        <x:v>5225</x:v>
      </x:c>
      <x:c r="H16" s="159" t="n">
        <x:f>H11-SUM(H14:H15)</x:f>
        <x:v>5536.951461861813</x:v>
      </x:c>
      <x:c r="I16" s="159" t="n">
        <x:f>I11-SUM(I14:I15)</x:f>
        <x:v>5198.737517748137</x:v>
      </x:c>
      <x:c r="J16" s="159" t="n">
        <x:f>J11-SUM(J14:J15)</x:f>
        <x:v>4888.513588810039</x:v>
      </x:c>
      <x:c r="K16" s="159" t="n">
        <x:f>K11-SUM(K14:K15)</x:f>
        <x:v>20849.20256841999</x:v>
      </x:c>
      <x:c r="L16" s="177" t="n">
        <x:f>L11-SUM(L14:L15)</x:f>
        <x:v>5413.986979635217</x:v>
      </x:c>
      <x:c r="M16" s="159" t="n">
        <x:f>M11-SUM(M14:M15)</x:f>
        <x:v>5984.780685075941</x:v>
      </x:c>
      <x:c r="N16" s="159" t="n">
        <x:f>N11-SUM(N14:N15)</x:f>
        <x:v>5619.211961185725</x:v>
      </x:c>
      <x:c r="O16" s="159" t="n">
        <x:f>O11-SUM(O14:O15)</x:f>
        <x:v>5283.8970878758555</x:v>
      </x:c>
      <x:c r="P16" s="159" t="n">
        <x:f>P11-SUM(P14:P15)</x:f>
        <x:v>22301.87671377274</x:v>
      </x:c>
      <x:c r="Q16" s="177" t="n">
        <x:f>Q11-SUM(Q14:Q15)</x:f>
        <x:v>24282.95612545341</x:v>
      </x:c>
      <x:c r="R16" s="159" t="n">
        <x:f>R11-SUM(R14:R15)</x:f>
        <x:v>26287.196708391635</x:v>
      </x:c>
      <x:c r="S16" s="159" t="n">
        <x:f>S11-SUM(S14:S15)</x:f>
        <x:v>28232.59389739782</x:v>
      </x:c>
      <x:c r="T16" s="159" t="n">
        <x:f>T11-SUM(T14:T15)</x:f>
        <x:v>30121.946910998417</x:v>
      </x:c>
      <x:c r="U16" s="159" t="n">
        <x:f>U11-SUM(U14:U15)</x:f>
        <x:v>31897.089038758462</x:v>
      </x:c>
      <x:c r="V16" s="159" t="n">
        <x:f>V11-SUM(V14:V15)</x:f>
        <x:v>33642.75488079924</x:v>
      </x:c>
      <x:c r="W16" s="159" t="n">
        <x:f>W11-SUM(W14:W15)</x:f>
        <x:v>35336.68773142662</x:v>
      </x:c>
    </x:row>
    <x:row r="17" ht="19" customHeight="1">
      <x:c r="A17" s="117"/>
      <x:c r="B17" s="117"/>
      <x:c r="C17" s="134" t="str">
        <x:v>EBITDA margin</x:v>
      </x:c>
      <x:c r="D17" s="135" t="n">
        <x:f>D16/D7</x:f>
        <x:v>0.24843945282112395</x:v>
      </x:c>
      <x:c r="E17" s="135" t="n">
        <x:f>E16/E7</x:f>
        <x:v>0.26440323599853327</x:v>
      </x:c>
      <x:c r="F17" s="135" t="n">
        <x:f>F16/F7</x:f>
        <x:v>0.27306485015983434</x:v>
      </x:c>
      <x:c r="G17" s="176" t="n">
        <x:f>G16/G7</x:f>
        <x:v>0.2880883066472586</x:v>
      </x:c>
      <x:c r="H17" s="135" t="n">
        <x:f>H16/H7</x:f>
        <x:v>0.26799999999999996</x:v>
      </x:c>
      <x:c r="I17" s="135" t="n">
        <x:f>I16/I7</x:f>
        <x:v>0.2679999999999999</x:v>
      </x:c>
      <x:c r="J17" s="135" t="n">
        <x:f>J16/J7</x:f>
        <x:v>0.2679999999999999</x:v>
      </x:c>
      <x:c r="K17" s="135" t="n">
        <x:f>K16/K7</x:f>
        <x:v>0.2727665667774978</x:v>
      </x:c>
      <x:c r="L17" s="176" t="n">
        <x:f>L16/L7</x:f>
        <x:v>0.2679999999999999</x:v>
      </x:c>
      <x:c r="M17" s="135" t="n">
        <x:f>M16/M7</x:f>
        <x:v>0.2679999999999999</x:v>
      </x:c>
      <x:c r="N17" s="135" t="n">
        <x:f>N16/N7</x:f>
        <x:v>0.2679999999999999</x:v>
      </x:c>
      <x:c r="O17" s="135" t="n">
        <x:f>O16/O7</x:f>
        <x:v>0.2679999999999999</x:v>
      </x:c>
      <x:c r="P17" s="135" t="n">
        <x:f>P16/P7</x:f>
        <x:v>0.2679999999999999</x:v>
      </x:c>
      <x:c r="Q17" s="176" t="n">
        <x:f>Q16/Q7</x:f>
        <x:v>0.268</x:v>
      </x:c>
      <x:c r="R17" s="135" t="n">
        <x:f>R16/R7</x:f>
        <x:v>0.26799999999999996</x:v>
      </x:c>
      <x:c r="S17" s="135" t="n">
        <x:f>S16/S7</x:f>
        <x:v>0.26799999999999996</x:v>
      </x:c>
      <x:c r="T17" s="135" t="n">
        <x:f>T16/T7</x:f>
        <x:v>0.26799999999999996</x:v>
      </x:c>
      <x:c r="U17" s="135" t="n">
        <x:f>U16/U7</x:f>
        <x:v>0.26799999999999996</x:v>
      </x:c>
      <x:c r="V17" s="135" t="n">
        <x:f>V16/V7</x:f>
        <x:v>0.26799999999999996</x:v>
      </x:c>
      <x:c r="W17" s="135" t="n">
        <x:f>W16/W7</x:f>
        <x:v>0.268</x:v>
      </x:c>
    </x:row>
    <x:row r="18" ht="19" customHeight="1">
      <x:c r="A18" s="117"/>
      <x:c r="B18" s="117"/>
      <x:c r="C18" s="117"/>
      <x:c r="D18" s="118"/>
      <x:c r="E18" s="118"/>
      <x:c r="F18" s="118"/>
      <x:c r="G18" s="175"/>
      <x:c r="H18" s="118"/>
      <x:c r="I18" s="118"/>
      <x:c r="J18" s="118"/>
      <x:c r="K18" s="118"/>
      <x:c r="L18" s="175"/>
      <x:c r="M18" s="118"/>
      <x:c r="N18" s="118"/>
      <x:c r="O18" s="118"/>
      <x:c r="P18" s="118"/>
      <x:c r="Q18" s="175"/>
      <x:c r="R18" s="118"/>
      <x:c r="S18" s="118"/>
      <x:c r="T18" s="118"/>
      <x:c r="U18" s="118"/>
      <x:c r="V18" s="118"/>
      <x:c r="W18" s="118"/>
    </x:row>
    <x:row r="19" ht="19" customHeight="1">
      <x:c r="A19" s="117"/>
      <x:c r="B19" s="117"/>
      <x:c r="C19" s="117" t="str">
        <x:v>Depreciation and amortisation</x:v>
      </x:c>
      <x:c r="D19" s="118" t="n">
        <x:f>'Schedules'!D27</x:f>
        <x:v>711.7</x:v>
      </x:c>
      <x:c r="E19" s="118" t="n">
        <x:f>'Schedules'!E27</x:f>
        <x:v>718</x:v>
      </x:c>
      <x:c r="F19" s="118" t="n">
        <x:f>'Schedules'!F27</x:f>
        <x:v>759.6</x:v>
      </x:c>
      <x:c r="G19" s="175" t="n">
        <x:f>'Schedules'!D45</x:f>
        <x:v>197.5</x:v>
      </x:c>
      <x:c r="H19" s="118" t="n">
        <x:f>'Schedules'!E45</x:f>
        <x:v>204.11008144016668</x:v>
      </x:c>
      <x:c r="I19" s="118" t="n">
        <x:f>'Schedules'!F45</x:f>
        <x:v>204.11008144016668</x:v>
      </x:c>
      <x:c r="J19" s="118" t="n">
        <x:f>'Schedules'!G45</x:f>
        <x:v>204.11008144016668</x:v>
      </x:c>
      <x:c r="K19" s="118" t="n">
        <x:f>'Schedules'!H45</x:f>
        <x:v>809.8302443205001</x:v>
      </x:c>
      <x:c r="L19" s="175" t="n">
        <x:f>'Schedules'!I45</x:f>
        <x:v>215.7907407962058</x:v>
      </x:c>
      <x:c r="M19" s="118" t="n">
        <x:f>'Schedules'!J45</x:f>
        <x:v>215.7907407962058</x:v>
      </x:c>
      <x:c r="N19" s="118" t="n">
        <x:f>'Schedules'!K45</x:f>
        <x:v>215.7907407962058</x:v>
      </x:c>
      <x:c r="O19" s="118" t="n">
        <x:f>'Schedules'!L45</x:f>
        <x:v>215.7907407962058</x:v>
      </x:c>
      <x:c r="P19" s="118" t="n">
        <x:f>'Schedules'!M45</x:f>
        <x:v>863.1629631848232</x:v>
      </x:c>
      <x:c r="Q19" s="175" t="n">
        <x:f>'Schedules'!I27</x:f>
        <x:v>925.7229866622424</x:v>
      </x:c>
      <x:c r="R19" s="118" t="n">
        <x:f>'Schedules'!J27</x:f>
        <x:v>996.8587981284738</x:v>
      </x:c>
      <x:c r="S19" s="118" t="n">
        <x:f>'Schedules'!K27</x:f>
        <x:v>1074.6353110507848</x:v>
      </x:c>
      <x:c r="T19" s="118" t="n">
        <x:f>'Schedules'!L27</x:f>
        <x:v>1156.8601169090957</x:v>
      </x:c>
      <x:c r="U19" s="118" t="n">
        <x:f>'Schedules'!M27</x:f>
        <x:v>1241.7213337733183</x:v>
      </x:c>
      <x:c r="V19" s="118" t="n">
        <x:f>'Schedules'!N27</x:f>
        <x:v>1327.5375777022628</x:v>
      </x:c>
      <x:c r="W19" s="118" t="n">
        <x:f>'Schedules'!O27</x:f>
        <x:v>1413.6969104793784</x:v>
      </x:c>
    </x:row>
    <x:row r="20" ht="19" customHeight="1">
      <x:c r="A20" s="117"/>
      <x:c r="B20" s="117"/>
      <x:c r="C20" s="141" t="str">
        <x:v>EBIT</x:v>
      </x:c>
      <x:c r="D20" s="159" t="n">
        <x:f>D16-D19</x:f>
        <x:v>13819.3</x:v>
      </x:c>
      <x:c r="E20" s="159" t="n">
        <x:f>E16-E19</x:f>
        <x:v>16227.999999999996</x:v>
      </x:c>
      <x:c r="F20" s="159" t="n">
        <x:f>F16-F19</x:f>
        <x:v>18161.200000000004</x:v>
      </x:c>
      <x:c r="G20" s="177" t="n">
        <x:f>G16-G19</x:f>
        <x:v>5027.5</x:v>
      </x:c>
      <x:c r="H20" s="159" t="n">
        <x:f>H16-H19</x:f>
        <x:v>5332.841380421646</x:v>
      </x:c>
      <x:c r="I20" s="159" t="n">
        <x:f>I16-I19</x:f>
        <x:v>4994.62743630797</x:v>
      </x:c>
      <x:c r="J20" s="159" t="n">
        <x:f>J16-J19</x:f>
        <x:v>4684.403507369872</x:v>
      </x:c>
      <x:c r="K20" s="159" t="n">
        <x:f>K16-K19</x:f>
        <x:v>20039.37232409949</x:v>
      </x:c>
      <x:c r="L20" s="177" t="n">
        <x:f>L16-L19</x:f>
        <x:v>5198.196238839011</x:v>
      </x:c>
      <x:c r="M20" s="159" t="n">
        <x:f>M16-M19</x:f>
        <x:v>5768.989944279735</x:v>
      </x:c>
      <x:c r="N20" s="159" t="n">
        <x:f>N16-N19</x:f>
        <x:v>5403.4212203895195</x:v>
      </x:c>
      <x:c r="O20" s="159" t="n">
        <x:f>O16-O19</x:f>
        <x:v>5068.10634707965</x:v>
      </x:c>
      <x:c r="P20" s="159" t="n">
        <x:f>P16-P19</x:f>
        <x:v>21438.71375058792</x:v>
      </x:c>
      <x:c r="Q20" s="177" t="n">
        <x:f>Q16-Q19</x:f>
        <x:v>23357.233138791165</x:v>
      </x:c>
      <x:c r="R20" s="159" t="n">
        <x:f>R16-R19</x:f>
        <x:v>25290.337910263162</x:v>
      </x:c>
      <x:c r="S20" s="159" t="n">
        <x:f>S16-S19</x:f>
        <x:v>27157.958586347035</x:v>
      </x:c>
      <x:c r="T20" s="159" t="n">
        <x:f>T16-T19</x:f>
        <x:v>28965.086794089322</x:v>
      </x:c>
      <x:c r="U20" s="159" t="n">
        <x:f>U16-U19</x:f>
        <x:v>30655.367704985143</x:v>
      </x:c>
      <x:c r="V20" s="159" t="n">
        <x:f>V16-V19</x:f>
        <x:v>32315.21730309698</x:v>
      </x:c>
      <x:c r="W20" s="159" t="n">
        <x:f>W16-W19</x:f>
        <x:v>33922.99082094724</x:v>
      </x:c>
    </x:row>
    <x:row r="21" ht="19" customHeight="1">
      <x:c r="A21" s="117"/>
      <x:c r="B21" s="117"/>
      <x:c r="C21" s="134" t="str">
        <x:v>EBIT margin</x:v>
      </x:c>
      <x:c r="D21" s="135" t="n">
        <x:f>D20/D7</x:f>
        <x:v>0.23627137364055867</x:v>
      </x:c>
      <x:c r="E21" s="135" t="n">
        <x:f>E20/E7</x:f>
        <x:v>0.2532005024067153</x:v>
      </x:c>
      <x:c r="F21" s="135" t="n">
        <x:f>F20/F7</x:f>
        <x:v>0.2621023083972551</x:v>
      </x:c>
      <x:c r="G21" s="176" t="n">
        <x:f>G20/G7</x:f>
        <x:v>0.27719884433858233</x:v>
      </x:c>
      <x:c r="H21" s="135" t="n">
        <x:f>H20/H7</x:f>
        <x:v>0.2581206463154417</x:v>
      </x:c>
      <x:c r="I21" s="135" t="n">
        <x:f>I20/I7</x:f>
        <x:v>0.2574779258157932</x:v>
      </x:c>
      <x:c r="J21" s="135" t="n">
        <x:f>J20/J7</x:f>
        <x:v>0.2568101974491431</x:v>
      </x:c>
      <x:c r="K21" s="135" t="n">
        <x:f>K20/K7</x:f>
        <x:v>0.2621716955976057</x:v>
      </x:c>
      <x:c r="L21" s="176" t="n">
        <x:f>L20/L7</x:f>
        <x:v>0.2573180536357182</x:v>
      </x:c>
      <x:c r="M21" s="135" t="n">
        <x:f>M20/M7</x:f>
        <x:v>0.25833683578788486</x:v>
      </x:c>
      <x:c r="N21" s="135" t="n">
        <x:f>N20/N7</x:f>
        <x:v>0.2577081799133307</x:v>
      </x:c>
      <x:c r="O21" s="135" t="n">
        <x:f>O20/O7</x:f>
        <x:v>0.2570550634178547</x:v>
      </x:c>
      <x:c r="P21" s="135" t="n">
        <x:f>P20/P7</x:f>
        <x:v>0.25762743462792637</x:v>
      </x:c>
      <x:c r="Q21" s="176" t="n">
        <x:f>Q20/Q7</x:f>
        <x:v>0.2577832142370249</x:v>
      </x:c>
      <x:c r="R21" s="135" t="n">
        <x:f>R20/R7</x:f>
        <x:v>0.25783694758851383</x:v>
      </x:c>
      <x:c r="S21" s="135" t="n">
        <x:f>S20/S7</x:f>
        <x:v>0.25779894428375016</x:v>
      </x:c>
      <x:c r="T21" s="135" t="n">
        <x:f>T20/T7</x:f>
        <x:v>0.25770722203821317</x:v>
      </x:c>
      <x:c r="U21" s="135" t="n">
        <x:f>U20/U7</x:f>
        <x:v>0.2575670317423987</x:v>
      </x:c>
      <x:c r="V21" s="135" t="n">
        <x:f>V20/V7</x:f>
        <x:v>0.25742476405143444</x:v>
      </x:c>
      <x:c r="W21" s="135" t="n">
        <x:f>W20/W7</x:f>
        <x:v>0.2572782601785417</x:v>
      </x:c>
    </x:row>
    <x:row r="22" ht="19" customHeight="1">
      <x:c r="A22" s="117"/>
      <x:c r="B22" s="117"/>
      <x:c r="C22" s="117"/>
      <x:c r="D22" s="118"/>
      <x:c r="E22" s="118"/>
      <x:c r="F22" s="118"/>
      <x:c r="G22" s="175"/>
      <x:c r="H22" s="118"/>
      <x:c r="I22" s="118"/>
      <x:c r="J22" s="118"/>
      <x:c r="K22" s="118"/>
      <x:c r="L22" s="175"/>
      <x:c r="M22" s="118"/>
      <x:c r="N22" s="118"/>
      <x:c r="O22" s="118"/>
      <x:c r="P22" s="118"/>
      <x:c r="Q22" s="175"/>
      <x:c r="R22" s="118"/>
      <x:c r="S22" s="118"/>
      <x:c r="T22" s="118"/>
      <x:c r="U22" s="118"/>
      <x:c r="V22" s="118"/>
      <x:c r="W22" s="118"/>
    </x:row>
    <x:row r="23" ht="19" customHeight="1">
      <x:c r="A23" s="117"/>
      <x:c r="B23" s="117"/>
      <x:c r="C23" s="117" t="str">
        <x:v>Other income</x:v>
      </x:c>
      <x:c r="D23" s="118" t="n">
        <x:f>'Schedules'!D30</x:f>
        <x:v>2482.7</x:v>
      </x:c>
      <x:c r="E23" s="118" t="n">
        <x:f>'Schedules'!E30</x:f>
        <x:v>2755.8</x:v>
      </x:c>
      <x:c r="F23" s="118" t="n">
        <x:f>'Schedules'!F30</x:f>
        <x:v>2881.4</x:v>
      </x:c>
      <x:c r="G23" s="175" t="n">
        <x:f>'Schedules'!D46</x:f>
        <x:v>753.7</x:v>
      </x:c>
      <x:c r="H23" s="118" t="n">
        <x:f>'Schedules'!E46</x:f>
        <x:v>732.7474177533331</x:v>
      </x:c>
      <x:c r="I23" s="118" t="n">
        <x:f>'Schedules'!F46</x:f>
        <x:v>732.7474177533331</x:v>
      </x:c>
      <x:c r="J23" s="118" t="n">
        <x:f>'Schedules'!G46</x:f>
        <x:v>732.7474177533331</x:v>
      </x:c>
      <x:c r="K23" s="118" t="n">
        <x:f>'Schedules'!H46</x:f>
        <x:v>2951.9422532599992</x:v>
      </x:c>
      <x:c r="L23" s="175" t="n">
        <x:f>'Schedules'!I46</x:f>
        <x:v>782.4434480020235</x:v>
      </x:c>
      <x:c r="M23" s="118" t="n">
        <x:f>'Schedules'!J46</x:f>
        <x:v>782.4434480020235</x:v>
      </x:c>
      <x:c r="N23" s="118" t="n">
        <x:f>'Schedules'!K46</x:f>
        <x:v>782.4434480020235</x:v>
      </x:c>
      <x:c r="O23" s="118" t="n">
        <x:f>'Schedules'!L46</x:f>
        <x:v>782.4434480020235</x:v>
      </x:c>
      <x:c r="P23" s="118" t="n">
        <x:f>'Schedules'!M46</x:f>
        <x:v>3129.773792008094</x:v>
      </x:c>
      <x:c r="Q23" s="175" t="n">
        <x:f>'Schedules'!I30</x:f>
        <x:v>3494.942605235499</x:v>
      </x:c>
      <x:c r="R23" s="118" t="n">
        <x:f>'Schedules'!J30</x:f>
        <x:v>3908.5633441244227</x:v>
      </x:c>
      <x:c r="S23" s="118" t="n">
        <x:f>'Schedules'!K30</x:f>
        <x:v>4351.489033697431</x:v>
      </x:c>
      <x:c r="T23" s="118" t="n">
        <x:f>'Schedules'!L30</x:f>
        <x:v>4821.005163891389</x:v>
      </x:c>
      <x:c r="U23" s="118" t="n">
        <x:f>'Schedules'!M30</x:f>
        <x:v>5316.088105890791</x:v>
      </x:c>
      <x:c r="V23" s="118" t="n">
        <x:f>'Schedules'!N30</x:f>
        <x:v>5835.698297800484</x:v>
      </x:c>
      <x:c r="W23" s="118" t="n">
        <x:f>'Schedules'!O30</x:f>
        <x:v>6381.623934406015</x:v>
      </x:c>
    </x:row>
    <x:row r="24" ht="19" customHeight="1">
      <x:c r="A24" s="117"/>
      <x:c r="B24" s="117"/>
      <x:c r="C24" s="117" t="str">
        <x:v>Finance costs</x:v>
      </x:c>
      <x:c r="D24" s="118" t="n">
        <x:f>'Schedules'!D31</x:f>
        <x:v>124.5</x:v>
      </x:c>
      <x:c r="E24" s="118" t="n">
        <x:f>'Schedules'!E31</x:f>
        <x:v>114.3</x:v>
      </x:c>
      <x:c r="F24" s="118" t="n">
        <x:f>'Schedules'!F31</x:f>
        <x:v>249.9</x:v>
      </x:c>
      <x:c r="G24" s="175" t="n">
        <x:f>'Schedules'!D47</x:f>
        <x:v>59.1</x:v>
      </x:c>
      <x:c r="H24" s="118" t="n">
        <x:f>'Schedules'!E47</x:f>
        <x:v>53.426786418433345</x:v>
      </x:c>
      <x:c r="I24" s="118" t="n">
        <x:f>'Schedules'!F47</x:f>
        <x:v>53.426786418433345</x:v>
      </x:c>
      <x:c r="J24" s="118" t="n">
        <x:f>'Schedules'!G47</x:f>
        <x:v>53.426786418433345</x:v>
      </x:c>
      <x:c r="K24" s="118" t="n">
        <x:f>'Schedules'!H47</x:f>
        <x:v>219.38035925530005</x:v>
      </x:c>
      <x:c r="L24" s="175" t="n">
        <x:f>'Schedules'!I47</x:f>
        <x:v>58.64239626120532</x:v>
      </x:c>
      <x:c r="M24" s="118" t="n">
        <x:f>'Schedules'!J47</x:f>
        <x:v>58.64239626120532</x:v>
      </x:c>
      <x:c r="N24" s="118" t="n">
        <x:f>'Schedules'!K47</x:f>
        <x:v>58.64239626120532</x:v>
      </x:c>
      <x:c r="O24" s="118" t="n">
        <x:f>'Schedules'!L47</x:f>
        <x:v>58.64239626120532</x:v>
      </x:c>
      <x:c r="P24" s="118" t="n">
        <x:f>'Schedules'!M47</x:f>
        <x:v>234.56958504482128</x:v>
      </x:c>
      <x:c r="Q24" s="175" t="n">
        <x:f>'Schedules'!I31</x:f>
        <x:v>252.07352132304095</x:v>
      </x:c>
      <x:c r="R24" s="118" t="n">
        <x:f>'Schedules'!J31</x:f>
        <x:v>271.52870672112977</x:v>
      </x:c>
      <x:c r="S24" s="118" t="n">
        <x:f>'Schedules'!K31</x:f>
        <x:v>292.3746285240212</x:v>
      </x:c>
      <x:c r="T24" s="118" t="n">
        <x:f>'Schedules'!L31</x:f>
        <x:v>314.1315003539819</x:v>
      </x:c>
      <x:c r="U24" s="118" t="n">
        <x:f>'Schedules'!M31</x:f>
        <x:v>336.2946933916661</x:v>
      </x:c>
      <x:c r="V24" s="118" t="n">
        <x:f>'Schedules'!N31</x:f>
        <x:v>358.63235983438113</x:v>
      </x:c>
      <x:c r="W24" s="118" t="n">
        <x:f>'Schedules'!O31</x:f>
        <x:v>380.9669197141079</x:v>
      </x:c>
    </x:row>
    <x:row r="25" ht="19" customHeight="1">
      <x:c r="A25" s="117"/>
      <x:c r="B25" s="117"/>
      <x:c r="C25" s="141" t="str">
        <x:v>Profit before tax</x:v>
      </x:c>
      <x:c r="D25" s="159" t="n">
        <x:f>'Schedules'!D32</x:f>
        <x:v>16177.5</x:v>
      </x:c>
      <x:c r="E25" s="159" t="n">
        <x:f>'Schedules'!E32</x:f>
        <x:v>18869.5</x:v>
      </x:c>
      <x:c r="F25" s="159" t="n">
        <x:f>'Schedules'!F32</x:f>
        <x:v>20792.7</x:v>
      </x:c>
      <x:c r="G25" s="177" t="n">
        <x:f>'Schedules'!D48</x:f>
        <x:v>5722.1</x:v>
      </x:c>
      <x:c r="H25" s="159" t="n">
        <x:f>'Schedules'!E48</x:f>
        <x:v>6012.162011756545</x:v>
      </x:c>
      <x:c r="I25" s="159" t="n">
        <x:f>'Schedules'!F48</x:f>
        <x:v>5673.94806764287</x:v>
      </x:c>
      <x:c r="J25" s="159" t="n">
        <x:f>'Schedules'!G48</x:f>
        <x:v>5363.7241387047725</x:v>
      </x:c>
      <x:c r="K25" s="159" t="n">
        <x:f>'Schedules'!H48</x:f>
        <x:v>22771.93421810419</x:v>
      </x:c>
      <x:c r="L25" s="177" t="n">
        <x:f>'Schedules'!I48</x:f>
        <x:v>5921.997290579829</x:v>
      </x:c>
      <x:c r="M25" s="159" t="n">
        <x:f>'Schedules'!J48</x:f>
        <x:v>6492.790996020555</x:v>
      </x:c>
      <x:c r="N25" s="159" t="n">
        <x:f>'Schedules'!K48</x:f>
        <x:v>6127.22227213034</x:v>
      </x:c>
      <x:c r="O25" s="159" t="n">
        <x:f>'Schedules'!L48</x:f>
        <x:v>5791.907398820468</x:v>
      </x:c>
      <x:c r="P25" s="159" t="n">
        <x:f>'Schedules'!M48</x:f>
        <x:v>24333.91795755119</x:v>
      </x:c>
      <x:c r="Q25" s="177" t="n">
        <x:f>'Schedules'!I32</x:f>
        <x:v>26600.102222703626</x:v>
      </x:c>
      <x:c r="R25" s="159" t="n">
        <x:f>'Schedules'!J32</x:f>
        <x:v>28927.37254766646</x:v>
      </x:c>
      <x:c r="S25" s="159" t="n">
        <x:f>'Schedules'!K32</x:f>
        <x:v>31217.072991520443</x:v>
      </x:c>
      <x:c r="T25" s="159" t="n">
        <x:f>'Schedules'!L32</x:f>
        <x:v>33471.96045762673</x:v>
      </x:c>
      <x:c r="U25" s="159" t="n">
        <x:f>'Schedules'!M32</x:f>
        <x:v>35635.161117484284</x:v>
      </x:c>
      <x:c r="V25" s="159" t="n">
        <x:f>'Schedules'!N32</x:f>
        <x:v>37792.2832410631</x:v>
      </x:c>
      <x:c r="W25" s="159" t="n">
        <x:f>'Schedules'!O32</x:f>
        <x:v>39923.64783563913</x:v>
      </x:c>
    </x:row>
    <x:row r="26" ht="19" customHeight="1">
      <x:c r="A26" s="117"/>
      <x:c r="B26" s="117"/>
      <x:c r="C26" s="117" t="str">
        <x:v>Tax expense</x:v>
      </x:c>
      <x:c r="D26" s="118" t="n">
        <x:f>'Schedules'!D33</x:f>
        <x:v>4165.3</x:v>
      </x:c>
      <x:c r="E26" s="118" t="n">
        <x:f>'Schedules'!E33</x:f>
        <x:v>4725.1</x:v>
      </x:c>
      <x:c r="F26" s="118" t="n">
        <x:f>'Schedules'!F33</x:f>
        <x:v>5272.5</x:v>
      </x:c>
      <x:c r="G26" s="175" t="n">
        <x:f>'Schedules'!D49</x:f>
        <x:v>1436.9</x:v>
      </x:c>
      <x:c r="H26" s="118" t="n">
        <x:f>'Schedules'!E49</x:f>
        <x:v>1513.2611783591224</x:v>
      </x:c>
      <x:c r="I26" s="118" t="n">
        <x:f>'Schedules'!F49</x:f>
        <x:v>1428.1327286257103</x:v>
      </x:c>
      <x:c r="J26" s="118" t="n">
        <x:f>'Schedules'!G49</x:f>
        <x:v>1350.0493657119912</x:v>
      </x:c>
      <x:c r="K26" s="118" t="n">
        <x:f>'Schedules'!H49</x:f>
        <x:v>5728.343272696824</x:v>
      </x:c>
      <x:c r="L26" s="175" t="n">
        <x:f>'Schedules'!I49</x:f>
        <x:v>1490.5667180389428</x:v>
      </x:c>
      <x:c r="M26" s="118" t="n">
        <x:f>'Schedules'!J49</x:f>
        <x:v>1634.2354936983736</x:v>
      </x:c>
      <x:c r="N26" s="118" t="n">
        <x:f>'Schedules'!K49</x:f>
        <x:v>1542.2218458952063</x:v>
      </x:c>
      <x:c r="O26" s="118" t="n">
        <x:f>'Schedules'!L49</x:f>
        <x:v>1457.8230922831117</x:v>
      </x:c>
      <x:c r="P26" s="118" t="n">
        <x:f>'Schedules'!M49</x:f>
        <x:v>6124.847149915635</x:v>
      </x:c>
      <x:c r="Q26" s="175" t="n">
        <x:f>'Schedules'!I33</x:f>
        <x:v>6695.245729454502</x:v>
      </x:c>
      <x:c r="R26" s="118" t="n">
        <x:f>'Schedules'!J33</x:f>
        <x:v>7281.019670247647</x:v>
      </x:c>
      <x:c r="S26" s="118" t="n">
        <x:f>'Schedules'!K33</x:f>
        <x:v>7857.3372719656945</x:v>
      </x:c>
      <x:c r="T26" s="118" t="n">
        <x:f>'Schedules'!L33</x:f>
        <x:v>8424.892447184648</x:v>
      </x:c>
      <x:c r="U26" s="118" t="n">
        <x:f>'Schedules'!M33</x:f>
        <x:v>8969.370053270794</x:v>
      </x:c>
      <x:c r="V26" s="118" t="n">
        <x:f>'Schedules'!N33</x:f>
        <x:v>9512.317691775583</x:v>
      </x:c>
      <x:c r="W26" s="118" t="n">
        <x:f>'Schedules'!O33</x:f>
        <x:v>10048.782160230368</x:v>
      </x:c>
    </x:row>
    <x:row r="27" ht="19" customHeight="1">
      <x:c r="A27" s="117"/>
      <x:c r="B27" s="117"/>
      <x:c r="C27" s="141" t="str">
        <x:v>Profit after tax</x:v>
      </x:c>
      <x:c r="D27" s="159" t="n">
        <x:f>'Schedules'!D34</x:f>
        <x:v>12012.2</x:v>
      </x:c>
      <x:c r="E27" s="159" t="n">
        <x:f>'Schedules'!E34</x:f>
        <x:v>14144.4</x:v>
      </x:c>
      <x:c r="F27" s="159" t="n">
        <x:f>'Schedules'!F34</x:f>
        <x:v>15520.2</x:v>
      </x:c>
      <x:c r="G27" s="177" t="n">
        <x:f>'Schedules'!D50</x:f>
        <x:v>4285.200000000001</x:v>
      </x:c>
      <x:c r="H27" s="159" t="n">
        <x:f>'Schedules'!E50</x:f>
        <x:v>4498.900833397423</x:v>
      </x:c>
      <x:c r="I27" s="159" t="n">
        <x:f>'Schedules'!F50</x:f>
        <x:v>4245.81533901716</x:v>
      </x:c>
      <x:c r="J27" s="159" t="n">
        <x:f>'Schedules'!G50</x:f>
        <x:v>4013.674772992781</x:v>
      </x:c>
      <x:c r="K27" s="159" t="n">
        <x:f>'Schedules'!H50</x:f>
        <x:v>17043.590945407366</x:v>
      </x:c>
      <x:c r="L27" s="177" t="n">
        <x:f>'Schedules'!I50</x:f>
        <x:v>4431.430572540886</x:v>
      </x:c>
      <x:c r="M27" s="159" t="n">
        <x:f>'Schedules'!J50</x:f>
        <x:v>4858.555502322181</x:v>
      </x:c>
      <x:c r="N27" s="159" t="n">
        <x:f>'Schedules'!K50</x:f>
        <x:v>4585.000426235133</x:v>
      </x:c>
      <x:c r="O27" s="159" t="n">
        <x:f>'Schedules'!L50</x:f>
        <x:v>4334.0843065373565</x:v>
      </x:c>
      <x:c r="P27" s="159" t="n">
        <x:f>'Schedules'!M50</x:f>
        <x:v>18209.070807635555</x:v>
      </x:c>
      <x:c r="Q27" s="177" t="n">
        <x:f>'Schedules'!I34</x:f>
        <x:v>19904.856493249124</x:v>
      </x:c>
      <x:c r="R27" s="159" t="n">
        <x:f>'Schedules'!J34</x:f>
        <x:v>21646.352877418813</x:v>
      </x:c>
      <x:c r="S27" s="159" t="n">
        <x:f>'Schedules'!K34</x:f>
        <x:v>23359.73571955475</x:v>
      </x:c>
      <x:c r="T27" s="159" t="n">
        <x:f>'Schedules'!L34</x:f>
        <x:v>25047.068010442083</x:v>
      </x:c>
      <x:c r="U27" s="159" t="n">
        <x:f>'Schedules'!M34</x:f>
        <x:v>26665.79106421349</x:v>
      </x:c>
      <x:c r="V27" s="159" t="n">
        <x:f>'Schedules'!N34</x:f>
        <x:v>28279.965549287517</x:v>
      </x:c>
      <x:c r="W27" s="159" t="n">
        <x:f>'Schedules'!O34</x:f>
        <x:v>29874.865675408764</x:v>
      </x:c>
    </x:row>
    <x:row r="28" ht="19" customHeight="1">
      <x:c r="A28" s="117"/>
      <x:c r="B28" s="117"/>
      <x:c r="C28" s="134" t="str">
        <x:v>Net margin</x:v>
      </x:c>
      <x:c r="D28" s="135" t="n">
        <x:f>D27/D7</x:f>
        <x:v>0.20537501859320798</x:v>
      </x:c>
      <x:c r="E28" s="135" t="n">
        <x:f>E27/E7</x:f>
        <x:v>0.2206907312202086</x:v>
      </x:c>
      <x:c r="F28" s="135" t="n">
        <x:f>F27/F7</x:f>
        <x:v>0.22398741530224203</x:v>
      </x:c>
      <x:c r="G28" s="176" t="n">
        <x:f>G27/G7</x:f>
        <x:v>0.23627100701336515</x:v>
      </x:c>
      <x:c r="H28" s="135" t="n">
        <x:f>H27/H7</x:f>
        <x:v>0.21775618436522973</x:v>
      </x:c>
      <x:c r="I28" s="135" t="n">
        <x:f>I27/I7</x:f>
        <x:v>0.21887593035269787</x:v>
      </x:c>
      <x:c r="J28" s="135" t="n">
        <x:f>J27/J7</x:f>
        <x:v>0.22003924498119334</x:v>
      </x:c>
      <x:c r="K28" s="135" t="n">
        <x:f>K27/K7</x:f>
        <x:v>0.22297839797386185</x:v>
      </x:c>
      <x:c r="L28" s="176" t="n">
        <x:f>L27/L7</x:f>
        <x:v>0.21936207048672596</x:v>
      </x:c>
      <x:c r="M28" s="135" t="n">
        <x:f>M27/M7</x:f>
        <x:v>0.21756735010680212</x:v>
      </x:c>
      <x:c r="N28" s="135" t="n">
        <x:f>N27/N7</x:f>
        <x:v>0.21867481111563677</x:v>
      </x:c>
      <x:c r="O28" s="135" t="n">
        <x:f>O27/O7</x:f>
        <x:v>0.21982536276438952</x:v>
      </x:c>
      <x:c r="P28" s="135" t="n">
        <x:f>P27/P7</x:f>
        <x:v>0.21881705468457804</x:v>
      </x:c>
      <x:c r="Q28" s="176" t="n">
        <x:f>Q27/Q7</x:f>
        <x:v>0.2196808952184836</x:v>
      </x:c>
      <x:c r="R28" s="135" t="n">
        <x:f>R27/R7</x:f>
        <x:v>0.22068623883718733</x:v>
      </x:c>
      <x:c r="S28" s="135" t="n">
        <x:f>S27/S7</x:f>
        <x:v>0.22174403087410577</x:v>
      </x:c>
      <x:c r="T28" s="135" t="n">
        <x:f>T27/T7</x:f>
        <x:v>0.22284795357459125</x:v>
      </x:c>
      <x:c r="U28" s="135" t="n">
        <x:f>U27/U7</x:f>
        <x:v>0.22404652651925433</x:v>
      </x:c>
      <x:c r="V28" s="135" t="n">
        <x:f>V27/V7</x:f>
        <x:v>0.2252797309275821</x:v>
      </x:c>
      <x:c r="W28" s="135" t="n">
        <x:f>W27/W7</x:f>
        <x:v>0.22657652754162963</x:v>
      </x:c>
    </x:row>
    <x:row r="29" ht="19" customHeight="1">
      <x:c r="A29" s="117"/>
      <x:c r="B29" s="117"/>
      <x:c r="C29" s="117"/>
      <x:c r="D29" s="118"/>
      <x:c r="E29" s="118"/>
      <x:c r="F29" s="118"/>
      <x:c r="G29" s="175"/>
      <x:c r="H29" s="118"/>
      <x:c r="I29" s="118"/>
      <x:c r="J29" s="118"/>
      <x:c r="K29" s="118"/>
      <x:c r="L29" s="175"/>
      <x:c r="M29" s="118"/>
      <x:c r="N29" s="118"/>
      <x:c r="O29" s="118"/>
      <x:c r="P29" s="118"/>
      <x:c r="Q29" s="175"/>
      <x:c r="R29" s="118"/>
      <x:c r="S29" s="118"/>
      <x:c r="T29" s="118"/>
      <x:c r="U29" s="118"/>
      <x:c r="V29" s="118"/>
      <x:c r="W29" s="118"/>
    </x:row>
    <x:row r="30" ht="19" customHeight="1">
      <x:c r="A30" s="117"/>
      <x:c r="B30" s="117"/>
      <x:c r="C30" s="117" t="str">
        <x:v>Shares (million)</x:v>
      </x:c>
      <x:c r="D30" s="147" t="n">
        <x:f>'Schedules'!D35</x:f>
        <x:v>21.249302</x:v>
      </x:c>
      <x:c r="E30" s="147" t="n">
        <x:f>'Schedules'!E35</x:f>
        <x:v>21.249302</x:v>
      </x:c>
      <x:c r="F30" s="147" t="n">
        <x:f>'Schedules'!F35</x:f>
        <x:v>21.249302</x:v>
      </x:c>
      <x:c r="G30" s="178" t="n">
        <x:f>'Schedules'!D51</x:f>
        <x:v>21.249302</x:v>
      </x:c>
      <x:c r="H30" s="147" t="n">
        <x:f>'Schedules'!E51</x:f>
        <x:v>21.249302</x:v>
      </x:c>
      <x:c r="I30" s="147" t="n">
        <x:f>'Schedules'!F51</x:f>
        <x:v>21.249302</x:v>
      </x:c>
      <x:c r="J30" s="147" t="n">
        <x:f>'Schedules'!G51</x:f>
        <x:v>21.249302</x:v>
      </x:c>
      <x:c r="K30" s="147" t="n">
        <x:f>'Schedules'!H51</x:f>
        <x:v>21.249302</x:v>
      </x:c>
      <x:c r="L30" s="178" t="n">
        <x:f>'Schedules'!I51</x:f>
        <x:v>21.249302</x:v>
      </x:c>
      <x:c r="M30" s="147" t="n">
        <x:f>'Schedules'!J51</x:f>
        <x:v>21.249302</x:v>
      </x:c>
      <x:c r="N30" s="147" t="n">
        <x:f>'Schedules'!K51</x:f>
        <x:v>21.249302</x:v>
      </x:c>
      <x:c r="O30" s="147" t="n">
        <x:f>'Schedules'!L51</x:f>
        <x:v>21.249302</x:v>
      </x:c>
      <x:c r="P30" s="147" t="n">
        <x:f>'Schedules'!M51</x:f>
        <x:v>21.249302</x:v>
      </x:c>
      <x:c r="Q30" s="178" t="n">
        <x:f>'Schedules'!I35</x:f>
        <x:v>21.249302</x:v>
      </x:c>
      <x:c r="R30" s="147" t="n">
        <x:f>'Schedules'!J35</x:f>
        <x:v>21.249302</x:v>
      </x:c>
      <x:c r="S30" s="147" t="n">
        <x:f>'Schedules'!K35</x:f>
        <x:v>21.249302</x:v>
      </x:c>
      <x:c r="T30" s="147" t="n">
        <x:f>'Schedules'!L35</x:f>
        <x:v>21.249302</x:v>
      </x:c>
      <x:c r="U30" s="147" t="n">
        <x:f>'Schedules'!M35</x:f>
        <x:v>21.249302</x:v>
      </x:c>
      <x:c r="V30" s="147" t="n">
        <x:f>'Schedules'!N35</x:f>
        <x:v>21.249302</x:v>
      </x:c>
      <x:c r="W30" s="147" t="n">
        <x:f>'Schedules'!O35</x:f>
        <x:v>21.249302</x:v>
      </x:c>
    </x:row>
    <x:row r="31" ht="19" customHeight="1">
      <x:c r="A31" s="117"/>
      <x:c r="B31" s="117"/>
      <x:c r="C31" s="141" t="str">
        <x:v>EPS (INR)</x:v>
      </x:c>
      <x:c r="D31" s="160" t="n">
        <x:f>'Schedules'!D36</x:f>
        <x:v>565.28</x:v>
      </x:c>
      <x:c r="E31" s="160" t="n">
        <x:f>'Schedules'!E36</x:f>
        <x:v>665.62</x:v>
      </x:c>
      <x:c r="F31" s="160" t="n">
        <x:f>'Schedules'!F36</x:f>
        <x:v>730.36</x:v>
      </x:c>
      <x:c r="G31" s="179" t="n">
        <x:f>'Schedules'!D52</x:f>
        <x:v>201.66</x:v>
      </x:c>
      <x:c r="H31" s="160" t="n">
        <x:f>'Schedules'!E52</x:f>
        <x:v>211.71993477232445</x:v>
      </x:c>
      <x:c r="I31" s="160" t="n">
        <x:f>'Schedules'!F52</x:f>
        <x:v>199.80963793620893</x:v>
      </x:c>
      <x:c r="J31" s="160" t="n">
        <x:f>'Schedules'!G52</x:f>
        <x:v>188.88501716398878</x:v>
      </x:c>
      <x:c r="K31" s="160" t="n">
        <x:f>'Schedules'!H52</x:f>
        <x:v>802.0776845002893</x:v>
      </x:c>
      <x:c r="L31" s="179" t="n">
        <x:f>'Schedules'!I52</x:f>
        <x:v>208.5447593780203</x:v>
      </x:c>
      <x:c r="M31" s="160" t="n">
        <x:f>'Schedules'!J52</x:f>
        <x:v>228.64541632107168</x:v>
      </x:c>
      <x:c r="N31" s="160" t="n">
        <x:f>'Schedules'!K52</x:f>
        <x:v>215.7718134099244</x:v>
      </x:c>
      <x:c r="O31" s="160" t="n">
        <x:f>'Schedules'!L52</x:f>
        <x:v>203.96360814756912</x:v>
      </x:c>
      <x:c r="P31" s="160" t="n">
        <x:f>'Schedules'!M52</x:f>
        <x:v>856.9255972565854</x:v>
      </x:c>
      <x:c r="Q31" s="179" t="n">
        <x:f>'Schedules'!I36</x:f>
        <x:v>936.7298979161351</x:v>
      </x:c>
      <x:c r="R31" s="160" t="n">
        <x:f>'Schedules'!J36</x:f>
        <x:v>1018.6853609317997</x:v>
      </x:c>
      <x:c r="S31" s="160" t="n">
        <x:f>'Schedules'!K36</x:f>
        <x:v>1099.3177902763464</x:v>
      </x:c>
      <x:c r="T31" s="160" t="n">
        <x:f>'Schedules'!L36</x:f>
        <x:v>1178.7242710580367</x:v>
      </x:c>
      <x:c r="U31" s="160" t="n">
        <x:f>'Schedules'!M36</x:f>
        <x:v>1254.9019758020047</x:v>
      </x:c>
      <x:c r="V31" s="160" t="n">
        <x:f>'Schedules'!N36</x:f>
        <x:v>1330.8656232231776</x:v>
      </x:c>
      <x:c r="W31" s="160" t="n">
        <x:f>'Schedules'!O36</x:f>
        <x:v>1405.922212193547</x:v>
      </x:c>
    </x:row>
    <x:row r="32" ht="19" customHeight="1">
      <x:c r="A32" s="117"/>
      <x:c r="B32" s="117"/>
      <x:c r="C32" s="117"/>
      <x:c r="D32" s="118"/>
      <x:c r="E32" s="118"/>
      <x:c r="F32" s="118"/>
      <x:c r="G32" s="118"/>
      <x:c r="H32" s="118"/>
      <x:c r="I32" s="118"/>
      <x:c r="J32" s="118"/>
      <x:c r="K32" s="118"/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</x:row>
    <x:row r="33" ht="19" customHeight="1">
      <x:c r="A33" s="117"/>
      <x:c r="B33" s="117"/>
      <x:c r="C33" s="117"/>
      <x:c r="D33" s="118"/>
      <x:c r="E33" s="118"/>
      <x:c r="F33" s="118"/>
      <x:c r="G33" s="118"/>
      <x:c r="H33" s="118"/>
      <x:c r="I33" s="118"/>
      <x:c r="J33" s="118"/>
      <x:c r="K33" s="118"/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</x:row>
    <x:row r="34" ht="19" customHeight="1">
      <x:c r="A34" s="117"/>
      <x:c r="B34" s="117"/>
      <x:c r="C34" s="117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05574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3.5" hidden="0" customWidth="1"/>
    <x:col min="15" max="15" width="13.5" hidden="0" customWidth="1"/>
  </x:cols>
  <x:sheetData>
    <x:row r="1" ht="19" customHeight="1">
      <x:c r="A1" s="117"/>
      <x:c r="B1" s="117"/>
      <x:c r="C1" s="117"/>
      <x:c r="D1" s="117"/>
      <x:c r="E1" s="117"/>
      <x:c r="F1" s="117"/>
      <x:c r="G1" s="117"/>
      <x:c r="H1" s="117"/>
      <x:c r="I1" s="117"/>
      <x:c r="J1" s="117"/>
      <x:c r="K1" s="117"/>
      <x:c r="L1" s="117"/>
      <x:c r="M1" s="117"/>
      <x:c r="N1" s="117"/>
      <x:c r="O1" s="117"/>
    </x:row>
    <x:row r="2" ht="19" customHeight="1">
      <x:c r="A2" s="117"/>
      <x:c r="B2" s="117"/>
      <x:c r="C2" s="169" t="str">
        <x:v>Abbott India - Balance sheet</x:v>
      </x:c>
      <x:c r="D2" s="117"/>
      <x:c r="E2" s="117"/>
      <x:c r="F2" s="117"/>
      <x:c r="G2" s="117"/>
      <x:c r="H2" s="117"/>
      <x:c r="I2" s="117"/>
      <x:c r="J2" s="117"/>
      <x:c r="K2" s="117"/>
      <x:c r="L2" s="117"/>
      <x:c r="M2" s="117"/>
      <x:c r="N2" s="117"/>
      <x:c r="O2" s="117"/>
    </x:row>
    <x:row r="3" ht="19" customHeight="1">
      <x:c r="A3" s="117"/>
      <x:c r="B3" s="117"/>
      <x:c r="C3" s="134" t="str">
        <x:v>INR million, except per-share figures, ratios and days. March year-end.</x:v>
      </x:c>
      <x:c r="D3" s="117"/>
      <x:c r="E3" s="117"/>
      <x:c r="F3" s="117"/>
      <x:c r="G3" s="117"/>
      <x:c r="H3" s="117"/>
      <x:c r="I3" s="117"/>
      <x:c r="J3" s="117"/>
      <x:c r="K3" s="117"/>
      <x:c r="L3" s="117"/>
      <x:c r="M3" s="117"/>
      <x:c r="N3" s="117"/>
      <x:c r="O3" s="117"/>
    </x:row>
    <x:row r="4" ht="19" customHeight="1">
      <x:c r="A4" s="117"/>
      <x:c r="B4" s="117"/>
      <x:c r="C4" s="117"/>
      <x:c r="D4" s="117"/>
      <x:c r="E4" s="117"/>
      <x:c r="F4" s="117"/>
      <x:c r="G4" s="117"/>
      <x:c r="H4" s="117"/>
      <x:c r="I4" s="117"/>
      <x:c r="J4" s="117"/>
      <x:c r="K4" s="117"/>
      <x:c r="L4" s="117"/>
      <x:c r="M4" s="117"/>
      <x:c r="N4" s="117"/>
      <x:c r="O4" s="117"/>
    </x:row>
    <x:row r="5" ht="27" customHeight="1">
      <x:c r="A5" s="117"/>
      <x:c r="B5" s="117"/>
      <x:c r="C5" s="123" t="str">
        <x:v>Financial year</x:v>
      </x:c>
      <x:c r="D5" s="124" t="str">
        <x:v>FY24A</x:v>
      </x:c>
      <x:c r="E5" s="124" t="str">
        <x:v>FY25A</x:v>
      </x:c>
      <x:c r="F5" s="124" t="str">
        <x:v>FY26A</x:v>
      </x:c>
      <x:c r="G5" s="174" t="str">
        <x:v>FY27E</x:v>
      </x:c>
      <x:c r="H5" s="124" t="str">
        <x:v>FY28E</x:v>
      </x:c>
      <x:c r="I5" s="124" t="str">
        <x:v>FY29E</x:v>
      </x:c>
      <x:c r="J5" s="124" t="str">
        <x:v>FY30E</x:v>
      </x:c>
      <x:c r="K5" s="124" t="str">
        <x:v>FY31E</x:v>
      </x:c>
      <x:c r="L5" s="124" t="str">
        <x:v>FY32E</x:v>
      </x:c>
      <x:c r="M5" s="124" t="str">
        <x:v>FY33E</x:v>
      </x:c>
      <x:c r="N5" s="124" t="str">
        <x:v>FY34E</x:v>
      </x:c>
      <x:c r="O5" s="124" t="str">
        <x:v>FY35E</x:v>
      </x:c>
    </x:row>
    <x:row r="6" ht="19" customHeight="1">
      <x:c r="A6" s="117"/>
      <x:c r="B6" s="117"/>
      <x:c r="C6" s="172" t="str">
        <x:v>Assets</x:v>
      </x:c>
      <x:c r="D6" s="173"/>
      <x:c r="E6" s="173"/>
      <x:c r="F6" s="173"/>
      <x:c r="G6" s="180"/>
      <x:c r="H6" s="173"/>
      <x:c r="I6" s="173"/>
      <x:c r="J6" s="173"/>
      <x:c r="K6" s="173"/>
      <x:c r="L6" s="173"/>
      <x:c r="M6" s="173"/>
      <x:c r="N6" s="173"/>
      <x:c r="O6" s="173"/>
    </x:row>
    <x:row r="7" ht="19" customHeight="1">
      <x:c r="A7" s="117"/>
      <x:c r="B7" s="117"/>
      <x:c r="C7" s="117"/>
      <x:c r="D7" s="118"/>
      <x:c r="E7" s="118"/>
      <x:c r="F7" s="118"/>
      <x:c r="G7" s="175"/>
      <x:c r="H7" s="118"/>
      <x:c r="I7" s="118"/>
      <x:c r="J7" s="118"/>
      <x:c r="K7" s="118"/>
      <x:c r="L7" s="118"/>
      <x:c r="M7" s="118"/>
      <x:c r="N7" s="118"/>
      <x:c r="O7" s="118"/>
    </x:row>
    <x:row r="8" ht="19" customHeight="1">
      <x:c r="A8" s="117"/>
      <x:c r="B8" s="117"/>
      <x:c r="C8" s="117" t="str">
        <x:v>Owned assets</x:v>
      </x:c>
      <x:c r="D8" s="118" t="n">
        <x:f>'Schedules'!D61</x:f>
        <x:v>1639.6</x:v>
      </x:c>
      <x:c r="E8" s="118" t="n">
        <x:f>'Schedules'!E61</x:f>
        <x:v>1581.5</x:v>
      </x:c>
      <x:c r="F8" s="118" t="n">
        <x:f>'Schedules'!F61</x:f>
        <x:v>1715</x:v>
      </x:c>
      <x:c r="G8" s="175" t="n">
        <x:f>'Schedules'!G61</x:f>
        <x:v>1853.5471988844997</x:v>
      </x:c>
      <x:c r="H8" s="118" t="n">
        <x:f>'Schedules'!H61</x:f>
        <x:v>2007.0982937970334</x:v>
      </x:c>
      <x:c r="I8" s="118" t="n">
        <x:f>'Schedules'!I61</x:f>
        <x:v>2176.5093200762703</x:v>
      </x:c>
      <x:c r="J8" s="118" t="n">
        <x:f>'Schedules'!J61</x:f>
        <x:v>2359.1527518179837</x:v>
      </x:c>
      <x:c r="K8" s="118" t="n">
        <x:f>'Schedules'!K61</x:f>
        <x:v>2550.99884904247</x:v>
      </x:c>
      <x:c r="L8" s="118" t="n">
        <x:f>'Schedules'!L61</x:f>
        <x:v>2748.8896222910284</x:v>
      </x:c>
      <x:c r="M8" s="118" t="n">
        <x:f>'Schedules'!M61</x:f>
        <x:v>2948.9313282215476</x:v>
      </x:c>
      <x:c r="N8" s="118" t="n">
        <x:f>'Schedules'!N61</x:f>
        <x:v>3150.000867610952</x:v>
      </x:c>
      <x:c r="O8" s="118" t="n">
        <x:f>'Schedules'!O61</x:f>
        <x:v>3350.676562402148</x:v>
      </x:c>
    </x:row>
    <x:row r="9" ht="19" customHeight="1">
      <x:c r="A9" s="117"/>
      <x:c r="B9" s="117"/>
      <x:c r="C9" s="117" t="str">
        <x:v>Right-of-use assets</x:v>
      </x:c>
      <x:c r="D9" s="118" t="n">
        <x:f>'Schedules'!D67</x:f>
        <x:v>710.9</x:v>
      </x:c>
      <x:c r="E9" s="118" t="n">
        <x:f>'Schedules'!E67</x:f>
        <x:v>1959.1</x:v>
      </x:c>
      <x:c r="F9" s="118" t="n">
        <x:f>'Schedules'!F67</x:f>
        <x:v>1653.3</x:v>
      </x:c>
      <x:c r="G9" s="175" t="n">
        <x:f>'Schedules'!G67</x:f>
        <x:v>1736.8094115474998</x:v>
      </x:c>
      <x:c r="H9" s="118" t="n">
        <x:f>'Schedules'!H67</x:f>
        <x:v>1843.5107849275014</x:v>
      </x:c>
      <x:c r="I9" s="118" t="n">
        <x:f>'Schedules'!I67</x:f>
        <x:v>1971.5853827831156</x:v>
      </x:c>
      <x:c r="J9" s="118" t="n">
        <x:f>'Schedules'!J67</x:f>
        <x:v>2116.251643820716</x:v>
      </x:c>
      <x:c r="K9" s="118" t="n">
        <x:f>'Schedules'!K67</x:f>
        <x:v>2271.934480377051</x:v>
      </x:c>
      <x:c r="L9" s="118" t="n">
        <x:f>'Schedules'!L67</x:f>
        <x:v>2434.520468198795</x:v>
      </x:c>
      <x:c r="M9" s="118" t="n">
        <x:f>'Schedules'!M67</x:f>
        <x:v>2599.5137793279396</x:v>
      </x:c>
      <x:c r="N9" s="118" t="n">
        <x:f>'Schedules'!N67</x:f>
        <x:v>2765.597673022802</x:v>
      </x:c>
      <x:c r="O9" s="118" t="n">
        <x:f>'Schedules'!O67</x:f>
        <x:v>2931.244785566628</x:v>
      </x:c>
    </x:row>
    <x:row r="10" ht="19" customHeight="1">
      <x:c r="A10" s="117"/>
      <x:c r="B10" s="117"/>
      <x:c r="C10" s="117" t="str">
        <x:v>Term deposits - non-current</x:v>
      </x:c>
      <x:c r="D10" s="118" t="n">
        <x:f>15060</x:f>
        <x:v>15060</x:v>
      </x:c>
      <x:c r="E10" s="118" t="n">
        <x:f>6720</x:f>
        <x:v>6720</x:v>
      </x:c>
      <x:c r="F10" s="118" t="n">
        <x:f>21780</x:f>
        <x:v>21780</x:v>
      </x:c>
      <x:c r="G10" s="175" t="n">
        <x:f>'Schedules'!G141*'Fin Assumptions'!G38</x:f>
        <x:v>23115.951214814766</x:v>
      </x:c>
      <x:c r="H10" s="118" t="n">
        <x:f>'Schedules'!H141*'Fin Assumptions'!H38</x:f>
        <x:v>25968.55227875902</x:v>
      </x:c>
      <x:c r="I10" s="118" t="n">
        <x:f>'Schedules'!I141*'Fin Assumptions'!I38</x:f>
        <x:v>29241.924815738843</x:v>
      </x:c>
      <x:c r="J10" s="118" t="n">
        <x:f>'Schedules'!J141*'Fin Assumptions'!J38</x:f>
        <x:v>32789.12484515615</x:v>
      </x:c>
      <x:c r="K10" s="118" t="n">
        <x:f>'Schedules'!K141*'Fin Assumptions'!K38</x:f>
        <x:v>36594.983957496675</x:v>
      </x:c>
      <x:c r="L10" s="118" t="n">
        <x:f>'Schedules'!L141*'Fin Assumptions'!L38</x:f>
        <x:v>40657.73234074982</x:v>
      </x:c>
      <x:c r="M10" s="118" t="n">
        <x:f>'Schedules'!M141*'Fin Assumptions'!M38</x:f>
        <x:v>44963.409954060415</x:v>
      </x:c>
      <x:c r="N10" s="118" t="n">
        <x:f>'Schedules'!N141*'Fin Assumptions'!N38</x:f>
        <x:v>49521.01991656254</x:v>
      </x:c>
      <x:c r="O10" s="118" t="n">
        <x:f>'Schedules'!O141*'Fin Assumptions'!O38</x:f>
        <x:v>54326.83497271684</x:v>
      </x:c>
    </x:row>
    <x:row r="11" ht="19" customHeight="1">
      <x:c r="A11" s="117"/>
      <x:c r="B11" s="117"/>
      <x:c r="C11" s="117" t="str">
        <x:v>Other non-current assets</x:v>
      </x:c>
      <x:c r="D11" s="118" t="n">
        <x:f>'Schedules'!D87</x:f>
        <x:v>2066</x:v>
      </x:c>
      <x:c r="E11" s="118" t="n">
        <x:f>'Schedules'!E87</x:f>
        <x:v>1278.6</x:v>
      </x:c>
      <x:c r="F11" s="118" t="n">
        <x:f>'Schedules'!F87</x:f>
        <x:v>2164.1</x:v>
      </x:c>
      <x:c r="G11" s="175" t="n">
        <x:f>'Schedules'!G87</x:f>
        <x:v>2369.5179627649995</x:v>
      </x:c>
      <x:c r="H11" s="118" t="n">
        <x:f>'Schedules'!H87</x:f>
        <x:v>2579.694694503564</x:v>
      </x:c>
      <x:c r="I11" s="118" t="n">
        <x:f>'Schedules'!I87</x:f>
        <x:v>2808.8494025711034</x:v>
      </x:c>
      <x:c r="J11" s="118" t="n">
        <x:f>'Schedules'!J87</x:f>
        <x:v>3040.683201343809</x:v>
      </x:c>
      <x:c r="K11" s="118" t="n">
        <x:f>'Schedules'!K87</x:f>
        <x:v>3265.7104881318373</x:v>
      </x:c>
      <x:c r="L11" s="118" t="n">
        <x:f>'Schedules'!L87</x:f>
        <x:v>3484.255053137877</x:v>
      </x:c>
      <x:c r="M11" s="118" t="n">
        <x:f>'Schedules'!M87</x:f>
        <x:v>3689.58865746833</x:v>
      </x:c>
      <x:c r="N11" s="118" t="n">
        <x:f>'Schedules'!N87</x:f>
        <x:v>3891.5126914357343</x:v>
      </x:c>
      <x:c r="O11" s="118" t="n">
        <x:f>'Schedules'!O87</x:f>
        <x:v>4087.4526853515863</x:v>
      </x:c>
    </x:row>
    <x:row r="12" ht="19" customHeight="1">
      <x:c r="A12" s="117"/>
      <x:c r="B12" s="117"/>
      <x:c r="C12" s="141" t="str">
        <x:v>Total non-current assets</x:v>
      </x:c>
      <x:c r="D12" s="159" t="n">
        <x:f>SUM(D8:D11)</x:f>
        <x:v>19476.5</x:v>
      </x:c>
      <x:c r="E12" s="159" t="n">
        <x:f>SUM(E8:E11)</x:f>
        <x:v>11539.2</x:v>
      </x:c>
      <x:c r="F12" s="159" t="n">
        <x:f>SUM(F8:F11)</x:f>
        <x:v>27312.399999999998</x:v>
      </x:c>
      <x:c r="G12" s="177" t="n">
        <x:f>SUM(G8:G11)</x:f>
        <x:v>29075.825788011767</x:v>
      </x:c>
      <x:c r="H12" s="159" t="n">
        <x:f>SUM(H8:H11)</x:f>
        <x:v>32398.856051987117</x:v>
      </x:c>
      <x:c r="I12" s="159" t="n">
        <x:f>SUM(I8:I11)</x:f>
        <x:v>36198.868921169334</x:v>
      </x:c>
      <x:c r="J12" s="159" t="n">
        <x:f>SUM(J8:J11)</x:f>
        <x:v>40305.212442138654</x:v>
      </x:c>
      <x:c r="K12" s="159" t="n">
        <x:f>SUM(K8:K11)</x:f>
        <x:v>44683.62777504804</x:v>
      </x:c>
      <x:c r="L12" s="159" t="n">
        <x:f>SUM(L8:L11)</x:f>
        <x:v>49325.39748437752</x:v>
      </x:c>
      <x:c r="M12" s="159" t="n">
        <x:f>SUM(M8:M11)</x:f>
        <x:v>54201.443719078234</x:v>
      </x:c>
      <x:c r="N12" s="159" t="n">
        <x:f>SUM(N8:N11)</x:f>
        <x:v>59328.13114863203</x:v>
      </x:c>
      <x:c r="O12" s="159" t="n">
        <x:f>SUM(O8:O11)</x:f>
        <x:v>64696.2090060372</x:v>
      </x:c>
    </x:row>
    <x:row r="13" ht="19" customHeight="1">
      <x:c r="A13" s="117"/>
      <x:c r="B13" s="117"/>
      <x:c r="C13" s="117"/>
      <x:c r="D13" s="118"/>
      <x:c r="E13" s="118"/>
      <x:c r="F13" s="118"/>
      <x:c r="G13" s="175"/>
      <x:c r="H13" s="118"/>
      <x:c r="I13" s="118"/>
      <x:c r="J13" s="118"/>
      <x:c r="K13" s="118"/>
      <x:c r="L13" s="118"/>
      <x:c r="M13" s="118"/>
      <x:c r="N13" s="118"/>
      <x:c r="O13" s="118"/>
    </x:row>
    <x:row r="14" ht="19" customHeight="1">
      <x:c r="A14" s="117"/>
      <x:c r="B14" s="117"/>
      <x:c r="C14" s="172" t="str">
        <x:v>Current assets</x:v>
      </x:c>
      <x:c r="D14" s="173"/>
      <x:c r="E14" s="173"/>
      <x:c r="F14" s="173"/>
      <x:c r="G14" s="180"/>
      <x:c r="H14" s="173"/>
      <x:c r="I14" s="173"/>
      <x:c r="J14" s="173"/>
      <x:c r="K14" s="173"/>
      <x:c r="L14" s="173"/>
      <x:c r="M14" s="173"/>
      <x:c r="N14" s="173"/>
      <x:c r="O14" s="173"/>
    </x:row>
    <x:row r="15" ht="19" customHeight="1">
      <x:c r="A15" s="117"/>
      <x:c r="B15" s="117"/>
      <x:c r="C15" s="117" t="str">
        <x:v>Inventories</x:v>
      </x:c>
      <x:c r="D15" s="118" t="n">
        <x:f>'Schedules'!D85</x:f>
        <x:v>6195.8</x:v>
      </x:c>
      <x:c r="E15" s="118" t="n">
        <x:f>'Schedules'!E85</x:f>
        <x:v>8820.4</x:v>
      </x:c>
      <x:c r="F15" s="118" t="n">
        <x:f>'Schedules'!F85</x:f>
        <x:v>9472.6</x:v>
      </x:c>
      <x:c r="G15" s="175" t="n">
        <x:f>'Schedules'!G85</x:f>
        <x:v>10431.683704414654</x:v>
      </x:c>
      <x:c r="H15" s="118" t="n">
        <x:f>'Schedules'!H85</x:f>
        <x:v>11465.563074377751</x:v>
      </x:c>
      <x:c r="I15" s="118" t="n">
        <x:f>'Schedules'!I85</x:f>
        <x:v>12484.050946115845</x:v>
      </x:c>
      <x:c r="J15" s="118" t="n">
        <x:f>'Schedules'!J85</x:f>
        <x:v>13514.446150736205</x:v>
      </x:c>
      <x:c r="K15" s="118" t="n">
        <x:f>'Schedules'!K85</x:f>
        <x:v>14514.589522593913</x:v>
      </x:c>
      <x:c r="L15" s="118" t="n">
        <x:f>'Schedules'!L85</x:f>
        <x:v>15485.920161052041</x:v>
      </x:c>
      <x:c r="M15" s="118" t="n">
        <x:f>'Schedules'!M85</x:f>
        <x:v>16398.534121439003</x:v>
      </x:c>
      <x:c r="N15" s="118" t="n">
        <x:f>'Schedules'!N85</x:f>
        <x:v>17295.994100954755</x:v>
      </x:c>
      <x:c r="O15" s="118" t="n">
        <x:f>'Schedules'!O85</x:f>
        <x:v>18166.8577592869</x:v>
      </x:c>
    </x:row>
    <x:row r="16" ht="19" customHeight="1">
      <x:c r="A16" s="117"/>
      <x:c r="B16" s="117"/>
      <x:c r="C16" s="117" t="str">
        <x:v>Trade receivables</x:v>
      </x:c>
      <x:c r="D16" s="118" t="n">
        <x:f>'Schedules'!D84</x:f>
        <x:v>3191.1</x:v>
      </x:c>
      <x:c r="E16" s="118" t="n">
        <x:f>'Schedules'!E84</x:f>
        <x:v>3802.3</x:v>
      </x:c>
      <x:c r="F16" s="118" t="n">
        <x:f>'Schedules'!F84</x:f>
        <x:v>3617.3</x:v>
      </x:c>
      <x:c r="G16" s="175" t="n">
        <x:f>'Schedules'!G84</x:f>
        <x:v>4188.277441917808</x:v>
      </x:c>
      <x:c r="H16" s="118" t="n">
        <x:f>'Schedules'!H84</x:f>
        <x:v>4559.778514367767</x:v>
      </x:c>
      <x:c r="I16" s="118" t="n">
        <x:f>'Schedules'!I84</x:f>
        <x:v>4964.824396944063</x:v>
      </x:c>
      <x:c r="J16" s="118" t="n">
        <x:f>'Schedules'!J84</x:f>
        <x:v>5374.605746962101</x:v>
      </x:c>
      <x:c r="K16" s="118" t="n">
        <x:f>'Schedules'!K84</x:f>
        <x:v>5772.356143405812</x:v>
      </x:c>
      <x:c r="L16" s="118" t="n">
        <x:f>'Schedules'!L84</x:f>
        <x:v>6158.647906562753</x:v>
      </x:c>
      <x:c r="M16" s="118" t="n">
        <x:f>'Schedules'!M84</x:f>
        <x:v>6521.588435648837</x:v>
      </x:c>
      <x:c r="N16" s="118" t="n">
        <x:f>'Schedules'!N84</x:f>
        <x:v>6878.502326885964</x:v>
      </x:c>
      <x:c r="O16" s="118" t="n">
        <x:f>'Schedules'!O84</x:f>
        <x:v>7224.839037298429</x:v>
      </x:c>
    </x:row>
    <x:row r="17" ht="19" customHeight="1">
      <x:c r="A17" s="117"/>
      <x:c r="B17" s="117"/>
      <x:c r="C17" s="117" t="str">
        <x:v>Cash and cash equivalents</x:v>
      </x:c>
      <x:c r="D17" s="118" t="n">
        <x:f>'Schedules'!D142</x:f>
        <x:v>2917.4</x:v>
      </x:c>
      <x:c r="E17" s="118" t="n">
        <x:f>'Schedules'!E142</x:f>
        <x:v>5605.9</x:v>
      </x:c>
      <x:c r="F17" s="118" t="n">
        <x:f>'Schedules'!F142</x:f>
        <x:v>4423.3</x:v>
      </x:c>
      <x:c r="G17" s="175" t="n">
        <x:f>'Schedules'!G142</x:f>
        <x:v>4586.163798899997</x:v>
      </x:c>
      <x:c r="H17" s="118" t="n">
        <x:f>'Schedules'!H142</x:f>
        <x:v>4992.9574732327055</x:v>
      </x:c>
      <x:c r="I17" s="118" t="n">
        <x:f>'Schedules'!I142</x:f>
        <x:v>5436.48271465375</x:v>
      </x:c>
      <x:c r="J17" s="118" t="n">
        <x:f>'Schedules'!J142</x:f>
        <x:v>5885.193292923503</x:v>
      </x:c>
      <x:c r="K17" s="118" t="n">
        <x:f>'Schedules'!K142</x:f>
        <x:v>6320.729977029361</x:v>
      </x:c>
      <x:c r="L17" s="118" t="n">
        <x:f>'Schedules'!L142</x:f>
        <x:v>6743.719457686209</x:v>
      </x:c>
      <x:c r="M17" s="118" t="n">
        <x:f>'Schedules'!M142</x:f>
        <x:v>7141.139337035478</x:v>
      </x:c>
      <x:c r="N17" s="118" t="n">
        <x:f>'Schedules'!N142</x:f>
        <x:v>7531.960047940127</x:v>
      </x:c>
      <x:c r="O17" s="118" t="n">
        <x:f>'Schedules'!O142</x:f>
        <x:v>7911.198745841779</x:v>
      </x:c>
    </x:row>
    <x:row r="18" ht="19" customHeight="1">
      <x:c r="A18" s="117"/>
      <x:c r="B18" s="117"/>
      <x:c r="C18" s="117" t="str">
        <x:v>Term deposits - current</x:v>
      </x:c>
      <x:c r="D18" s="118" t="n">
        <x:f>18279.7</x:f>
        <x:v>18279.7</x:v>
      </x:c>
      <x:c r="E18" s="118" t="n">
        <x:f>25525.9</x:f>
        <x:v>25525.9</x:v>
      </x:c>
      <x:c r="F18" s="118" t="n">
        <x:f>17900</x:f>
        <x:v>17900</x:v>
      </x:c>
      <x:c r="G18" s="175" t="n">
        <x:f>'Schedules'!G141-G10</x:f>
        <x:v>18913.05099393935</x:v>
      </x:c>
      <x:c r="H18" s="118" t="n">
        <x:f>'Schedules'!H141-H10</x:f>
        <x:v>21246.997318984646</x:v>
      </x:c>
      <x:c r="I18" s="118" t="n">
        <x:f>'Schedules'!I141-I10</x:f>
        <x:v>23925.211212877228</x:v>
      </x:c>
      <x:c r="J18" s="118" t="n">
        <x:f>'Schedules'!J141-J10</x:f>
        <x:v>26827.465782400475</x:v>
      </x:c>
      <x:c r="K18" s="118" t="n">
        <x:f>'Schedules'!K141-K10</x:f>
        <x:v>29941.350510679098</x:v>
      </x:c>
      <x:c r="L18" s="118" t="n">
        <x:f>'Schedules'!L141-L10</x:f>
        <x:v>33265.41736970439</x:v>
      </x:c>
      <x:c r="M18" s="118" t="n">
        <x:f>'Schedules'!M141-M10</x:f>
        <x:v>36788.2445078676</x:v>
      </x:c>
      <x:c r="N18" s="118" t="n">
        <x:f>'Schedules'!N141-N10</x:f>
        <x:v>40517.19811355116</x:v>
      </x:c>
      <x:c r="O18" s="118" t="n">
        <x:f>'Schedules'!O141-O10</x:f>
        <x:v>44449.22861404104</x:v>
      </x:c>
    </x:row>
    <x:row r="19" ht="19" customHeight="1">
      <x:c r="A19" s="117"/>
      <x:c r="B19" s="117"/>
      <x:c r="C19" s="117" t="str">
        <x:v>Other current assets</x:v>
      </x:c>
      <x:c r="D19" s="118" t="n">
        <x:f>'Schedules'!D88</x:f>
        <x:v>1874.4</x:v>
      </x:c>
      <x:c r="E19" s="118" t="n">
        <x:f>'Schedules'!E88</x:f>
        <x:v>3879.4</x:v>
      </x:c>
      <x:c r="F19" s="118" t="n">
        <x:f>'Schedules'!F88</x:f>
        <x:v>2293.7</x:v>
      </x:c>
      <x:c r="G19" s="175" t="n">
        <x:f>'Schedules'!G88</x:f>
        <x:v>2522.390089395</x:v>
      </x:c>
      <x:c r="H19" s="118" t="n">
        <x:f>'Schedules'!H88</x:f>
        <x:v>2746.1266102779878</x:v>
      </x:c>
      <x:c r="I19" s="118" t="n">
        <x:f>'Schedules'!I88</x:f>
        <x:v>2990.065493059562</x:v>
      </x:c>
      <x:c r="J19" s="118" t="n">
        <x:f>'Schedules'!J88</x:f>
        <x:v>3236.8563111079256</x:v>
      </x:c>
      <x:c r="K19" s="118" t="n">
        <x:f>'Schedules'!K88</x:f>
        <x:v>3476.40148736615</x:v>
      </x:c>
      <x:c r="L19" s="118" t="n">
        <x:f>'Schedules'!L88</x:f>
        <x:v>3709.0457017274175</x:v>
      </x:c>
      <x:c r="M19" s="118" t="n">
        <x:f>'Schedules'!M88</x:f>
        <x:v>3927.6266353695128</x:v>
      </x:c>
      <x:c r="N19" s="118" t="n">
        <x:f>'Schedules'!N88</x:f>
        <x:v>4142.578026367072</x:v>
      </x:c>
      <x:c r="O19" s="118" t="n">
        <x:f>'Schedules'!O88</x:f>
        <x:v>4351.159310212979</x:v>
      </x:c>
    </x:row>
    <x:row r="20" ht="19" customHeight="1">
      <x:c r="A20" s="117"/>
      <x:c r="B20" s="117"/>
      <x:c r="C20" s="141" t="str">
        <x:v>Total current assets</x:v>
      </x:c>
      <x:c r="D20" s="159" t="n">
        <x:f>SUM(D15:D19)</x:f>
        <x:v>32458.4</x:v>
      </x:c>
      <x:c r="E20" s="159" t="n">
        <x:f>SUM(E15:E19)</x:f>
        <x:v>47633.9</x:v>
      </x:c>
      <x:c r="F20" s="159" t="n">
        <x:f>SUM(F15:F19)</x:f>
        <x:v>37706.899999999994</x:v>
      </x:c>
      <x:c r="G20" s="177" t="n">
        <x:f>SUM(G15:G19)</x:f>
        <x:v>40641.566028566805</x:v>
      </x:c>
      <x:c r="H20" s="159" t="n">
        <x:f>SUM(H15:H19)</x:f>
        <x:v>45011.422991240855</x:v>
      </x:c>
      <x:c r="I20" s="159" t="n">
        <x:f>SUM(I15:I19)</x:f>
        <x:v>49800.63476365045</x:v>
      </x:c>
      <x:c r="J20" s="159" t="n">
        <x:f>SUM(J15:J19)</x:f>
        <x:v>54838.567284130215</x:v>
      </x:c>
      <x:c r="K20" s="159" t="n">
        <x:f>SUM(K15:K19)</x:f>
        <x:v>60025.42764107433</x:v>
      </x:c>
      <x:c r="L20" s="159" t="n">
        <x:f>SUM(L15:L19)</x:f>
        <x:v>65362.7505967328</x:v>
      </x:c>
      <x:c r="M20" s="159" t="n">
        <x:f>SUM(M15:M19)</x:f>
        <x:v>70777.13303736043</x:v>
      </x:c>
      <x:c r="N20" s="159" t="n">
        <x:f>SUM(N15:N19)</x:f>
        <x:v>76366.23261569907</x:v>
      </x:c>
      <x:c r="O20" s="159" t="n">
        <x:f>SUM(O15:O19)</x:f>
        <x:v>82103.28346668114</x:v>
      </x:c>
    </x:row>
    <x:row r="21" ht="19" customHeight="1">
      <x:c r="A21" s="117"/>
      <x:c r="B21" s="117"/>
      <x:c r="C21" s="117"/>
      <x:c r="D21" s="118"/>
      <x:c r="E21" s="118"/>
      <x:c r="F21" s="118"/>
      <x:c r="G21" s="175"/>
      <x:c r="H21" s="118"/>
      <x:c r="I21" s="118"/>
      <x:c r="J21" s="118"/>
      <x:c r="K21" s="118"/>
      <x:c r="L21" s="118"/>
      <x:c r="M21" s="118"/>
      <x:c r="N21" s="118"/>
      <x:c r="O21" s="118"/>
    </x:row>
    <x:row r="22" ht="19" customHeight="1">
      <x:c r="A22" s="117"/>
      <x:c r="B22" s="117"/>
      <x:c r="C22" s="141" t="str">
        <x:v>Total assets</x:v>
      </x:c>
      <x:c r="D22" s="159" t="n">
        <x:f>SUM(D12,D20)</x:f>
        <x:v>51934.9</x:v>
      </x:c>
      <x:c r="E22" s="159" t="n">
        <x:f>SUM(E12,E20)</x:f>
        <x:v>59173.100000000006</x:v>
      </x:c>
      <x:c r="F22" s="159" t="n">
        <x:f>SUM(F12,F20)</x:f>
        <x:v>65019.29999999999</x:v>
      </x:c>
      <x:c r="G22" s="177" t="n">
        <x:f>SUM(G12,G20)</x:f>
        <x:v>69717.39181657857</x:v>
      </x:c>
      <x:c r="H22" s="159" t="n">
        <x:f>SUM(H12,H20)</x:f>
        <x:v>77410.27904322797</x:v>
      </x:c>
      <x:c r="I22" s="159" t="n">
        <x:f>SUM(I12,I20)</x:f>
        <x:v>85999.50368481979</x:v>
      </x:c>
      <x:c r="J22" s="159" t="n">
        <x:f>SUM(J12,J20)</x:f>
        <x:v>95143.77972626887</x:v>
      </x:c>
      <x:c r="K22" s="159" t="n">
        <x:f>SUM(K12,K20)</x:f>
        <x:v>104709.05541612237</x:v>
      </x:c>
      <x:c r="L22" s="159" t="n">
        <x:f>SUM(L12,L20)</x:f>
        <x:v>114688.14808111032</x:v>
      </x:c>
      <x:c r="M22" s="159" t="n">
        <x:f>SUM(M12,M20)</x:f>
        <x:v>124978.57675643866</x:v>
      </x:c>
      <x:c r="N22" s="159" t="n">
        <x:f>SUM(N12,N20)</x:f>
        <x:v>135694.3637643311</x:v>
      </x:c>
      <x:c r="O22" s="159" t="n">
        <x:f>SUM(O12,O20)</x:f>
        <x:v>146799.49247271835</x:v>
      </x:c>
    </x:row>
    <x:row r="23" ht="19" customHeight="1">
      <x:c r="A23" s="117"/>
      <x:c r="B23" s="117"/>
      <x:c r="C23" s="117"/>
      <x:c r="D23" s="118"/>
      <x:c r="E23" s="118"/>
      <x:c r="F23" s="118"/>
      <x:c r="G23" s="175"/>
      <x:c r="H23" s="118"/>
      <x:c r="I23" s="118"/>
      <x:c r="J23" s="118"/>
      <x:c r="K23" s="118"/>
      <x:c r="L23" s="118"/>
      <x:c r="M23" s="118"/>
      <x:c r="N23" s="118"/>
      <x:c r="O23" s="118"/>
    </x:row>
    <x:row r="24" ht="19" customHeight="1">
      <x:c r="A24" s="117"/>
      <x:c r="B24" s="117"/>
      <x:c r="C24" s="172" t="str">
        <x:v>Equity and liabilities</x:v>
      </x:c>
      <x:c r="D24" s="173"/>
      <x:c r="E24" s="173"/>
      <x:c r="F24" s="173"/>
      <x:c r="G24" s="180"/>
      <x:c r="H24" s="173"/>
      <x:c r="I24" s="173"/>
      <x:c r="J24" s="173"/>
      <x:c r="K24" s="173"/>
      <x:c r="L24" s="173"/>
      <x:c r="M24" s="173"/>
      <x:c r="N24" s="173"/>
      <x:c r="O24" s="173"/>
    </x:row>
    <x:row r="25" ht="19" customHeight="1">
      <x:c r="A25" s="117"/>
      <x:c r="B25" s="117"/>
      <x:c r="C25" s="117" t="str">
        <x:v>Equity share capital</x:v>
      </x:c>
      <x:c r="D25" s="118" t="n">
        <x:f>'Schedules'!D103</x:f>
        <x:v>212.5</x:v>
      </x:c>
      <x:c r="E25" s="118" t="n">
        <x:f>'Schedules'!E103</x:f>
        <x:v>212.5</x:v>
      </x:c>
      <x:c r="F25" s="118" t="n">
        <x:f>'Schedules'!F103</x:f>
        <x:v>212.5</x:v>
      </x:c>
      <x:c r="G25" s="175" t="n">
        <x:f>'Schedules'!G103</x:f>
        <x:v>212.5</x:v>
      </x:c>
      <x:c r="H25" s="118" t="n">
        <x:f>'Schedules'!H103</x:f>
        <x:v>212.5</x:v>
      </x:c>
      <x:c r="I25" s="118" t="n">
        <x:f>'Schedules'!I103</x:f>
        <x:v>212.5</x:v>
      </x:c>
      <x:c r="J25" s="118" t="n">
        <x:f>'Schedules'!J103</x:f>
        <x:v>212.5</x:v>
      </x:c>
      <x:c r="K25" s="118" t="n">
        <x:f>'Schedules'!K103</x:f>
        <x:v>212.5</x:v>
      </x:c>
      <x:c r="L25" s="118" t="n">
        <x:f>'Schedules'!L103</x:f>
        <x:v>212.5</x:v>
      </x:c>
      <x:c r="M25" s="118" t="n">
        <x:f>'Schedules'!M103</x:f>
        <x:v>212.5</x:v>
      </x:c>
      <x:c r="N25" s="118" t="n">
        <x:f>'Schedules'!N103</x:f>
        <x:v>212.5</x:v>
      </x:c>
      <x:c r="O25" s="118" t="n">
        <x:f>'Schedules'!O103</x:f>
        <x:v>212.5</x:v>
      </x:c>
    </x:row>
    <x:row r="26" ht="19" customHeight="1">
      <x:c r="A26" s="117"/>
      <x:c r="B26" s="117"/>
      <x:c r="C26" s="117" t="str">
        <x:v>Other equity</x:v>
      </x:c>
      <x:c r="D26" s="118" t="n">
        <x:f>'Schedules'!D102</x:f>
        <x:v>36776.4</x:v>
      </x:c>
      <x:c r="E26" s="118" t="n">
        <x:f>'Schedules'!E102</x:f>
        <x:v>42119</x:v>
      </x:c>
      <x:c r="F26" s="118" t="n">
        <x:f>'Schedules'!F102</x:f>
        <x:v>47529.4</x:v>
      </x:c>
      <x:c r="G26" s="175" t="n">
        <x:f>'Schedules'!G102</x:f>
        <x:v>50633.44883340737</x:v>
      </x:c>
      <x:c r="H26" s="118" t="n">
        <x:f>'Schedules'!H102</x:f>
        <x:v>56571.13416034962</x:v>
      </x:c>
      <x:c r="I26" s="118" t="n">
        <x:f>'Schedules'!I102</x:f>
        <x:v>63365.45967210114</x:v>
      </x:c>
      <x:c r="J26" s="118" t="n">
        <x:f>'Schedules'!J102</x:f>
        <x:v>70680.31587438058</x:v>
      </x:c>
      <x:c r="K26" s="118" t="n">
        <x:f>'Schedules'!K102</x:f>
        <x:v>78454.67752219379</x:v>
      </x:c>
      <x:c r="L26" s="118" t="n">
        <x:f>'Schedules'!L102</x:f>
        <x:v>86682.73581455645</x:v>
      </x:c>
      <x:c r="M26" s="118" t="n">
        <x:f>'Schedules'!M102</x:f>
        <x:v>95314.63791125164</x:v>
      </x:c>
      <x:c r="N26" s="118" t="n">
        <x:f>'Schedules'!N102</x:f>
        <x:v>104395.23389430545</x:v>
      </x:c>
      <x:c r="O26" s="118" t="n">
        <x:f>'Schedules'!O102</x:f>
        <x:v>113908.52437422721</x:v>
      </x:c>
    </x:row>
    <x:row r="27" ht="19" customHeight="1">
      <x:c r="A27" s="117"/>
      <x:c r="B27" s="117"/>
      <x:c r="C27" s="141" t="str">
        <x:v>Total equity</x:v>
      </x:c>
      <x:c r="D27" s="159" t="n">
        <x:f>SUM(D25:D26)</x:f>
        <x:v>36988.9</x:v>
      </x:c>
      <x:c r="E27" s="159" t="n">
        <x:f>SUM(E25:E26)</x:f>
        <x:v>42331.5</x:v>
      </x:c>
      <x:c r="F27" s="159" t="n">
        <x:f>SUM(F25:F26)</x:f>
        <x:v>47741.9</x:v>
      </x:c>
      <x:c r="G27" s="177" t="n">
        <x:f>SUM(G25:G26)</x:f>
        <x:v>50845.94883340737</x:v>
      </x:c>
      <x:c r="H27" s="159" t="n">
        <x:f>SUM(H25:H26)</x:f>
        <x:v>56783.63416034962</x:v>
      </x:c>
      <x:c r="I27" s="159" t="n">
        <x:f>SUM(I25:I26)</x:f>
        <x:v>63577.95967210114</x:v>
      </x:c>
      <x:c r="J27" s="159" t="n">
        <x:f>SUM(J25:J26)</x:f>
        <x:v>70892.81587438058</x:v>
      </x:c>
      <x:c r="K27" s="159" t="n">
        <x:f>SUM(K25:K26)</x:f>
        <x:v>78667.17752219379</x:v>
      </x:c>
      <x:c r="L27" s="159" t="n">
        <x:f>SUM(L25:L26)</x:f>
        <x:v>86895.23581455645</x:v>
      </x:c>
      <x:c r="M27" s="159" t="n">
        <x:f>SUM(M25:M26)</x:f>
        <x:v>95527.13791125164</x:v>
      </x:c>
      <x:c r="N27" s="159" t="n">
        <x:f>SUM(N25:N26)</x:f>
        <x:v>104607.73389430545</x:v>
      </x:c>
      <x:c r="O27" s="159" t="n">
        <x:f>SUM(O25:O26)</x:f>
        <x:v>114121.02437422721</x:v>
      </x:c>
    </x:row>
    <x:row r="28" ht="19" customHeight="1">
      <x:c r="A28" s="117"/>
      <x:c r="B28" s="117"/>
      <x:c r="C28" s="117"/>
      <x:c r="D28" s="118"/>
      <x:c r="E28" s="118"/>
      <x:c r="F28" s="118"/>
      <x:c r="G28" s="175"/>
      <x:c r="H28" s="118"/>
      <x:c r="I28" s="118"/>
      <x:c r="J28" s="118"/>
      <x:c r="K28" s="118"/>
      <x:c r="L28" s="118"/>
      <x:c r="M28" s="118"/>
      <x:c r="N28" s="118"/>
      <x:c r="O28" s="118"/>
    </x:row>
    <x:row r="29" ht="19" customHeight="1">
      <x:c r="A29" s="117"/>
      <x:c r="B29" s="117"/>
      <x:c r="C29" s="117" t="str">
        <x:v>Lease liabilities</x:v>
      </x:c>
      <x:c r="D29" s="118" t="n">
        <x:f>'Schedules'!D75</x:f>
        <x:v>832.3</x:v>
      </x:c>
      <x:c r="E29" s="118" t="n">
        <x:f>'Schedules'!E75</x:f>
        <x:v>1966.7</x:v>
      </x:c>
      <x:c r="F29" s="118" t="n">
        <x:f>'Schedules'!F75</x:f>
        <x:v>1719.9</x:v>
      </x:c>
      <x:c r="G29" s="175" t="n">
        <x:f>'Schedules'!G75</x:f>
        <x:v>1829.7569115474998</x:v>
      </x:c>
      <x:c r="H29" s="118" t="n">
        <x:f>'Schedules'!H75</x:f>
        <x:v>1958.9653327161886</x:v>
      </x:c>
      <x:c r="I29" s="118" t="n">
        <x:f>'Schedules'!I75</x:f>
        <x:v>2107.150426942536</x:v>
      </x:c>
      <x:c r="J29" s="118" t="n">
        <x:f>'Schedules'!J75</x:f>
        <x:v>2270.6041876138443</x:v>
      </x:c>
      <x:c r="K29" s="118" t="n">
        <x:f>'Schedules'!K75</x:f>
        <x:v>2444.4639929122436</x:v>
      </x:c>
      <x:c r="L29" s="118" t="n">
        <x:f>'Schedules'!L75</x:f>
        <x:v>2625.0292024229952</x:v>
      </x:c>
      <x:c r="M29" s="118" t="n">
        <x:f>'Schedules'!M75</x:f>
        <x:v>2808.0210600566647</x:v>
      </x:c>
      <x:c r="N29" s="118" t="n">
        <x:f>'Schedules'!N75</x:f>
        <x:v>2992.1786600707624</x:v>
      </x:c>
      <x:c r="O29" s="118" t="n">
        <x:f>'Schedules'!O75</x:f>
        <x:v>3175.984992354367</x:v>
      </x:c>
    </x:row>
    <x:row r="30" ht="19" customHeight="1">
      <x:c r="A30" s="117"/>
      <x:c r="B30" s="117"/>
      <x:c r="C30" s="117" t="str">
        <x:v>Provisions</x:v>
      </x:c>
      <x:c r="D30" s="118" t="n">
        <x:f>'Schedules'!D89</x:f>
        <x:v>2841.1</x:v>
      </x:c>
      <x:c r="E30" s="118" t="n">
        <x:f>'Schedules'!E89</x:f>
        <x:v>2872.3</x:v>
      </x:c>
      <x:c r="F30" s="118" t="n">
        <x:f>'Schedules'!F89</x:f>
        <x:v>3183.7</x:v>
      </x:c>
      <x:c r="G30" s="175" t="n">
        <x:f>'Schedules'!G89</x:f>
        <x:v>3516.05891249</x:v>
      </x:c>
      <x:c r="H30" s="118" t="n">
        <x:f>'Schedules'!H89</x:f>
        <x:v>3827.93406281174</x:v>
      </x:c>
      <x:c r="I30" s="118" t="n">
        <x:f>'Schedules'!I89</x:f>
        <x:v>4167.970081234541</x:v>
      </x:c>
      <x:c r="J30" s="118" t="n">
        <x:f>'Schedules'!J89</x:f>
        <x:v>4511.981524574684</x:v>
      </x:c>
      <x:c r="K30" s="118" t="n">
        <x:f>'Schedules'!K89</x:f>
        <x:v>4845.8929823891785</x:v>
      </x:c>
      <x:c r="L30" s="118" t="n">
        <x:f>'Schedules'!L89</x:f>
        <x:v>5170.18491755943</x:v>
      </x:c>
      <x:c r="M30" s="118" t="n">
        <x:f>'Schedules'!M89</x:f>
        <x:v>5474.8734917271995</x:v>
      </x:c>
      <x:c r="N30" s="118" t="n">
        <x:f>'Schedules'!N89</x:f>
        <x:v>5774.502703420767</x:v>
      </x:c>
      <x:c r="O30" s="118" t="n">
        <x:f>'Schedules'!O89</x:f>
        <x:v>6065.252371812031</x:v>
      </x:c>
    </x:row>
    <x:row r="31" ht="19" customHeight="1">
      <x:c r="A31" s="117"/>
      <x:c r="B31" s="117"/>
      <x:c r="C31" s="117" t="str">
        <x:v>Trade payables</x:v>
      </x:c>
      <x:c r="D31" s="118" t="n">
        <x:f>'Schedules'!D86</x:f>
        <x:v>10026.9</x:v>
      </x:c>
      <x:c r="E31" s="118" t="n">
        <x:f>'Schedules'!E86</x:f>
        <x:v>10578.6</x:v>
      </x:c>
      <x:c r="F31" s="118" t="n">
        <x:f>'Schedules'!F86</x:f>
        <x:v>11069.3</x:v>
      </x:c>
      <x:c r="G31" s="175" t="n">
        <x:f>'Schedules'!G86</x:f>
        <x:v>12096.314082778697</x:v>
      </x:c>
      <x:c r="H31" s="118" t="n">
        <x:f>'Schedules'!H86</x:f>
        <x:v>13295.17420326782</x:v>
      </x:c>
      <x:c r="I31" s="118" t="n">
        <x:f>'Schedules'!I86</x:f>
        <x:v>14476.186735389652</x:v>
      </x:c>
      <x:c r="J31" s="118" t="n">
        <x:f>'Schedules'!J86</x:f>
        <x:v>15671.006706704748</x:v>
      </x:c>
      <x:c r="K31" s="118" t="n">
        <x:f>'Schedules'!K86</x:f>
        <x:v>16830.747425135494</x:v>
      </x:c>
      <x:c r="L31" s="118" t="n">
        <x:f>'Schedules'!L86</x:f>
        <x:v>17957.077633560344</x:v>
      </x:c>
      <x:c r="M31" s="118" t="n">
        <x:f>'Schedules'!M86</x:f>
        <x:v>19015.321481243096</x:v>
      </x:c>
      <x:c r="N31" s="118" t="n">
        <x:f>'Schedules'!N86</x:f>
        <x:v>20055.99315961775</x:v>
      </x:c>
      <x:c r="O31" s="118" t="n">
        <x:f>'Schedules'!O86</x:f>
        <x:v>21065.824423002894</x:v>
      </x:c>
    </x:row>
    <x:row r="32" ht="19" customHeight="1">
      <x:c r="A32" s="117"/>
      <x:c r="B32" s="117"/>
      <x:c r="C32" s="117" t="str">
        <x:v>Other liabilities</x:v>
      </x:c>
      <x:c r="D32" s="118" t="n">
        <x:f>SUM('Schedules'!D90:'Schedules'!D91)</x:f>
        <x:v>1245.6999999999998</x:v>
      </x:c>
      <x:c r="E32" s="118" t="n">
        <x:f>SUM('Schedules'!E90:'Schedules'!E91)</x:f>
        <x:v>1424</x:v>
      </x:c>
      <x:c r="F32" s="118" t="n">
        <x:f>SUM('Schedules'!F90:'Schedules'!F91)</x:f>
        <x:v>1304.5</x:v>
      </x:c>
      <x:c r="G32" s="175" t="n">
        <x:f>SUM('Schedules'!G90:'Schedules'!G91)</x:f>
        <x:v>1429.313076355</x:v>
      </x:c>
      <x:c r="H32" s="118" t="n">
        <x:f>SUM('Schedules'!H90:'Schedules'!H91)</x:f>
        <x:v>1544.5712840825997</x:v>
      </x:c>
      <x:c r="I32" s="118" t="n">
        <x:f>SUM('Schedules'!I90:'Schedules'!I91)</x:f>
        <x:v>1670.2367691518957</x:v>
      </x:c>
      <x:c r="J32" s="118" t="n">
        <x:f>SUM('Schedules'!J90:'Schedules'!J91)</x:f>
        <x:v>1797.3714329949921</x:v>
      </x:c>
      <x:c r="K32" s="118" t="n">
        <x:f>SUM('Schedules'!K90:'Schedules'!K91)</x:f>
        <x:v>1920.773493491653</x:v>
      </x:c>
      <x:c r="L32" s="118" t="n">
        <x:f>SUM('Schedules'!L90:'Schedules'!L91)</x:f>
        <x:v>2040.620513011094</x:v>
      </x:c>
      <x:c r="M32" s="118" t="n">
        <x:f>SUM('Schedules'!M90:'Schedules'!M91)</x:f>
        <x:v>2153.222812160052</x:v>
      </x:c>
      <x:c r="N32" s="118" t="n">
        <x:f>SUM('Schedules'!N90:'Schedules'!N91)</x:f>
        <x:v>2263.9553469163707</x:v>
      </x:c>
      <x:c r="O32" s="118" t="n">
        <x:f>SUM('Schedules'!O90:'Schedules'!O91)</x:f>
        <x:v>2371.4063113218376</x:v>
      </x:c>
    </x:row>
    <x:row r="33" ht="19" customHeight="1">
      <x:c r="A33" s="117"/>
      <x:c r="B33" s="117"/>
      <x:c r="C33" s="141" t="str">
        <x:v>Total liabilities</x:v>
      </x:c>
      <x:c r="D33" s="159" t="n">
        <x:f>SUM(D29:D32)</x:f>
        <x:v>14946</x:v>
      </x:c>
      <x:c r="E33" s="159" t="n">
        <x:f>SUM(E29:E32)</x:f>
        <x:v>16841.6</x:v>
      </x:c>
      <x:c r="F33" s="159" t="n">
        <x:f>SUM(F29:F32)</x:f>
        <x:v>17277.4</x:v>
      </x:c>
      <x:c r="G33" s="177" t="n">
        <x:f>SUM(G29:G32)</x:f>
        <x:v>18871.442983171197</x:v>
      </x:c>
      <x:c r="H33" s="159" t="n">
        <x:f>SUM(H29:H32)</x:f>
        <x:v>20626.644882878347</x:v>
      </x:c>
      <x:c r="I33" s="159" t="n">
        <x:f>SUM(I29:I32)</x:f>
        <x:v>22421.544012718623</x:v>
      </x:c>
      <x:c r="J33" s="159" t="n">
        <x:f>SUM(J29:J32)</x:f>
        <x:v>24250.963851888268</x:v>
      </x:c>
      <x:c r="K33" s="159" t="n">
        <x:f>SUM(K29:K32)</x:f>
        <x:v>26041.87789392857</x:v>
      </x:c>
      <x:c r="L33" s="159" t="n">
        <x:f>SUM(L29:L32)</x:f>
        <x:v>27792.912266553863</x:v>
      </x:c>
      <x:c r="M33" s="159" t="n">
        <x:f>SUM(M29:M32)</x:f>
        <x:v>29451.438845187015</x:v>
      </x:c>
      <x:c r="N33" s="159" t="n">
        <x:f>SUM(N29:N32)</x:f>
        <x:v>31086.62987002565</x:v>
      </x:c>
      <x:c r="O33" s="159" t="n">
        <x:f>SUM(O29:O32)</x:f>
        <x:v>32678.46809849113</x:v>
      </x:c>
    </x:row>
    <x:row r="34" ht="19" customHeight="1">
      <x:c r="A34" s="117"/>
      <x:c r="B34" s="117"/>
      <x:c r="C34" s="117"/>
      <x:c r="D34" s="118"/>
      <x:c r="E34" s="118"/>
      <x:c r="F34" s="118"/>
      <x:c r="G34" s="175"/>
      <x:c r="H34" s="118"/>
      <x:c r="I34" s="118"/>
      <x:c r="J34" s="118"/>
      <x:c r="K34" s="118"/>
      <x:c r="L34" s="118"/>
      <x:c r="M34" s="118"/>
      <x:c r="N34" s="118"/>
      <x:c r="O34" s="118"/>
    </x:row>
    <x:row r="35" ht="19" customHeight="1">
      <x:c r="A35" s="117"/>
      <x:c r="B35" s="117"/>
      <x:c r="C35" s="141" t="str">
        <x:v>Total equity and liabilities</x:v>
      </x:c>
      <x:c r="D35" s="159" t="n">
        <x:f>SUM(D27,D33)</x:f>
        <x:v>51934.9</x:v>
      </x:c>
      <x:c r="E35" s="159" t="n">
        <x:f>SUM(E27,E33)</x:f>
        <x:v>59173.1</x:v>
      </x:c>
      <x:c r="F35" s="159" t="n">
        <x:f>SUM(F27,F33)</x:f>
        <x:v>65019.3</x:v>
      </x:c>
      <x:c r="G35" s="177" t="n">
        <x:f>SUM(G27,G33)</x:f>
        <x:v>69717.39181657857</x:v>
      </x:c>
      <x:c r="H35" s="159" t="n">
        <x:f>SUM(H27,H33)</x:f>
        <x:v>77410.27904322796</x:v>
      </x:c>
      <x:c r="I35" s="159" t="n">
        <x:f>SUM(I27,I33)</x:f>
        <x:v>85999.50368481976</x:v>
      </x:c>
      <x:c r="J35" s="159" t="n">
        <x:f>SUM(J27,J33)</x:f>
        <x:v>95143.77972626885</x:v>
      </x:c>
      <x:c r="K35" s="159" t="n">
        <x:f>SUM(K27,K33)</x:f>
        <x:v>104709.05541612236</x:v>
      </x:c>
      <x:c r="L35" s="159" t="n">
        <x:f>SUM(L27,L33)</x:f>
        <x:v>114688.14808111031</x:v>
      </x:c>
      <x:c r="M35" s="159" t="n">
        <x:f>SUM(M27,M33)</x:f>
        <x:v>124978.57675643866</x:v>
      </x:c>
      <x:c r="N35" s="159" t="n">
        <x:f>SUM(N27,N33)</x:f>
        <x:v>135694.3637643311</x:v>
      </x:c>
      <x:c r="O35" s="159" t="n">
        <x:f>SUM(O27,O33)</x:f>
        <x:v>146799.49247271835</x:v>
      </x:c>
    </x:row>
    <x:row r="36" ht="19" customHeight="1">
      <x:c r="A36" s="117"/>
      <x:c r="B36" s="117"/>
      <x:c r="C36" s="117"/>
      <x:c r="D36" s="118"/>
      <x:c r="E36" s="118"/>
      <x:c r="F36" s="118"/>
      <x:c r="G36" s="175"/>
      <x:c r="H36" s="118"/>
      <x:c r="I36" s="118"/>
      <x:c r="J36" s="118"/>
      <x:c r="K36" s="118"/>
      <x:c r="L36" s="118"/>
      <x:c r="M36" s="118"/>
      <x:c r="N36" s="118"/>
      <x:c r="O36" s="118"/>
    </x:row>
    <x:row r="37" ht="19" customHeight="1">
      <x:c r="A37" s="117"/>
      <x:c r="B37" s="117"/>
      <x:c r="C37" s="117"/>
      <x:c r="D37" s="118"/>
      <x:c r="E37" s="118"/>
      <x:c r="F37" s="118"/>
      <x:c r="G37" s="175"/>
      <x:c r="H37" s="118"/>
      <x:c r="I37" s="118"/>
      <x:c r="J37" s="118"/>
      <x:c r="K37" s="118"/>
      <x:c r="L37" s="118"/>
      <x:c r="M37" s="118"/>
      <x:c r="N37" s="118"/>
      <x:c r="O37" s="118"/>
    </x:row>
    <x:row r="38" ht="19" customHeight="1">
      <x:c r="A38" s="117"/>
      <x:c r="B38" s="117"/>
      <x:c r="C38" s="117"/>
      <x:c r="D38" s="118"/>
      <x:c r="E38" s="118"/>
      <x:c r="F38" s="118"/>
      <x:c r="G38" s="175"/>
      <x:c r="H38" s="118"/>
      <x:c r="I38" s="118"/>
      <x:c r="J38" s="118"/>
      <x:c r="K38" s="118"/>
      <x:c r="L38" s="118"/>
      <x:c r="M38" s="118"/>
      <x:c r="N38" s="118"/>
      <x:c r="O38" s="118"/>
    </x:row>
    <x:row r="39" ht="19" customHeight="1">
      <x:c r="A39" s="117"/>
      <x:c r="B39" s="117"/>
      <x:c r="C39" s="117"/>
      <x:c r="D39" s="118"/>
      <x:c r="E39" s="118"/>
      <x:c r="F39" s="118"/>
      <x:c r="G39" s="175"/>
      <x:c r="H39" s="118"/>
      <x:c r="I39" s="118"/>
      <x:c r="J39" s="118"/>
      <x:c r="K39" s="118"/>
      <x:c r="L39" s="118"/>
      <x:c r="M39" s="118"/>
      <x:c r="N39" s="118"/>
      <x:c r="O39" s="118"/>
    </x:row>
    <x:row r="40">
      <x:c r="G40" s="181"/>
    </x:row>
    <x:row r="41">
      <x:c r="G41" s="181"/>
    </x:row>
    <x:row r="42">
      <x:c r="G42" s="181"/>
    </x:row>
    <x:row r="43">
      <x:c r="G43" s="181"/>
    </x:row>
    <x:row r="44">
      <x:c r="G44" s="181"/>
    </x:row>
    <x:row r="45">
      <x:c r="G45" s="181"/>
    </x:row>
    <x:row r="46">
      <x:c r="G46" s="181"/>
    </x:row>
    <x:row r="47">
      <x:c r="G47" s="181"/>
    </x:row>
    <x:row r="48">
      <x:c r="G48" s="181"/>
    </x:row>
    <x:row r="49">
      <x:c r="G49" s="181"/>
    </x:row>
    <x:row r="50">
      <x:c r="G50" s="181"/>
    </x:row>
    <x:row r="51">
      <x:c r="G51" s="181"/>
    </x:row>
    <x:row r="52">
      <x:c r="G52" s="181"/>
    </x:row>
    <x:row r="53">
      <x:c r="G53" s="181"/>
    </x:row>
    <x:row r="54">
      <x:c r="G54" s="181"/>
    </x:row>
    <x:row r="55">
      <x:c r="G55" s="181"/>
    </x:row>
    <x:row r="56">
      <x:c r="G56" s="181"/>
    </x:row>
    <x:row r="57">
      <x:c r="G57" s="181"/>
    </x:row>
    <x:row r="58">
      <x:c r="G58" s="181"/>
    </x:row>
    <x:row r="59">
      <x:c r="G59" s="181"/>
    </x:row>
    <x:row r="60">
      <x:c r="G60" s="181"/>
    </x:row>
    <x:row r="61">
      <x:c r="G61" s="181"/>
    </x:row>
    <x:row r="62">
      <x:c r="G62" s="181"/>
    </x:row>
    <x:row r="63">
      <x:c r="G63" s="181"/>
    </x:row>
    <x:row r="64">
      <x:c r="G64" s="181"/>
    </x:row>
    <x:row r="65">
      <x:c r="G65" s="181"/>
    </x:row>
    <x:row r="66">
      <x:c r="G66" s="181"/>
    </x:row>
    <x:row r="67">
      <x:c r="G67" s="181"/>
    </x:row>
    <x:row r="68">
      <x:c r="G68" s="181"/>
    </x:row>
    <x:row r="69">
      <x:c r="G69" s="181"/>
    </x:row>
    <x:row r="70">
      <x:c r="G70" s="181"/>
    </x:row>
    <x:row r="71">
      <x:c r="G71" s="181"/>
    </x:row>
    <x:row r="72">
      <x:c r="G72" s="181"/>
    </x:row>
    <x:row r="73">
      <x:c r="G73" s="181"/>
    </x:row>
    <x:row r="74">
      <x:c r="G74" s="181"/>
    </x:row>
    <x:row r="75">
      <x:c r="G75" s="181"/>
    </x:row>
    <x:row r="76">
      <x:c r="G76" s="181"/>
    </x:row>
    <x:row r="77">
      <x:c r="G77" s="181"/>
    </x:row>
    <x:row r="78">
      <x:c r="G78" s="181"/>
    </x:row>
    <x:row r="79">
      <x:c r="G79" s="181"/>
    </x:row>
    <x:row r="80">
      <x:c r="G80" s="181"/>
    </x:row>
    <x:row r="81">
      <x:c r="G81" s="181"/>
    </x:row>
    <x:row r="82">
      <x:c r="G82" s="181"/>
    </x:row>
    <x:row r="83">
      <x:c r="G83" s="181"/>
    </x:row>
    <x:row r="84">
      <x:c r="G84" s="181"/>
    </x:row>
    <x:row r="85">
      <x:c r="G85" s="181"/>
    </x:row>
    <x:row r="86">
      <x:c r="G86" s="181"/>
    </x:row>
    <x:row r="87">
      <x:c r="G87" s="181"/>
    </x:row>
    <x:row r="88">
      <x:c r="G88" s="181"/>
    </x:row>
    <x:row r="89">
      <x:c r="G89" s="181"/>
    </x:row>
    <x:row r="90">
      <x:c r="G90" s="181"/>
    </x:row>
    <x:row r="91">
      <x:c r="G91" s="181"/>
    </x:row>
    <x:row r="92">
      <x:c r="G92" s="181"/>
    </x:row>
    <x:row r="93">
      <x:c r="G93" s="181"/>
    </x:row>
    <x:row r="94">
      <x:c r="G94" s="181"/>
    </x:row>
    <x:row r="95">
      <x:c r="G95" s="181"/>
    </x:row>
    <x:row r="96">
      <x:c r="G96" s="181"/>
    </x:row>
    <x:row r="97">
      <x:c r="G97" s="181"/>
    </x:row>
    <x:row r="98">
      <x:c r="G98" s="181"/>
    </x:row>
    <x:row r="99">
      <x:c r="G99" s="181"/>
    </x:row>
    <x:row r="100">
      <x:c r="G100" s="181"/>
    </x:row>
    <x:row r="101">
      <x:c r="G101" s="181"/>
    </x:row>
    <x:row r="102">
      <x:c r="G102" s="181"/>
    </x:row>
    <x:row r="103">
      <x:c r="G103" s="181"/>
    </x:row>
    <x:row r="104">
      <x:c r="G104" s="181"/>
    </x:row>
    <x:row r="105">
      <x:c r="G105" s="181"/>
    </x:row>
    <x:row r="106">
      <x:c r="G106" s="181"/>
    </x:row>
    <x:row r="107">
      <x:c r="G107" s="181"/>
    </x:row>
    <x:row r="108">
      <x:c r="G108" s="181"/>
    </x:row>
    <x:row r="109">
      <x:c r="G109" s="181"/>
    </x:row>
    <x:row r="110">
      <x:c r="G110" s="181"/>
    </x:row>
    <x:row r="111">
      <x:c r="G111" s="181"/>
    </x:row>
    <x:row r="112">
      <x:c r="G112" s="181"/>
    </x:row>
    <x:row r="113">
      <x:c r="G113" s="181"/>
    </x:row>
    <x:row r="114">
      <x:c r="G114" s="181"/>
    </x:row>
    <x:row r="115">
      <x:c r="G115" s="181"/>
    </x:row>
    <x:row r="116">
      <x:c r="G116" s="181"/>
    </x:row>
    <x:row r="117">
      <x:c r="G117" s="181"/>
    </x:row>
    <x:row r="118">
      <x:c r="G118" s="181"/>
    </x:row>
    <x:row r="119">
      <x:c r="G119" s="181"/>
    </x:row>
    <x:row r="120">
      <x:c r="G120" s="181"/>
    </x:row>
    <x:row r="121">
      <x:c r="G121" s="181"/>
    </x:row>
    <x:row r="122">
      <x:c r="G122" s="181"/>
    </x:row>
    <x:row r="123">
      <x:c r="G123" s="181"/>
    </x:row>
    <x:row r="124">
      <x:c r="G124" s="181"/>
    </x:row>
    <x:row r="125">
      <x:c r="G125" s="181"/>
    </x:row>
    <x:row r="126">
      <x:c r="G126" s="181"/>
    </x:row>
    <x:row r="127">
      <x:c r="G127" s="181"/>
    </x:row>
    <x:row r="128">
      <x:c r="G128" s="181"/>
    </x:row>
    <x:row r="129">
      <x:c r="G129" s="181"/>
    </x:row>
    <x:row r="130">
      <x:c r="G130" s="181"/>
    </x:row>
    <x:row r="131">
      <x:c r="G131" s="181"/>
    </x:row>
    <x:row r="132">
      <x:c r="G132" s="181"/>
    </x:row>
    <x:row r="133">
      <x:c r="G133" s="181"/>
    </x:row>
    <x:row r="134">
      <x:c r="G134" s="181"/>
    </x:row>
    <x:row r="135">
      <x:c r="G135" s="181"/>
    </x:row>
    <x:row r="136">
      <x:c r="G136" s="181"/>
    </x:row>
    <x:row r="137">
      <x:c r="G137" s="181"/>
    </x:row>
    <x:row r="138">
      <x:c r="G138" s="181"/>
    </x:row>
    <x:row r="139">
      <x:c r="G139" s="181"/>
    </x:row>
    <x:row r="140">
      <x:c r="G140" s="181"/>
    </x:row>
    <x:row r="141">
      <x:c r="G141" s="181"/>
    </x:row>
    <x:row r="142">
      <x:c r="G142" s="181"/>
    </x:row>
    <x:row r="143">
      <x:c r="G143" s="181"/>
    </x:row>
    <x:row r="144">
      <x:c r="G144" s="181"/>
    </x:row>
    <x:row r="145">
      <x:c r="G145" s="181"/>
    </x:row>
    <x:row r="146">
      <x:c r="G146" s="181"/>
    </x:row>
    <x:row r="147">
      <x:c r="G147" s="181"/>
    </x:row>
    <x:row r="148">
      <x:c r="G148" s="18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05574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3.5" hidden="0" customWidth="1"/>
    <x:col min="15" max="15" width="13.5" hidden="0" customWidth="1"/>
  </x:cols>
  <x:sheetData>
    <x:row r="1" ht="19" customHeight="1">
      <x:c r="A1" s="117"/>
      <x:c r="B1" s="117"/>
      <x:c r="C1" s="117"/>
      <x:c r="D1" s="117"/>
      <x:c r="E1" s="117"/>
      <x:c r="F1" s="117"/>
      <x:c r="G1" s="117"/>
      <x:c r="H1" s="117"/>
      <x:c r="I1" s="117"/>
      <x:c r="J1" s="117"/>
      <x:c r="K1" s="117"/>
      <x:c r="L1" s="117"/>
      <x:c r="M1" s="117"/>
      <x:c r="N1" s="117"/>
      <x:c r="O1" s="117"/>
    </x:row>
    <x:row r="2" ht="19" customHeight="1">
      <x:c r="A2" s="117"/>
      <x:c r="B2" s="117"/>
      <x:c r="C2" s="169" t="str">
        <x:v>Abbott India - Cash flow</x:v>
      </x:c>
      <x:c r="D2" s="117"/>
      <x:c r="E2" s="117"/>
      <x:c r="F2" s="117"/>
      <x:c r="G2" s="117"/>
      <x:c r="H2" s="117"/>
      <x:c r="I2" s="117"/>
      <x:c r="J2" s="117"/>
      <x:c r="K2" s="117"/>
      <x:c r="L2" s="117"/>
      <x:c r="M2" s="117"/>
      <x:c r="N2" s="117"/>
      <x:c r="O2" s="117"/>
    </x:row>
    <x:row r="3" ht="19" customHeight="1">
      <x:c r="A3" s="117"/>
      <x:c r="B3" s="117"/>
      <x:c r="C3" s="134" t="str">
        <x:v>INR million, except per-share figures, ratios and days. March year-end.</x:v>
      </x:c>
      <x:c r="D3" s="117"/>
      <x:c r="E3" s="117"/>
      <x:c r="F3" s="117"/>
      <x:c r="G3" s="117"/>
      <x:c r="H3" s="117"/>
      <x:c r="I3" s="117"/>
      <x:c r="J3" s="117"/>
      <x:c r="K3" s="117"/>
      <x:c r="L3" s="117"/>
      <x:c r="M3" s="117"/>
      <x:c r="N3" s="117"/>
      <x:c r="O3" s="117"/>
    </x:row>
    <x:row r="4" ht="19" customHeight="1">
      <x:c r="A4" s="117"/>
      <x:c r="B4" s="117"/>
      <x:c r="C4" s="117"/>
      <x:c r="D4" s="117"/>
      <x:c r="E4" s="117"/>
      <x:c r="F4" s="117"/>
      <x:c r="G4" s="117"/>
      <x:c r="H4" s="117"/>
      <x:c r="I4" s="117"/>
      <x:c r="J4" s="117"/>
      <x:c r="K4" s="117"/>
      <x:c r="L4" s="117"/>
      <x:c r="M4" s="117"/>
      <x:c r="N4" s="117"/>
      <x:c r="O4" s="117"/>
    </x:row>
    <x:row r="5" ht="27" customHeight="1">
      <x:c r="A5" s="117"/>
      <x:c r="B5" s="117"/>
      <x:c r="C5" s="123" t="str">
        <x:v>Financial year</x:v>
      </x:c>
      <x:c r="D5" s="124" t="str">
        <x:v>FY24A</x:v>
      </x:c>
      <x:c r="E5" s="124" t="str">
        <x:v>FY25A</x:v>
      </x:c>
      <x:c r="F5" s="124" t="str">
        <x:v>FY26A</x:v>
      </x:c>
      <x:c r="G5" s="174" t="str">
        <x:v>FY27E</x:v>
      </x:c>
      <x:c r="H5" s="124" t="str">
        <x:v>FY28E</x:v>
      </x:c>
      <x:c r="I5" s="124" t="str">
        <x:v>FY29E</x:v>
      </x:c>
      <x:c r="J5" s="124" t="str">
        <x:v>FY30E</x:v>
      </x:c>
      <x:c r="K5" s="124" t="str">
        <x:v>FY31E</x:v>
      </x:c>
      <x:c r="L5" s="124" t="str">
        <x:v>FY32E</x:v>
      </x:c>
      <x:c r="M5" s="124" t="str">
        <x:v>FY33E</x:v>
      </x:c>
      <x:c r="N5" s="124" t="str">
        <x:v>FY34E</x:v>
      </x:c>
      <x:c r="O5" s="124" t="str">
        <x:v>FY35E</x:v>
      </x:c>
    </x:row>
    <x:row r="6" ht="19" customHeight="1">
      <x:c r="A6" s="117"/>
      <x:c r="B6" s="117"/>
      <x:c r="C6" s="172" t="str">
        <x:v>Operating activities</x:v>
      </x:c>
      <x:c r="D6" s="173"/>
      <x:c r="E6" s="173"/>
      <x:c r="F6" s="173"/>
      <x:c r="G6" s="180"/>
      <x:c r="H6" s="173"/>
      <x:c r="I6" s="173"/>
      <x:c r="J6" s="173"/>
      <x:c r="K6" s="173"/>
      <x:c r="L6" s="173"/>
      <x:c r="M6" s="173"/>
      <x:c r="N6" s="173"/>
      <x:c r="O6" s="173"/>
    </x:row>
    <x:row r="7" ht="19" customHeight="1">
      <x:c r="A7" s="117"/>
      <x:c r="B7" s="117"/>
      <x:c r="C7" s="117" t="str">
        <x:v>Profit before tax</x:v>
      </x:c>
      <x:c r="D7" s="118" t="n">
        <x:f>'Schedules'!D109</x:f>
        <x:v>16177.5</x:v>
      </x:c>
      <x:c r="E7" s="118" t="n">
        <x:f>'Schedules'!E109</x:f>
        <x:v>18869.5</x:v>
      </x:c>
      <x:c r="F7" s="118" t="n">
        <x:f>'Schedules'!F109</x:f>
        <x:v>20792.7</x:v>
      </x:c>
      <x:c r="G7" s="175" t="n">
        <x:f>'Schedules'!G109</x:f>
        <x:v>22771.9342181042</x:v>
      </x:c>
      <x:c r="H7" s="118" t="n">
        <x:f>'Schedules'!H109</x:f>
        <x:v>24333.91795755119</x:v>
      </x:c>
      <x:c r="I7" s="118" t="n">
        <x:f>'Schedules'!I109</x:f>
        <x:v>26600.102222703626</x:v>
      </x:c>
      <x:c r="J7" s="118" t="n">
        <x:f>'Schedules'!J109</x:f>
        <x:v>28927.37254766646</x:v>
      </x:c>
      <x:c r="K7" s="118" t="n">
        <x:f>'Schedules'!K109</x:f>
        <x:v>31217.072991520443</x:v>
      </x:c>
      <x:c r="L7" s="118" t="n">
        <x:f>'Schedules'!L109</x:f>
        <x:v>33471.96045762673</x:v>
      </x:c>
      <x:c r="M7" s="118" t="n">
        <x:f>'Schedules'!M109</x:f>
        <x:v>35635.161117484284</x:v>
      </x:c>
      <x:c r="N7" s="118" t="n">
        <x:f>'Schedules'!N109</x:f>
        <x:v>37792.2832410631</x:v>
      </x:c>
      <x:c r="O7" s="118" t="n">
        <x:f>'Schedules'!O109</x:f>
        <x:v>39923.64783563913</x:v>
      </x:c>
    </x:row>
    <x:row r="8" ht="19" customHeight="1">
      <x:c r="A8" s="117"/>
      <x:c r="B8" s="117"/>
      <x:c r="C8" s="117" t="str">
        <x:v>Depreciation and amortisation</x:v>
      </x:c>
      <x:c r="D8" s="118" t="n">
        <x:f>'Schedules'!D110</x:f>
        <x:v>711.7</x:v>
      </x:c>
      <x:c r="E8" s="118" t="n">
        <x:f>'Schedules'!E110</x:f>
        <x:v>718</x:v>
      </x:c>
      <x:c r="F8" s="118" t="n">
        <x:f>'Schedules'!F110</x:f>
        <x:v>759.6</x:v>
      </x:c>
      <x:c r="G8" s="175" t="n">
        <x:f>'Schedules'!G110</x:f>
        <x:v>809.8302443205</x:v>
      </x:c>
      <x:c r="H8" s="118" t="n">
        <x:f>'Schedules'!H110</x:f>
        <x:v>863.1629631848232</x:v>
      </x:c>
      <x:c r="I8" s="118" t="n">
        <x:f>'Schedules'!I110</x:f>
        <x:v>925.7229866622424</x:v>
      </x:c>
      <x:c r="J8" s="118" t="n">
        <x:f>'Schedules'!J110</x:f>
        <x:v>996.8587981284738</x:v>
      </x:c>
      <x:c r="K8" s="118" t="n">
        <x:f>'Schedules'!K110</x:f>
        <x:v>1074.6353110507848</x:v>
      </x:c>
      <x:c r="L8" s="118" t="n">
        <x:f>'Schedules'!L110</x:f>
        <x:v>1156.8601169090957</x:v>
      </x:c>
      <x:c r="M8" s="118" t="n">
        <x:f>'Schedules'!M110</x:f>
        <x:v>1241.7213337733183</x:v>
      </x:c>
      <x:c r="N8" s="118" t="n">
        <x:f>'Schedules'!N110</x:f>
        <x:v>1327.5375777022628</x:v>
      </x:c>
      <x:c r="O8" s="118" t="n">
        <x:f>'Schedules'!O110</x:f>
        <x:v>1413.6969104793784</x:v>
      </x:c>
    </x:row>
    <x:row r="9" ht="19" customHeight="1">
      <x:c r="A9" s="117"/>
      <x:c r="B9" s="117"/>
      <x:c r="C9" s="117" t="str">
        <x:v>Finance costs added back</x:v>
      </x:c>
      <x:c r="D9" s="118" t="n">
        <x:f>'Schedules'!D111</x:f>
        <x:v>124.5</x:v>
      </x:c>
      <x:c r="E9" s="118" t="n">
        <x:f>'Schedules'!E111</x:f>
        <x:v>114.3</x:v>
      </x:c>
      <x:c r="F9" s="118" t="n">
        <x:f>'Schedules'!F111</x:f>
        <x:v>249.9</x:v>
      </x:c>
      <x:c r="G9" s="175" t="n">
        <x:f>'Schedules'!G111</x:f>
        <x:v>219.38035925530002</x:v>
      </x:c>
      <x:c r="H9" s="118" t="n">
        <x:f>'Schedules'!H111</x:f>
        <x:v>234.56958504482128</x:v>
      </x:c>
      <x:c r="I9" s="118" t="n">
        <x:f>'Schedules'!I111</x:f>
        <x:v>252.07352132304095</x:v>
      </x:c>
      <x:c r="J9" s="118" t="n">
        <x:f>'Schedules'!J111</x:f>
        <x:v>271.52870672112977</x:v>
      </x:c>
      <x:c r="K9" s="118" t="n">
        <x:f>'Schedules'!K111</x:f>
        <x:v>292.3746285240212</x:v>
      </x:c>
      <x:c r="L9" s="118" t="n">
        <x:f>'Schedules'!L111</x:f>
        <x:v>314.1315003539819</x:v>
      </x:c>
      <x:c r="M9" s="118" t="n">
        <x:f>'Schedules'!M111</x:f>
        <x:v>336.2946933916661</x:v>
      </x:c>
      <x:c r="N9" s="118" t="n">
        <x:f>'Schedules'!N111</x:f>
        <x:v>358.63235983438113</x:v>
      </x:c>
      <x:c r="O9" s="118" t="n">
        <x:f>'Schedules'!O111</x:f>
        <x:v>380.9669197141079</x:v>
      </x:c>
    </x:row>
    <x:row r="10" ht="19" customHeight="1">
      <x:c r="A10" s="117"/>
      <x:c r="B10" s="117"/>
      <x:c r="C10" s="117" t="str">
        <x:v>Interest income removed</x:v>
      </x:c>
      <x:c r="D10" s="118" t="n">
        <x:f>'Schedules'!D112</x:f>
        <x:v>-2240</x:v>
      </x:c>
      <x:c r="E10" s="118" t="n">
        <x:f>'Schedules'!E112</x:f>
        <x:v>-2581</x:v>
      </x:c>
      <x:c r="F10" s="118" t="n">
        <x:f>'Schedules'!F112</x:f>
        <x:v>-2582</x:v>
      </x:c>
      <x:c r="G10" s="175" t="n">
        <x:f>'Schedules'!G112</x:f>
        <x:v>-2646.198</x:v>
      </x:c>
      <x:c r="H10" s="118" t="n">
        <x:f>'Schedules'!H112</x:f>
        <x:v>-2796.909960459247</x:v>
      </x:c>
      <x:c r="I10" s="118" t="n">
        <x:f>'Schedules'!I112</x:f>
        <x:v>-3132.510424258582</x:v>
      </x:c>
      <x:c r="J10" s="118" t="n">
        <x:f>'Schedules'!J112</x:f>
        <x:v>-3516.217124596189</x:v>
      </x:c>
      <x:c r="K10" s="118" t="n">
        <x:f>'Schedules'!K112</x:f>
        <x:v>-3930.1070352288075</x:v>
      </x:c>
      <x:c r="L10" s="118" t="n">
        <x:f>'Schedules'!L112</x:f>
        <x:v>-4371.423866712308</x:v>
      </x:c>
      <x:c r="M10" s="118" t="n">
        <x:f>'Schedules'!M112</x:f>
        <x:v>-4840.012150088425</x:v>
      </x:c>
      <x:c r="N10" s="118" t="n">
        <x:f>'Schedules'!N112</x:f>
        <x:v>-5333.567627937809</x:v>
      </x:c>
      <x:c r="O10" s="118" t="n">
        <x:f>'Schedules'!O112</x:f>
        <x:v>-5854.210684683229</x:v>
      </x:c>
    </x:row>
    <x:row r="11" ht="19" customHeight="1">
      <x:c r="A11" s="117"/>
      <x:c r="B11" s="117"/>
      <x:c r="C11" s="117" t="str">
        <x:v>Other non-cash / non-operating adjustments</x:v>
      </x:c>
      <x:c r="D11" s="118" t="n">
        <x:f>'Schedules'!D113</x:f>
        <x:v>105.3</x:v>
      </x:c>
      <x:c r="E11" s="118" t="n">
        <x:f>'Schedules'!E113</x:f>
        <x:v>35.2</x:v>
      </x:c>
      <x:c r="F11" s="118" t="n">
        <x:f>'Schedules'!F113</x:f>
        <x:v>74</x:v>
      </x:c>
      <x:c r="G11" s="175" t="n">
        <x:f>'Schedules'!G113</x:f>
        <x:v>0</x:v>
      </x:c>
      <x:c r="H11" s="118" t="n">
        <x:f>'Schedules'!H113</x:f>
        <x:v>0</x:v>
      </x:c>
      <x:c r="I11" s="118" t="n">
        <x:f>'Schedules'!I113</x:f>
        <x:v>0</x:v>
      </x:c>
      <x:c r="J11" s="118" t="n">
        <x:f>'Schedules'!J113</x:f>
        <x:v>0</x:v>
      </x:c>
      <x:c r="K11" s="118" t="n">
        <x:f>'Schedules'!K113</x:f>
        <x:v>0</x:v>
      </x:c>
      <x:c r="L11" s="118" t="n">
        <x:f>'Schedules'!L113</x:f>
        <x:v>0</x:v>
      </x:c>
      <x:c r="M11" s="118" t="n">
        <x:f>'Schedules'!M113</x:f>
        <x:v>0</x:v>
      </x:c>
      <x:c r="N11" s="118" t="n">
        <x:f>'Schedules'!N113</x:f>
        <x:v>0</x:v>
      </x:c>
      <x:c r="O11" s="118" t="n">
        <x:f>'Schedules'!O113</x:f>
        <x:v>0</x:v>
      </x:c>
    </x:row>
    <x:row r="12" ht="19" customHeight="1">
      <x:c r="A12" s="117"/>
      <x:c r="B12" s="117"/>
      <x:c r="C12" s="141" t="str">
        <x:v>Operating profit before working capital</x:v>
      </x:c>
      <x:c r="D12" s="159" t="n">
        <x:f>'Schedules'!D114</x:f>
        <x:v>14879</x:v>
      </x:c>
      <x:c r="E12" s="159" t="n">
        <x:f>'Schedules'!E114</x:f>
        <x:v>17156</x:v>
      </x:c>
      <x:c r="F12" s="159" t="n">
        <x:f>'Schedules'!F114</x:f>
        <x:v>19294.2</x:v>
      </x:c>
      <x:c r="G12" s="177" t="n">
        <x:f>'Schedules'!G114</x:f>
        <x:v>21154.94682168</x:v>
      </x:c>
      <x:c r="H12" s="159" t="n">
        <x:f>'Schedules'!H114</x:f>
        <x:v>22634.740545321587</x:v>
      </x:c>
      <x:c r="I12" s="159" t="n">
        <x:f>'Schedules'!I114</x:f>
        <x:v>24645.38830643033</x:v>
      </x:c>
      <x:c r="J12" s="159" t="n">
        <x:f>'Schedules'!J114</x:f>
        <x:v>26679.542927919872</x:v>
      </x:c>
      <x:c r="K12" s="159" t="n">
        <x:f>'Schedules'!K114</x:f>
        <x:v>28653.97589586644</x:v>
      </x:c>
      <x:c r="L12" s="159" t="n">
        <x:f>'Schedules'!L114</x:f>
        <x:v>30571.5282081775</x:v>
      </x:c>
      <x:c r="M12" s="159" t="n">
        <x:f>'Schedules'!M114</x:f>
        <x:v>32373.164994560844</x:v>
      </x:c>
      <x:c r="N12" s="159" t="n">
        <x:f>'Schedules'!N114</x:f>
        <x:v>34144.88555066194</x:v>
      </x:c>
      <x:c r="O12" s="159" t="n">
        <x:f>'Schedules'!O114</x:f>
        <x:v>35864.10098114938</x:v>
      </x:c>
    </x:row>
    <x:row r="13" ht="19" customHeight="1">
      <x:c r="A13" s="117"/>
      <x:c r="B13" s="117"/>
      <x:c r="C13" s="117"/>
      <x:c r="D13" s="118"/>
      <x:c r="E13" s="118"/>
      <x:c r="F13" s="118"/>
      <x:c r="G13" s="175"/>
      <x:c r="H13" s="118"/>
      <x:c r="I13" s="118"/>
      <x:c r="J13" s="118"/>
      <x:c r="K13" s="118"/>
      <x:c r="L13" s="118"/>
      <x:c r="M13" s="118"/>
      <x:c r="N13" s="118"/>
      <x:c r="O13" s="118"/>
    </x:row>
    <x:row r="14" ht="19" customHeight="1">
      <x:c r="A14" s="117"/>
      <x:c r="B14" s="117"/>
      <x:c r="C14" s="117" t="str">
        <x:v>Change in working capital</x:v>
      </x:c>
      <x:c r="D14" s="118" t="n">
        <x:f>'Schedules'!D121</x:f>
        <x:v>1293.8</x:v>
      </x:c>
      <x:c r="E14" s="118" t="n">
        <x:f>'Schedules'!E121</x:f>
        <x:v>-2567</x:v>
      </x:c>
      <x:c r="F14" s="118" t="n">
        <x:f>'Schedules'!F121</x:f>
        <x:v>-704.9</x:v>
      </x:c>
      <x:c r="G14" s="175" t="n">
        <x:f>'Schedules'!G121</x:f>
        <x:v>-525.8447648577621</x:v>
      </x:c>
      <x:c r="H14" s="118" t="n">
        <x:f>'Schedules'!H121</x:f>
        <x:v>-263.22979122847335</x:v>
      </x:c>
      <x:c r="I14" s="118" t="n">
        <x:f>'Schedules'!I121</x:f>
        <x:v>-304.2781366961129</x:v>
      </x:c>
      <x:c r="J14" s="118" t="n">
        <x:f>'Schedules'!J121</x:f>
        <x:v>-311.6870258903665</x:v>
      </x:c>
      <x:c r="K14" s="118" t="n">
        <x:f>'Schedules'!K121</x:f>
        <x:v>-308.6192943760635</x:v>
      </x:c>
      <x:c r="L14" s="118" t="n">
        <x:f>'Schedules'!L121</x:f>
        <x:v>-305.77921244469644</x:v>
      </x:c>
      <x:c r="M14" s="118" t="n">
        <x:f>'Schedules'!M121</x:f>
        <x:v>-295.34569981646837</x:v>
      </x:c>
      <x:c r="N14" s="118" t="n">
        <x:f>'Schedules'!N121</x:f>
        <x:v>-295.53547137270607</x:v>
      </x:c>
      <x:c r="O14" s="118" t="n">
        <x:f>'Schedules'!O121</x:f>
        <x:v>-292.8017377829114</x:v>
      </x:c>
    </x:row>
    <x:row r="15" ht="19" customHeight="1">
      <x:c r="A15" s="117"/>
      <x:c r="B15" s="117"/>
      <x:c r="C15" s="141" t="str">
        <x:v>Cash generated from operations</x:v>
      </x:c>
      <x:c r="D15" s="159" t="n">
        <x:f>'Schedules'!D122</x:f>
        <x:v>16172.8</x:v>
      </x:c>
      <x:c r="E15" s="159" t="n">
        <x:f>'Schedules'!E122</x:f>
        <x:v>14589</x:v>
      </x:c>
      <x:c r="F15" s="159" t="n">
        <x:f>'Schedules'!F122</x:f>
        <x:v>18589.3</x:v>
      </x:c>
      <x:c r="G15" s="177" t="n">
        <x:f>'Schedules'!G122</x:f>
        <x:v>20629.102056822238</x:v>
      </x:c>
      <x:c r="H15" s="159" t="n">
        <x:f>'Schedules'!H122</x:f>
        <x:v>22371.510754093113</x:v>
      </x:c>
      <x:c r="I15" s="159" t="n">
        <x:f>'Schedules'!I122</x:f>
        <x:v>24341.110169734216</x:v>
      </x:c>
      <x:c r="J15" s="159" t="n">
        <x:f>'Schedules'!J122</x:f>
        <x:v>26367.855902029507</x:v>
      </x:c>
      <x:c r="K15" s="159" t="n">
        <x:f>'Schedules'!K122</x:f>
        <x:v>28345.356601490374</x:v>
      </x:c>
      <x:c r="L15" s="159" t="n">
        <x:f>'Schedules'!L122</x:f>
        <x:v>30265.748995732803</x:v>
      </x:c>
      <x:c r="M15" s="159" t="n">
        <x:f>'Schedules'!M122</x:f>
        <x:v>32077.819294744375</x:v>
      </x:c>
      <x:c r="N15" s="159" t="n">
        <x:f>'Schedules'!N122</x:f>
        <x:v>33849.35007928923</x:v>
      </x:c>
      <x:c r="O15" s="159" t="n">
        <x:f>'Schedules'!O122</x:f>
        <x:v>35571.29924336647</x:v>
      </x:c>
    </x:row>
    <x:row r="16" ht="19" customHeight="1">
      <x:c r="A16" s="117"/>
      <x:c r="B16" s="117"/>
      <x:c r="C16" s="117" t="str">
        <x:v>Income tax paid</x:v>
      </x:c>
      <x:c r="D16" s="118" t="n">
        <x:f>'Schedules'!D123</x:f>
        <x:v>-4044.7</x:v>
      </x:c>
      <x:c r="E16" s="118" t="n">
        <x:f>'Schedules'!E123</x:f>
        <x:v>-4470.6</x:v>
      </x:c>
      <x:c r="F16" s="118" t="n">
        <x:f>'Schedules'!F123</x:f>
        <x:v>-5396.9</x:v>
      </x:c>
      <x:c r="G16" s="175" t="n">
        <x:f>'Schedules'!G123</x:f>
        <x:v>-5728.343272696824</x:v>
      </x:c>
      <x:c r="H16" s="118" t="n">
        <x:f>'Schedules'!H123</x:f>
        <x:v>-6124.847149915635</x:v>
      </x:c>
      <x:c r="I16" s="118" t="n">
        <x:f>'Schedules'!I123</x:f>
        <x:v>-6695.245729454502</x:v>
      </x:c>
      <x:c r="J16" s="118" t="n">
        <x:f>'Schedules'!J123</x:f>
        <x:v>-7281.019670247647</x:v>
      </x:c>
      <x:c r="K16" s="118" t="n">
        <x:f>'Schedules'!K123</x:f>
        <x:v>-7857.3372719656945</x:v>
      </x:c>
      <x:c r="L16" s="118" t="n">
        <x:f>'Schedules'!L123</x:f>
        <x:v>-8424.892447184648</x:v>
      </x:c>
      <x:c r="M16" s="118" t="n">
        <x:f>'Schedules'!M123</x:f>
        <x:v>-8969.370053270794</x:v>
      </x:c>
      <x:c r="N16" s="118" t="n">
        <x:f>'Schedules'!N123</x:f>
        <x:v>-9512.317691775583</x:v>
      </x:c>
      <x:c r="O16" s="118" t="n">
        <x:f>'Schedules'!O123</x:f>
        <x:v>-10048.782160230368</x:v>
      </x:c>
    </x:row>
    <x:row r="17" ht="19" customHeight="1">
      <x:c r="A17" s="117"/>
      <x:c r="B17" s="117"/>
      <x:c r="C17" s="141" t="str">
        <x:v>Cash from operating activities</x:v>
      </x:c>
      <x:c r="D17" s="159" t="n">
        <x:f>'Schedules'!D124</x:f>
        <x:v>12128.099999999999</x:v>
      </x:c>
      <x:c r="E17" s="159" t="n">
        <x:f>'Schedules'!E124</x:f>
        <x:v>10118.4</x:v>
      </x:c>
      <x:c r="F17" s="159" t="n">
        <x:f>'Schedules'!F124</x:f>
        <x:v>13192.4</x:v>
      </x:c>
      <x:c r="G17" s="177" t="n">
        <x:f>'Schedules'!G124</x:f>
        <x:v>14900.758784125414</x:v>
      </x:c>
      <x:c r="H17" s="159" t="n">
        <x:f>'Schedules'!H124</x:f>
        <x:v>16246.663604177478</x:v>
      </x:c>
      <x:c r="I17" s="159" t="n">
        <x:f>'Schedules'!I124</x:f>
        <x:v>17645.864440279714</x:v>
      </x:c>
      <x:c r="J17" s="159" t="n">
        <x:f>'Schedules'!J124</x:f>
        <x:v>19086.83623178186</x:v>
      </x:c>
      <x:c r="K17" s="159" t="n">
        <x:f>'Schedules'!K124</x:f>
        <x:v>20488.01932952468</x:v>
      </x:c>
      <x:c r="L17" s="159" t="n">
        <x:f>'Schedules'!L124</x:f>
        <x:v>21840.856548548156</x:v>
      </x:c>
      <x:c r="M17" s="159" t="n">
        <x:f>'Schedules'!M124</x:f>
        <x:v>23108.44924147358</x:v>
      </x:c>
      <x:c r="N17" s="159" t="n">
        <x:f>'Schedules'!N124</x:f>
        <x:v>24337.032387513646</x:v>
      </x:c>
      <x:c r="O17" s="159" t="n">
        <x:f>'Schedules'!O124</x:f>
        <x:v>25522.517083136103</x:v>
      </x:c>
    </x:row>
    <x:row r="18" ht="19" customHeight="1">
      <x:c r="A18" s="117"/>
      <x:c r="B18" s="117"/>
      <x:c r="C18" s="117"/>
      <x:c r="D18" s="118"/>
      <x:c r="E18" s="118"/>
      <x:c r="F18" s="118"/>
      <x:c r="G18" s="175"/>
      <x:c r="H18" s="118"/>
      <x:c r="I18" s="118"/>
      <x:c r="J18" s="118"/>
      <x:c r="K18" s="118"/>
      <x:c r="L18" s="118"/>
      <x:c r="M18" s="118"/>
      <x:c r="N18" s="118"/>
      <x:c r="O18" s="118"/>
    </x:row>
    <x:row r="19" ht="19" customHeight="1">
      <x:c r="A19" s="117"/>
      <x:c r="B19" s="117"/>
      <x:c r="C19" s="172" t="str">
        <x:v>Investing activities</x:v>
      </x:c>
      <x:c r="D19" s="173"/>
      <x:c r="E19" s="173"/>
      <x:c r="F19" s="173"/>
      <x:c r="G19" s="180"/>
      <x:c r="H19" s="173"/>
      <x:c r="I19" s="173"/>
      <x:c r="J19" s="173"/>
      <x:c r="K19" s="173"/>
      <x:c r="L19" s="173"/>
      <x:c r="M19" s="173"/>
      <x:c r="N19" s="173"/>
      <x:c r="O19" s="173"/>
    </x:row>
    <x:row r="20" ht="19" customHeight="1">
      <x:c r="A20" s="117"/>
      <x:c r="B20" s="117"/>
      <x:c r="C20" s="117" t="str">
        <x:v>Cash capex</x:v>
      </x:c>
      <x:c r="D20" s="118" t="n">
        <x:f>'Schedules'!D126</x:f>
        <x:v>-483.3</x:v>
      </x:c>
      <x:c r="E20" s="118" t="n">
        <x:f>'Schedules'!E126</x:f>
        <x:v>-526</x:v>
      </x:c>
      <x:c r="F20" s="118" t="n">
        <x:f>'Schedules'!F126</x:f>
        <x:v>-409.2</x:v>
      </x:c>
      <x:c r="G20" s="175" t="n">
        <x:f>'Schedules'!G126</x:f>
        <x:v>-535.0524432049999</x:v>
      </x:c>
      <x:c r="H20" s="118" t="n">
        <x:f>'Schedules'!H126</x:f>
        <x:v>-582.5117052104822</x:v>
      </x:c>
      <x:c r="I20" s="118" t="n">
        <x:f>'Schedules'!I126</x:f>
        <x:v>-634.256316709604</x:v>
      </x:c>
      <x:c r="J20" s="118" t="n">
        <x:f>'Schedules'!J126</x:f>
        <x:v>-686.6058841744085</x:v>
      </x:c>
      <x:c r="K20" s="118" t="n">
        <x:f>'Schedules'!K126</x:f>
        <x:v>-737.4184973200923</x:v>
      </x:c>
      <x:c r="L20" s="118" t="n">
        <x:f>'Schedules'!L126</x:f>
        <x:v>-786.7672700633916</x:v>
      </x:c>
      <x:c r="M20" s="118" t="n">
        <x:f>'Schedules'!M126</x:f>
        <x:v>-833.1329226541391</x:v>
      </x:c>
      <x:c r="N20" s="118" t="n">
        <x:f>'Schedules'!N126</x:f>
        <x:v>-878.728672259682</x:v>
      </x:c>
      <x:c r="O20" s="118" t="n">
        <x:f>'Schedules'!O126</x:f>
        <x:v>-922.9731870148743</x:v>
      </x:c>
    </x:row>
    <x:row r="21" ht="19" customHeight="1">
      <x:c r="A21" s="117"/>
      <x:c r="B21" s="117"/>
      <x:c r="C21" s="117" t="str">
        <x:v>Net deposit redemptions / (placements)</x:v>
      </x:c>
      <x:c r="D21" s="118" t="n">
        <x:f>'Schedules'!D127</x:f>
        <x:v>-5115.3</x:v>
      </x:c>
      <x:c r="E21" s="118" t="n">
        <x:f>'Schedules'!E127</x:f>
        <x:v>1088.3</x:v>
      </x:c>
      <x:c r="F21" s="118" t="n">
        <x:f>'Schedules'!F127</x:f>
        <x:v>-7436</x:v>
      </x:c>
      <x:c r="G21" s="175" t="n">
        <x:f>'Schedules'!G127</x:f>
        <x:v>-2349.0022087541147</x:v>
      </x:c>
      <x:c r="H21" s="118" t="n">
        <x:f>'Schedules'!H127</x:f>
        <x:v>-5186.547388989551</x:v>
      </x:c>
      <x:c r="I21" s="118" t="n">
        <x:f>'Schedules'!I127</x:f>
        <x:v>-5951.586430872405</x:v>
      </x:c>
      <x:c r="J21" s="118" t="n">
        <x:f>'Schedules'!J127</x:f>
        <x:v>-6449.454598940552</x:v>
      </x:c>
      <x:c r="K21" s="118" t="n">
        <x:f>'Schedules'!K127</x:f>
        <x:v>-6919.74384061915</x:v>
      </x:c>
      <x:c r="L21" s="118" t="n">
        <x:f>'Schedules'!L127</x:f>
        <x:v>-7386.815242278433</x:v>
      </x:c>
      <x:c r="M21" s="118" t="n">
        <x:f>'Schedules'!M127</x:f>
        <x:v>-7828.504751473811</x:v>
      </x:c>
      <x:c r="N21" s="118" t="n">
        <x:f>'Schedules'!N127</x:f>
        <x:v>-8286.56356818568</x:v>
      </x:c>
      <x:c r="O21" s="118" t="n">
        <x:f>'Schedules'!O127</x:f>
        <x:v>-8737.845556644184</x:v>
      </x:c>
    </x:row>
    <x:row r="22" ht="19" customHeight="1">
      <x:c r="A22" s="117"/>
      <x:c r="B22" s="117"/>
      <x:c r="C22" s="117" t="str">
        <x:v>Asset-disposal proceeds</x:v>
      </x:c>
      <x:c r="D22" s="118" t="n">
        <x:f>'Schedules'!D128</x:f>
        <x:v>2</x:v>
      </x:c>
      <x:c r="E22" s="118" t="n">
        <x:f>'Schedules'!E128</x:f>
        <x:v>5.2</x:v>
      </x:c>
      <x:c r="F22" s="118" t="n">
        <x:f>'Schedules'!F128</x:f>
        <x:v>286.1</x:v>
      </x:c>
      <x:c r="G22" s="175" t="n">
        <x:f>'Schedules'!G128</x:f>
        <x:v>0</x:v>
      </x:c>
      <x:c r="H22" s="118" t="n">
        <x:f>'Schedules'!H128</x:f>
        <x:v>0</x:v>
      </x:c>
      <x:c r="I22" s="118" t="n">
        <x:f>'Schedules'!I128</x:f>
        <x:v>0</x:v>
      </x:c>
      <x:c r="J22" s="118" t="n">
        <x:f>'Schedules'!J128</x:f>
        <x:v>0</x:v>
      </x:c>
      <x:c r="K22" s="118" t="n">
        <x:f>'Schedules'!K128</x:f>
        <x:v>0</x:v>
      </x:c>
      <x:c r="L22" s="118" t="n">
        <x:f>'Schedules'!L128</x:f>
        <x:v>0</x:v>
      </x:c>
      <x:c r="M22" s="118" t="n">
        <x:f>'Schedules'!M128</x:f>
        <x:v>0</x:v>
      </x:c>
      <x:c r="N22" s="118" t="n">
        <x:f>'Schedules'!N128</x:f>
        <x:v>0</x:v>
      </x:c>
      <x:c r="O22" s="118" t="n">
        <x:f>'Schedules'!O128</x:f>
        <x:v>0</x:v>
      </x:c>
    </x:row>
    <x:row r="23" ht="19" customHeight="1">
      <x:c r="A23" s="117"/>
      <x:c r="B23" s="117"/>
      <x:c r="C23" s="117" t="str">
        <x:v>Interest received</x:v>
      </x:c>
      <x:c r="D23" s="118" t="n">
        <x:f>'Schedules'!D129</x:f>
        <x:v>1436.3</x:v>
      </x:c>
      <x:c r="E23" s="118" t="n">
        <x:f>'Schedules'!E129</x:f>
        <x:v>1254.3</x:v>
      </x:c>
      <x:c r="F23" s="118" t="n">
        <x:f>'Schedules'!F129</x:f>
        <x:v>3845.3</x:v>
      </x:c>
      <x:c r="G23" s="175" t="n">
        <x:f>'Schedules'!G129</x:f>
        <x:v>2646.198</x:v>
      </x:c>
      <x:c r="H23" s="118" t="n">
        <x:f>'Schedules'!H129</x:f>
        <x:v>2796.909960459247</x:v>
      </x:c>
      <x:c r="I23" s="118" t="n">
        <x:f>'Schedules'!I129</x:f>
        <x:v>3132.510424258582</x:v>
      </x:c>
      <x:c r="J23" s="118" t="n">
        <x:f>'Schedules'!J129</x:f>
        <x:v>3516.217124596189</x:v>
      </x:c>
      <x:c r="K23" s="118" t="n">
        <x:f>'Schedules'!K129</x:f>
        <x:v>3930.1070352288075</x:v>
      </x:c>
      <x:c r="L23" s="118" t="n">
        <x:f>'Schedules'!L129</x:f>
        <x:v>4371.423866712308</x:v>
      </x:c>
      <x:c r="M23" s="118" t="n">
        <x:f>'Schedules'!M129</x:f>
        <x:v>4840.012150088425</x:v>
      </x:c>
      <x:c r="N23" s="118" t="n">
        <x:f>'Schedules'!N129</x:f>
        <x:v>5333.567627937809</x:v>
      </x:c>
      <x:c r="O23" s="118" t="n">
        <x:f>'Schedules'!O129</x:f>
        <x:v>5854.210684683229</x:v>
      </x:c>
    </x:row>
    <x:row r="24" ht="19" customHeight="1">
      <x:c r="A24" s="117"/>
      <x:c r="B24" s="117"/>
      <x:c r="C24" s="141" t="str">
        <x:v>Cash from investing activities</x:v>
      </x:c>
      <x:c r="D24" s="159" t="n">
        <x:f>'Schedules'!D130</x:f>
        <x:v>-4160.3</x:v>
      </x:c>
      <x:c r="E24" s="159" t="n">
        <x:f>'Schedules'!E130</x:f>
        <x:v>1821.8</x:v>
      </x:c>
      <x:c r="F24" s="159" t="n">
        <x:f>'Schedules'!F130</x:f>
        <x:v>-3713.7999999999993</x:v>
      </x:c>
      <x:c r="G24" s="177" t="n">
        <x:f>'Schedules'!G130</x:f>
        <x:v>-237.85665195911452</x:v>
      </x:c>
      <x:c r="H24" s="159" t="n">
        <x:f>'Schedules'!H130</x:f>
        <x:v>-2972.1491337407865</x:v>
      </x:c>
      <x:c r="I24" s="159" t="n">
        <x:f>'Schedules'!I130</x:f>
        <x:v>-3453.332323323427</x:v>
      </x:c>
      <x:c r="J24" s="159" t="n">
        <x:f>'Schedules'!J130</x:f>
        <x:v>-3619.843358518772</x:v>
      </x:c>
      <x:c r="K24" s="159" t="n">
        <x:f>'Schedules'!K130</x:f>
        <x:v>-3727.0553027104356</x:v>
      </x:c>
      <x:c r="L24" s="159" t="n">
        <x:f>'Schedules'!L130</x:f>
        <x:v>-3802.158645629517</x:v>
      </x:c>
      <x:c r="M24" s="159" t="n">
        <x:f>'Schedules'!M130</x:f>
        <x:v>-3821.625524039524</x:v>
      </x:c>
      <x:c r="N24" s="159" t="n">
        <x:f>'Schedules'!N130</x:f>
        <x:v>-3831.7246125075526</x:v>
      </x:c>
      <x:c r="O24" s="159" t="n">
        <x:f>'Schedules'!O130</x:f>
        <x:v>-3806.6080589758285</x:v>
      </x:c>
    </x:row>
    <x:row r="25" ht="19" customHeight="1">
      <x:c r="A25" s="117"/>
      <x:c r="B25" s="117"/>
      <x:c r="C25" s="117"/>
      <x:c r="D25" s="118"/>
      <x:c r="E25" s="118"/>
      <x:c r="F25" s="118"/>
      <x:c r="G25" s="175"/>
      <x:c r="H25" s="118"/>
      <x:c r="I25" s="118"/>
      <x:c r="J25" s="118"/>
      <x:c r="K25" s="118"/>
      <x:c r="L25" s="118"/>
      <x:c r="M25" s="118"/>
      <x:c r="N25" s="118"/>
      <x:c r="O25" s="118"/>
    </x:row>
    <x:row r="26" ht="19" customHeight="1">
      <x:c r="A26" s="117"/>
      <x:c r="B26" s="117"/>
      <x:c r="C26" s="172" t="str">
        <x:v>Financing activities</x:v>
      </x:c>
      <x:c r="D26" s="173"/>
      <x:c r="E26" s="173"/>
      <x:c r="F26" s="173"/>
      <x:c r="G26" s="180"/>
      <x:c r="H26" s="173"/>
      <x:c r="I26" s="173"/>
      <x:c r="J26" s="173"/>
      <x:c r="K26" s="173"/>
      <x:c r="L26" s="173"/>
      <x:c r="M26" s="173"/>
      <x:c r="N26" s="173"/>
      <x:c r="O26" s="173"/>
    </x:row>
    <x:row r="27" ht="19" customHeight="1">
      <x:c r="A27" s="117"/>
      <x:c r="B27" s="117"/>
      <x:c r="C27" s="117" t="str">
        <x:v>Dividends paid</x:v>
      </x:c>
      <x:c r="D27" s="118" t="n">
        <x:f>'Schedules'!D132</x:f>
        <x:v>-6906</x:v>
      </x:c>
      <x:c r="E27" s="118" t="n">
        <x:f>'Schedules'!E132</x:f>
        <x:v>-8712.2</x:v>
      </x:c>
      <x:c r="F27" s="118" t="n">
        <x:f>'Schedules'!F132</x:f>
        <x:v>-10093.4</x:v>
      </x:c>
      <x:c r="G27" s="175" t="n">
        <x:f>'Schedules'!G132</x:f>
        <x:v>-13939.542112</x:v>
      </x:c>
      <x:c r="H27" s="118" t="n">
        <x:f>'Schedules'!H132</x:f>
        <x:v>-12271.385480693303</x:v>
      </x:c>
      <x:c r="I27" s="118" t="n">
        <x:f>'Schedules'!I132</x:f>
        <x:v>-13110.530981497599</x:v>
      </x:c>
      <x:c r="J27" s="118" t="n">
        <x:f>'Schedules'!J132</x:f>
        <x:v>-14331.49667513937</x:v>
      </x:c>
      <x:c r="K27" s="118" t="n">
        <x:f>'Schedules'!K132</x:f>
        <x:v>-15585.374071741544</x:v>
      </x:c>
      <x:c r="L27" s="118" t="n">
        <x:f>'Schedules'!L132</x:f>
        <x:v>-16819.00971807942</x:v>
      </x:c>
      <x:c r="M27" s="118" t="n">
        <x:f>'Schedules'!M132</x:f>
        <x:v>-18033.888967518298</x:v>
      </x:c>
      <x:c r="N27" s="118" t="n">
        <x:f>'Schedules'!N132</x:f>
        <x:v>-19199.369566233712</x:v>
      </x:c>
      <x:c r="O27" s="118" t="n">
        <x:f>'Schedules'!O132</x:f>
        <x:v>-20361.57519548701</x:v>
      </x:c>
    </x:row>
    <x:row r="28" ht="19" customHeight="1">
      <x:c r="A28" s="117"/>
      <x:c r="B28" s="117"/>
      <x:c r="C28" s="117" t="str">
        <x:v>Lease principal paid</x:v>
      </x:c>
      <x:c r="D28" s="118" t="n">
        <x:f>'Schedules'!D133</x:f>
        <x:v>-452.4</x:v>
      </x:c>
      <x:c r="E28" s="118" t="n">
        <x:f>'Schedules'!E133</x:f>
        <x:v>-468.5</x:v>
      </x:c>
      <x:c r="F28" s="118" t="n">
        <x:f>'Schedules'!F133</x:f>
        <x:v>-386.4</x:v>
      </x:c>
      <x:c r="G28" s="175" t="n">
        <x:f>'Schedules'!G133</x:f>
        <x:v>-386.9775</x:v>
      </x:c>
      <x:c r="H28" s="118" t="n">
        <x:f>'Schedules'!H133</x:f>
        <x:v>-411.6953050981875</x:v>
      </x:c>
      <x:c r="I28" s="118" t="n">
        <x:f>'Schedules'!I133</x:f>
        <x:v>-440.76719986114244</x:v>
      </x:c>
      <x:c r="J28" s="118" t="n">
        <x:f>'Schedules'!J133</x:f>
        <x:v>-474.1088460620706</x:v>
      </x:c>
      <x:c r="K28" s="118" t="n">
        <x:f>'Schedules'!K133</x:f>
        <x:v>-510.88594221311496</x:v>
      </x:c>
      <x:c r="L28" s="118" t="n">
        <x:f>'Schedules'!L133</x:f>
        <x:v>-550.0043984052548</x:v>
      </x:c>
      <x:c r="M28" s="118" t="n">
        <x:f>'Schedules'!M133</x:f>
        <x:v>-590.631570545174</x:v>
      </x:c>
      <x:c r="N28" s="118" t="n">
        <x:f>'Schedules'!N133</x:f>
        <x:v>-631.8047385127496</x:v>
      </x:c>
      <x:c r="O28" s="118" t="n">
        <x:f>'Schedules'!O133</x:f>
        <x:v>-673.2401985159215</x:v>
      </x:c>
    </x:row>
    <x:row r="29" ht="19" customHeight="1">
      <x:c r="A29" s="117"/>
      <x:c r="B29" s="117"/>
      <x:c r="C29" s="117" t="str">
        <x:v>Interest paid</x:v>
      </x:c>
      <x:c r="D29" s="118" t="n">
        <x:f>'Schedules'!D134</x:f>
        <x:v>-88.7</x:v>
      </x:c>
      <x:c r="E29" s="118" t="n">
        <x:f>'Schedules'!E134</x:f>
        <x:v>-71</x:v>
      </x:c>
      <x:c r="F29" s="118" t="n">
        <x:f>'Schedules'!F134</x:f>
        <x:v>-181.4</x:v>
      </x:c>
      <x:c r="G29" s="175" t="n">
        <x:f>'Schedules'!G134</x:f>
        <x:v>-173.51872126630002</x:v>
      </x:c>
      <x:c r="H29" s="118" t="n">
        <x:f>'Schedules'!H134</x:f>
        <x:v>-184.64001031249424</x:v>
      </x:c>
      <x:c r="I29" s="118" t="n">
        <x:f>'Schedules'!I134</x:f>
        <x:v>-197.70869417650346</x:v>
      </x:c>
      <x:c r="J29" s="118" t="n">
        <x:f>'Schedules'!J134</x:f>
        <x:v>-212.6767737918948</x:v>
      </x:c>
      <x:c r="K29" s="118" t="n">
        <x:f>'Schedules'!K134</x:f>
        <x:v>-229.16732875372756</x:v>
      </x:c>
      <x:c r="L29" s="118" t="n">
        <x:f>'Schedules'!L134</x:f>
        <x:v>-246.69430577711978</x:v>
      </x:c>
      <x:c r="M29" s="118" t="n">
        <x:f>'Schedules'!M134</x:f>
        <x:v>-264.88330002131136</x:v>
      </x:c>
      <x:c r="N29" s="118" t="n">
        <x:f>'Schedules'!N134</x:f>
        <x:v>-283.31275935497985</x:v>
      </x:c>
      <x:c r="O29" s="118" t="n">
        <x:f>'Schedules'!O134</x:f>
        <x:v>-301.85493225569013</x:v>
      </x:c>
    </x:row>
    <x:row r="30" ht="19" customHeight="1">
      <x:c r="A30" s="117"/>
      <x:c r="B30" s="117"/>
      <x:c r="C30" s="141" t="str">
        <x:v>Cash from financing activities</x:v>
      </x:c>
      <x:c r="D30" s="159" t="n">
        <x:f>'Schedules'!D135</x:f>
        <x:v>-7447.099999999999</x:v>
      </x:c>
      <x:c r="E30" s="159" t="n">
        <x:f>'Schedules'!E135</x:f>
        <x:v>-9251.7</x:v>
      </x:c>
      <x:c r="F30" s="159" t="n">
        <x:f>'Schedules'!F135</x:f>
        <x:v>-10661.199999999999</x:v>
      </x:c>
      <x:c r="G30" s="177" t="n">
        <x:f>'Schedules'!G135</x:f>
        <x:v>-14500.0383332663</x:v>
      </x:c>
      <x:c r="H30" s="159" t="n">
        <x:f>'Schedules'!H135</x:f>
        <x:v>-12867.720796103986</x:v>
      </x:c>
      <x:c r="I30" s="159" t="n">
        <x:f>'Schedules'!I135</x:f>
        <x:v>-13749.006875535244</x:v>
      </x:c>
      <x:c r="J30" s="159" t="n">
        <x:f>'Schedules'!J135</x:f>
        <x:v>-15018.282294993334</x:v>
      </x:c>
      <x:c r="K30" s="159" t="n">
        <x:f>'Schedules'!K135</x:f>
        <x:v>-16325.427342708386</x:v>
      </x:c>
      <x:c r="L30" s="159" t="n">
        <x:f>'Schedules'!L135</x:f>
        <x:v>-17615.708422261792</x:v>
      </x:c>
      <x:c r="M30" s="159" t="n">
        <x:f>'Schedules'!M135</x:f>
        <x:v>-18889.403838084785</x:v>
      </x:c>
      <x:c r="N30" s="159" t="n">
        <x:f>'Schedules'!N135</x:f>
        <x:v>-20114.487064101442</x:v>
      </x:c>
      <x:c r="O30" s="159" t="n">
        <x:f>'Schedules'!O135</x:f>
        <x:v>-21336.670326258623</x:v>
      </x:c>
    </x:row>
    <x:row r="31" ht="19" customHeight="1">
      <x:c r="A31" s="117"/>
      <x:c r="B31" s="117"/>
      <x:c r="C31" s="117"/>
      <x:c r="D31" s="118"/>
      <x:c r="E31" s="118"/>
      <x:c r="F31" s="118"/>
      <x:c r="G31" s="175"/>
      <x:c r="H31" s="118"/>
      <x:c r="I31" s="118"/>
      <x:c r="J31" s="118"/>
      <x:c r="K31" s="118"/>
      <x:c r="L31" s="118"/>
      <x:c r="M31" s="118"/>
      <x:c r="N31" s="118"/>
      <x:c r="O31" s="118"/>
    </x:row>
    <x:row r="32" ht="19" customHeight="1">
      <x:c r="A32" s="117"/>
      <x:c r="B32" s="117"/>
      <x:c r="C32" s="141" t="str">
        <x:v>Net change in cash and cash equivalents</x:v>
      </x:c>
      <x:c r="D32" s="159" t="n">
        <x:f>'Schedules'!D143</x:f>
        <x:v>520.7000000000003</x:v>
      </x:c>
      <x:c r="E32" s="159" t="n">
        <x:f>'Schedules'!E143</x:f>
        <x:v>2688.4999999999995</x:v>
      </x:c>
      <x:c r="F32" s="159" t="n">
        <x:f>'Schedules'!F143</x:f>
        <x:v>-1182.5999999999995</x:v>
      </x:c>
      <x:c r="G32" s="177" t="n">
        <x:f>'Schedules'!G143</x:f>
        <x:v>162.86379889999716</x:v>
      </x:c>
      <x:c r="H32" s="159" t="n">
        <x:f>'Schedules'!H143</x:f>
        <x:v>406.7936743327082</x:v>
      </x:c>
      <x:c r="I32" s="159" t="n">
        <x:f>'Schedules'!I143</x:f>
        <x:v>443.5252414210445</x:v>
      </x:c>
      <x:c r="J32" s="159" t="n">
        <x:f>'Schedules'!J143</x:f>
        <x:v>448.71057826975266</x:v>
      </x:c>
      <x:c r="K32" s="159" t="n">
        <x:f>'Schedules'!K143</x:f>
        <x:v>435.5366841058585</x:v>
      </x:c>
      <x:c r="L32" s="159" t="n">
        <x:f>'Schedules'!L143</x:f>
        <x:v>422.9894806568482</x:v>
      </x:c>
      <x:c r="M32" s="159" t="n">
        <x:f>'Schedules'!M143</x:f>
        <x:v>397.41987934926874</x:v>
      </x:c>
      <x:c r="N32" s="159" t="n">
        <x:f>'Schedules'!N143</x:f>
        <x:v>390.8207109046489</x:v>
      </x:c>
      <x:c r="O32" s="159" t="n">
        <x:f>'Schedules'!O143</x:f>
        <x:v>379.2386979016519</x:v>
      </x:c>
    </x:row>
    <x:row r="33" ht="19" customHeight="1">
      <x:c r="A33" s="117"/>
      <x:c r="B33" s="117"/>
      <x:c r="C33" s="117" t="str">
        <x:v>Opening cash and cash equivalents</x:v>
      </x:c>
      <x:c r="D33" s="118" t="n">
        <x:f>'Schedules'!D137</x:f>
        <x:v>2396.7</x:v>
      </x:c>
      <x:c r="E33" s="118" t="n">
        <x:f>'Schedules'!E137</x:f>
        <x:v>2917.4</x:v>
      </x:c>
      <x:c r="F33" s="118" t="n">
        <x:f>'Schedules'!F137</x:f>
        <x:v>5605.9</x:v>
      </x:c>
      <x:c r="G33" s="175" t="n">
        <x:f>'Schedules'!G137</x:f>
        <x:v>4423.3</x:v>
      </x:c>
      <x:c r="H33" s="118" t="n">
        <x:f>'Schedules'!H137</x:f>
        <x:v>4586.163798899997</x:v>
      </x:c>
      <x:c r="I33" s="118" t="n">
        <x:f>'Schedules'!I137</x:f>
        <x:v>4992.9574732327055</x:v>
      </x:c>
      <x:c r="J33" s="118" t="n">
        <x:f>'Schedules'!J137</x:f>
        <x:v>5436.48271465375</x:v>
      </x:c>
      <x:c r="K33" s="118" t="n">
        <x:f>'Schedules'!K137</x:f>
        <x:v>5885.193292923503</x:v>
      </x:c>
      <x:c r="L33" s="118" t="n">
        <x:f>'Schedules'!L137</x:f>
        <x:v>6320.729977029361</x:v>
      </x:c>
      <x:c r="M33" s="118" t="n">
        <x:f>'Schedules'!M137</x:f>
        <x:v>6743.719457686209</x:v>
      </x:c>
      <x:c r="N33" s="118" t="n">
        <x:f>'Schedules'!N137</x:f>
        <x:v>7141.139337035478</x:v>
      </x:c>
      <x:c r="O33" s="118" t="n">
        <x:f>'Schedules'!O137</x:f>
        <x:v>7531.960047940127</x:v>
      </x:c>
    </x:row>
    <x:row r="34" ht="19" customHeight="1">
      <x:c r="A34" s="117"/>
      <x:c r="B34" s="117"/>
      <x:c r="C34" s="141" t="str">
        <x:v>Closing cash and cash equivalents</x:v>
      </x:c>
      <x:c r="D34" s="159" t="n">
        <x:f>'Schedules'!D142</x:f>
        <x:v>2917.4</x:v>
      </x:c>
      <x:c r="E34" s="159" t="n">
        <x:f>'Schedules'!E142</x:f>
        <x:v>5605.9</x:v>
      </x:c>
      <x:c r="F34" s="159" t="n">
        <x:f>'Schedules'!F142</x:f>
        <x:v>4423.3</x:v>
      </x:c>
      <x:c r="G34" s="177" t="n">
        <x:f>'Schedules'!G142</x:f>
        <x:v>4586.163798899997</x:v>
      </x:c>
      <x:c r="H34" s="159" t="n">
        <x:f>'Schedules'!H142</x:f>
        <x:v>4992.9574732327055</x:v>
      </x:c>
      <x:c r="I34" s="159" t="n">
        <x:f>'Schedules'!I142</x:f>
        <x:v>5436.48271465375</x:v>
      </x:c>
      <x:c r="J34" s="159" t="n">
        <x:f>'Schedules'!J142</x:f>
        <x:v>5885.193292923503</x:v>
      </x:c>
      <x:c r="K34" s="159" t="n">
        <x:f>'Schedules'!K142</x:f>
        <x:v>6320.729977029361</x:v>
      </x:c>
      <x:c r="L34" s="159" t="n">
        <x:f>'Schedules'!L142</x:f>
        <x:v>6743.719457686209</x:v>
      </x:c>
      <x:c r="M34" s="159" t="n">
        <x:f>'Schedules'!M142</x:f>
        <x:v>7141.139337035478</x:v>
      </x:c>
      <x:c r="N34" s="159" t="n">
        <x:f>'Schedules'!N142</x:f>
        <x:v>7531.960047940127</x:v>
      </x:c>
      <x:c r="O34" s="159" t="n">
        <x:f>'Schedules'!O142</x:f>
        <x:v>7911.198745841779</x:v>
      </x:c>
    </x:row>
    <x:row r="35" ht="19" customHeight="1">
      <x:c r="A35" s="117"/>
      <x:c r="B35" s="117"/>
      <x:c r="C35" s="117"/>
      <x:c r="D35" s="118"/>
      <x:c r="E35" s="118"/>
      <x:c r="F35" s="118"/>
      <x:c r="G35" s="175"/>
      <x:c r="H35" s="118"/>
      <x:c r="I35" s="118"/>
      <x:c r="J35" s="118"/>
      <x:c r="K35" s="118"/>
      <x:c r="L35" s="118"/>
      <x:c r="M35" s="118"/>
      <x:c r="N35" s="118"/>
      <x:c r="O35" s="118"/>
    </x:row>
    <x:row r="36" ht="19" customHeight="1">
      <x:c r="A36" s="117"/>
      <x:c r="B36" s="117"/>
      <x:c r="C36" s="117"/>
      <x:c r="D36" s="118"/>
      <x:c r="E36" s="118"/>
      <x:c r="F36" s="118"/>
      <x:c r="G36" s="175"/>
      <x:c r="H36" s="118"/>
      <x:c r="I36" s="118"/>
      <x:c r="J36" s="118"/>
      <x:c r="K36" s="118"/>
      <x:c r="L36" s="118"/>
      <x:c r="M36" s="118"/>
      <x:c r="N36" s="118"/>
      <x:c r="O36" s="118"/>
    </x:row>
    <x:row r="37">
      <x:c r="G37" s="181"/>
    </x:row>
    <x:row r="38">
      <x:c r="G38" s="181"/>
    </x:row>
    <x:row r="39">
      <x:c r="G39" s="181"/>
    </x:row>
    <x:row r="40">
      <x:c r="G40" s="181"/>
    </x:row>
    <x:row r="41">
      <x:c r="G41" s="181"/>
    </x:row>
    <x:row r="42">
      <x:c r="G42" s="181"/>
    </x:row>
    <x:row r="43">
      <x:c r="G43" s="181"/>
    </x:row>
    <x:row r="44">
      <x:c r="G44" s="181"/>
    </x:row>
    <x:row r="45">
      <x:c r="G45" s="181"/>
    </x:row>
    <x:row r="46">
      <x:c r="G46" s="181"/>
    </x:row>
    <x:row r="47">
      <x:c r="G47" s="181"/>
    </x:row>
    <x:row r="48">
      <x:c r="G48" s="181"/>
    </x:row>
    <x:row r="49">
      <x:c r="G49" s="181"/>
    </x:row>
    <x:row r="50">
      <x:c r="G50" s="181"/>
    </x:row>
    <x:row r="51">
      <x:c r="G51" s="181"/>
    </x:row>
    <x:row r="52">
      <x:c r="G52" s="181"/>
    </x:row>
    <x:row r="53">
      <x:c r="G53" s="181"/>
    </x:row>
    <x:row r="54">
      <x:c r="G54" s="181"/>
    </x:row>
    <x:row r="55">
      <x:c r="G55" s="181"/>
    </x:row>
    <x:row r="56">
      <x:c r="G56" s="181"/>
    </x:row>
    <x:row r="57">
      <x:c r="G57" s="181"/>
    </x:row>
    <x:row r="58">
      <x:c r="G58" s="181"/>
    </x:row>
    <x:row r="59">
      <x:c r="G59" s="181"/>
    </x:row>
    <x:row r="60">
      <x:c r="G60" s="181"/>
    </x:row>
    <x:row r="61">
      <x:c r="G61" s="181"/>
    </x:row>
    <x:row r="62">
      <x:c r="G62" s="181"/>
    </x:row>
    <x:row r="63">
      <x:c r="G63" s="181"/>
    </x:row>
    <x:row r="64">
      <x:c r="G64" s="181"/>
    </x:row>
    <x:row r="65">
      <x:c r="G65" s="181"/>
    </x:row>
    <x:row r="66">
      <x:c r="G66" s="181"/>
    </x:row>
    <x:row r="67">
      <x:c r="G67" s="181"/>
    </x:row>
    <x:row r="68">
      <x:c r="G68" s="181"/>
    </x:row>
    <x:row r="69">
      <x:c r="G69" s="181"/>
    </x:row>
    <x:row r="70">
      <x:c r="G70" s="181"/>
    </x:row>
    <x:row r="71">
      <x:c r="G71" s="181"/>
    </x:row>
    <x:row r="72">
      <x:c r="G72" s="181"/>
    </x:row>
    <x:row r="73">
      <x:c r="G73" s="181"/>
    </x:row>
    <x:row r="74">
      <x:c r="G74" s="181"/>
    </x:row>
    <x:row r="75">
      <x:c r="G75" s="181"/>
    </x:row>
    <x:row r="76">
      <x:c r="G76" s="181"/>
    </x:row>
    <x:row r="77">
      <x:c r="G77" s="181"/>
    </x:row>
    <x:row r="78">
      <x:c r="G78" s="181"/>
    </x:row>
    <x:row r="79">
      <x:c r="G79" s="181"/>
    </x:row>
    <x:row r="80">
      <x:c r="G80" s="181"/>
    </x:row>
    <x:row r="81">
      <x:c r="G81" s="181"/>
    </x:row>
    <x:row r="82">
      <x:c r="G82" s="181"/>
    </x:row>
    <x:row r="83">
      <x:c r="G83" s="181"/>
    </x:row>
    <x:row r="84">
      <x:c r="G84" s="181"/>
    </x:row>
    <x:row r="85">
      <x:c r="G85" s="181"/>
    </x:row>
    <x:row r="86">
      <x:c r="G86" s="181"/>
    </x:row>
    <x:row r="87">
      <x:c r="G87" s="181"/>
    </x:row>
    <x:row r="88">
      <x:c r="G88" s="181"/>
    </x:row>
    <x:row r="89">
      <x:c r="G89" s="181"/>
    </x:row>
    <x:row r="90">
      <x:c r="G90" s="181"/>
    </x:row>
    <x:row r="91">
      <x:c r="G91" s="181"/>
    </x:row>
    <x:row r="92">
      <x:c r="G92" s="181"/>
    </x:row>
    <x:row r="93">
      <x:c r="G93" s="181"/>
    </x:row>
    <x:row r="94">
      <x:c r="G94" s="181"/>
    </x:row>
    <x:row r="95">
      <x:c r="G95" s="181"/>
    </x:row>
    <x:row r="96">
      <x:c r="G96" s="181"/>
    </x:row>
    <x:row r="97">
      <x:c r="G97" s="181"/>
    </x:row>
    <x:row r="98">
      <x:c r="G98" s="181"/>
    </x:row>
    <x:row r="99">
      <x:c r="G99" s="181"/>
    </x:row>
    <x:row r="100">
      <x:c r="G100" s="181"/>
    </x:row>
    <x:row r="101">
      <x:c r="G101" s="181"/>
    </x:row>
    <x:row r="102">
      <x:c r="G102" s="181"/>
    </x:row>
    <x:row r="103">
      <x:c r="G103" s="181"/>
    </x:row>
    <x:row r="104">
      <x:c r="G104" s="181"/>
    </x:row>
    <x:row r="105">
      <x:c r="G105" s="181"/>
    </x:row>
    <x:row r="106">
      <x:c r="G106" s="181"/>
    </x:row>
    <x:row r="107">
      <x:c r="G107" s="181"/>
    </x:row>
    <x:row r="108">
      <x:c r="G108" s="181"/>
    </x:row>
    <x:row r="109">
      <x:c r="G109" s="181"/>
    </x:row>
    <x:row r="110">
      <x:c r="G110" s="181"/>
    </x:row>
    <x:row r="111">
      <x:c r="G111" s="181"/>
    </x:row>
    <x:row r="112">
      <x:c r="G112" s="181"/>
    </x:row>
    <x:row r="113">
      <x:c r="G113" s="181"/>
    </x:row>
    <x:row r="114">
      <x:c r="G114" s="181"/>
    </x:row>
    <x:row r="115">
      <x:c r="G115" s="181"/>
    </x:row>
    <x:row r="116">
      <x:c r="G116" s="181"/>
    </x:row>
    <x:row r="117">
      <x:c r="G117" s="181"/>
    </x:row>
    <x:row r="118">
      <x:c r="G118" s="181"/>
    </x:row>
    <x:row r="119">
      <x:c r="G119" s="181"/>
    </x:row>
    <x:row r="120">
      <x:c r="G120" s="181"/>
    </x:row>
    <x:row r="121">
      <x:c r="G121" s="181"/>
    </x:row>
    <x:row r="122">
      <x:c r="G122" s="181"/>
    </x:row>
    <x:row r="123">
      <x:c r="G123" s="181"/>
    </x:row>
    <x:row r="124">
      <x:c r="G124" s="181"/>
    </x:row>
    <x:row r="125">
      <x:c r="G125" s="181"/>
    </x:row>
    <x:row r="126">
      <x:c r="G126" s="181"/>
    </x:row>
    <x:row r="127">
      <x:c r="G127" s="181"/>
    </x:row>
    <x:row r="128">
      <x:c r="G128" s="181"/>
    </x:row>
    <x:row r="129">
      <x:c r="G129" s="181"/>
    </x:row>
    <x:row r="130">
      <x:c r="G130" s="181"/>
    </x:row>
    <x:row r="131">
      <x:c r="G131" s="181"/>
    </x:row>
    <x:row r="132">
      <x:c r="G132" s="181"/>
    </x:row>
    <x:row r="133">
      <x:c r="G133" s="181"/>
    </x:row>
    <x:row r="134">
      <x:c r="G134" s="181"/>
    </x:row>
    <x:row r="135">
      <x:c r="G135" s="181"/>
    </x:row>
    <x:row r="136">
      <x:c r="G136" s="181"/>
    </x:row>
    <x:row r="137">
      <x:c r="G137" s="181"/>
    </x:row>
    <x:row r="138">
      <x:c r="G138" s="181"/>
    </x:row>
    <x:row r="139">
      <x:c r="G139" s="181"/>
    </x:row>
    <x:row r="140">
      <x:c r="G140" s="181"/>
    </x:row>
    <x:row r="141">
      <x:c r="G141" s="181"/>
    </x:row>
    <x:row r="142">
      <x:c r="G142" s="181"/>
    </x:row>
    <x:row r="143">
      <x:c r="G143" s="181"/>
    </x:row>
    <x:row r="144">
      <x:c r="G144" s="181"/>
    </x:row>
    <x:row r="145">
      <x:c r="G145" s="181"/>
    </x:row>
    <x:row r="146">
      <x:c r="G146" s="181"/>
    </x:row>
    <x:row r="147">
      <x:c r="G147" s="181"/>
    </x:row>
    <x:row r="148">
      <x:c r="G148" s="18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F88A6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3.5" hidden="0" customWidth="1"/>
    <x:col min="15" max="15" width="13.5" hidden="0" customWidth="1"/>
  </x:cols>
  <x:sheetData>
    <x:row r="1" ht="19" customHeight="1">
      <x:c r="A1" s="117"/>
      <x:c r="B1" s="117"/>
      <x:c r="C1" s="117"/>
      <x:c r="D1" s="117"/>
      <x:c r="E1" s="117"/>
      <x:c r="F1" s="117"/>
      <x:c r="G1" s="117"/>
      <x:c r="H1" s="117"/>
      <x:c r="I1" s="117"/>
      <x:c r="J1" s="117"/>
      <x:c r="K1" s="117"/>
      <x:c r="L1" s="117"/>
      <x:c r="M1" s="117"/>
      <x:c r="N1" s="117"/>
      <x:c r="O1" s="117"/>
    </x:row>
    <x:row r="2" ht="19" customHeight="1">
      <x:c r="A2" s="117"/>
      <x:c r="B2" s="117"/>
      <x:c r="C2" s="119" t="str">
        <x:v>Abbott India - Financial assumptions</x:v>
      </x:c>
      <x:c r="D2" s="117"/>
      <x:c r="E2" s="117"/>
      <x:c r="F2" s="117"/>
      <x:c r="G2" s="117"/>
      <x:c r="H2" s="117"/>
      <x:c r="I2" s="117"/>
      <x:c r="J2" s="117"/>
      <x:c r="K2" s="117"/>
      <x:c r="L2" s="117"/>
      <x:c r="M2" s="117"/>
      <x:c r="N2" s="117"/>
      <x:c r="O2" s="117"/>
    </x:row>
    <x:row r="3" ht="19" customHeight="1">
      <x:c r="A3" s="117"/>
      <x:c r="B3" s="117"/>
      <x:c r="C3" s="120" t="str">
        <x:v>INR million, except per-share figures, ratios and days. March year-end.</x:v>
      </x:c>
      <x:c r="D3" s="117"/>
      <x:c r="E3" s="117"/>
      <x:c r="F3" s="117"/>
      <x:c r="G3" s="117"/>
      <x:c r="H3" s="117"/>
      <x:c r="I3" s="117"/>
      <x:c r="J3" s="117"/>
      <x:c r="K3" s="117"/>
      <x:c r="L3" s="117"/>
      <x:c r="M3" s="117"/>
      <x:c r="N3" s="117"/>
      <x:c r="O3" s="117"/>
    </x:row>
    <x:row r="4" ht="19" customHeight="1">
      <x:c r="A4" s="117"/>
      <x:c r="B4" s="117"/>
      <x:c r="C4" s="117"/>
      <x:c r="D4" s="117"/>
      <x:c r="E4" s="117"/>
      <x:c r="F4" s="117"/>
      <x:c r="G4" s="117"/>
      <x:c r="H4" s="117"/>
      <x:c r="I4" s="117"/>
      <x:c r="J4" s="117"/>
      <x:c r="K4" s="117"/>
      <x:c r="L4" s="117"/>
      <x:c r="M4" s="117"/>
      <x:c r="N4" s="117"/>
      <x:c r="O4" s="117"/>
    </x:row>
    <x:row r="5" ht="27" customHeight="1">
      <x:c r="A5" s="117"/>
      <x:c r="B5" s="117"/>
      <x:c r="C5" s="123" t="str">
        <x:v>Financial year</x:v>
      </x:c>
      <x:c r="D5" s="124" t="str">
        <x:v>FY24A</x:v>
      </x:c>
      <x:c r="E5" s="124" t="str">
        <x:v>FY25A</x:v>
      </x:c>
      <x:c r="F5" s="124" t="str">
        <x:v>FY26A</x:v>
      </x:c>
      <x:c r="G5" s="174" t="str">
        <x:v>FY27E</x:v>
      </x:c>
      <x:c r="H5" s="124" t="str">
        <x:v>FY28E</x:v>
      </x:c>
      <x:c r="I5" s="124" t="str">
        <x:v>FY29E</x:v>
      </x:c>
      <x:c r="J5" s="124" t="str">
        <x:v>FY30E</x:v>
      </x:c>
      <x:c r="K5" s="124" t="str">
        <x:v>FY31E</x:v>
      </x:c>
      <x:c r="L5" s="124" t="str">
        <x:v>FY32E</x:v>
      </x:c>
      <x:c r="M5" s="124" t="str">
        <x:v>FY33E</x:v>
      </x:c>
      <x:c r="N5" s="124" t="str">
        <x:v>FY34E</x:v>
      </x:c>
      <x:c r="O5" s="124" t="str">
        <x:v>FY35E</x:v>
      </x:c>
    </x:row>
    <x:row r="6" ht="19" customHeight="1">
      <x:c r="A6" s="117"/>
      <x:c r="B6" s="117"/>
      <x:c r="C6" s="117"/>
      <x:c r="D6" s="118"/>
      <x:c r="E6" s="118"/>
      <x:c r="F6" s="118"/>
      <x:c r="G6" s="175"/>
      <x:c r="H6" s="118"/>
      <x:c r="I6" s="118"/>
      <x:c r="J6" s="118"/>
      <x:c r="K6" s="118"/>
      <x:c r="L6" s="118"/>
      <x:c r="M6" s="118"/>
      <x:c r="N6" s="118"/>
      <x:c r="O6" s="118"/>
    </x:row>
    <x:row r="7" ht="19" customHeight="1">
      <x:c r="A7" s="117"/>
      <x:c r="B7" s="117"/>
      <x:c r="C7" s="127" t="str">
        <x:v>P&amp;L assumptions</x:v>
      </x:c>
      <x:c r="D7" s="128"/>
      <x:c r="E7" s="128"/>
      <x:c r="F7" s="128"/>
      <x:c r="G7" s="182"/>
      <x:c r="H7" s="128"/>
      <x:c r="I7" s="128"/>
      <x:c r="J7" s="128"/>
      <x:c r="K7" s="128"/>
      <x:c r="L7" s="128"/>
      <x:c r="M7" s="128"/>
      <x:c r="N7" s="128"/>
      <x:c r="O7" s="128"/>
    </x:row>
    <x:row r="8" ht="19" customHeight="1">
      <x:c r="A8" s="117"/>
      <x:c r="B8" s="117"/>
      <x:c r="C8" s="134" t="str">
        <x:v>Cost of goods sold / revenue</x:v>
      </x:c>
      <x:c r="D8" s="148" t="n">
        <x:f>'Schedules'!D24/'Schedules'!D23</x:f>
        <x:v>0.5506342207351456</x:v>
      </x:c>
      <x:c r="E8" s="148" t="n">
        <x:f>'Schedules'!E24/'Schedules'!E23</x:f>
        <x:v>0.5455918491531638</x:v>
      </x:c>
      <x:c r="F8" s="148" t="n">
        <x:f>'Schedules'!F24/'Schedules'!F23</x:f>
        <x:v>0.532947518058031</x:v>
      </x:c>
      <x:c r="G8" s="183" t="n">
        <x:v>0.535</x:v>
      </x:c>
      <x:c r="H8" s="152" t="n">
        <x:v>0.535</x:v>
      </x:c>
      <x:c r="I8" s="152" t="n">
        <x:v>0.535</x:v>
      </x:c>
      <x:c r="J8" s="152" t="n">
        <x:v>0.535</x:v>
      </x:c>
      <x:c r="K8" s="152" t="n">
        <x:v>0.535</x:v>
      </x:c>
      <x:c r="L8" s="152" t="n">
        <x:v>0.535</x:v>
      </x:c>
      <x:c r="M8" s="152" t="n">
        <x:v>0.535</x:v>
      </x:c>
      <x:c r="N8" s="152" t="n">
        <x:v>0.535</x:v>
      </x:c>
      <x:c r="O8" s="152" t="n">
        <x:v>0.535</x:v>
      </x:c>
    </x:row>
    <x:row r="9" ht="19" customHeight="1">
      <x:c r="A9" s="117"/>
      <x:c r="B9" s="117"/>
      <x:c r="C9" s="134" t="str">
        <x:v>Employee expense / revenue</x:v>
      </x:c>
      <x:c r="D9" s="148" t="n">
        <x:f>'Schedules'!D25/'Schedules'!D23</x:f>
        <x:v>0.09857905148138714</x:v>
      </x:c>
      <x:c r="E9" s="148" t="n">
        <x:f>'Schedules'!E25/'Schedules'!E23</x:f>
        <x:v>0.09167206259800441</x:v>
      </x:c>
      <x:c r="F9" s="148" t="n">
        <x:f>'Schedules'!F25/'Schedules'!F23</x:f>
        <x:v>0.09652405452406895</x:v>
      </x:c>
      <x:c r="G9" s="183" t="n">
        <x:v>0.097</x:v>
      </x:c>
      <x:c r="H9" s="152" t="n">
        <x:v>0.097</x:v>
      </x:c>
      <x:c r="I9" s="152" t="n">
        <x:v>0.097</x:v>
      </x:c>
      <x:c r="J9" s="152" t="n">
        <x:v>0.097</x:v>
      </x:c>
      <x:c r="K9" s="152" t="n">
        <x:v>0.097</x:v>
      </x:c>
      <x:c r="L9" s="152" t="n">
        <x:v>0.097</x:v>
      </x:c>
      <x:c r="M9" s="152" t="n">
        <x:v>0.097</x:v>
      </x:c>
      <x:c r="N9" s="152" t="n">
        <x:v>0.097</x:v>
      </x:c>
      <x:c r="O9" s="152" t="n">
        <x:v>0.097</x:v>
      </x:c>
    </x:row>
    <x:row r="10" ht="19" customHeight="1">
      <x:c r="A10" s="117"/>
      <x:c r="B10" s="117"/>
      <x:c r="C10" s="134" t="str">
        <x:v>Other operating expense / revenue</x:v>
      </x:c>
      <x:c r="D10" s="148" t="n">
        <x:f>'Schedules'!D26/'Schedules'!D23</x:f>
        <x:v>0.10234727496234342</x:v>
      </x:c>
      <x:c r="E10" s="148" t="n">
        <x:f>'Schedules'!E26/'Schedules'!E23</x:f>
        <x:v>0.0983328522502984</x:v>
      </x:c>
      <x:c r="F10" s="148" t="n">
        <x:f>'Schedules'!F26/'Schedules'!F23</x:f>
        <x:v>0.09746357725806569</x:v>
      </x:c>
      <x:c r="G10" s="183" t="n">
        <x:v>0.1</x:v>
      </x:c>
      <x:c r="H10" s="152" t="n">
        <x:v>0.1</x:v>
      </x:c>
      <x:c r="I10" s="152" t="n">
        <x:v>0.1</x:v>
      </x:c>
      <x:c r="J10" s="152" t="n">
        <x:v>0.1</x:v>
      </x:c>
      <x:c r="K10" s="152" t="n">
        <x:v>0.1</x:v>
      </x:c>
      <x:c r="L10" s="152" t="n">
        <x:v>0.1</x:v>
      </x:c>
      <x:c r="M10" s="152" t="n">
        <x:v>0.1</x:v>
      </x:c>
      <x:c r="N10" s="152" t="n">
        <x:v>0.1</x:v>
      </x:c>
      <x:c r="O10" s="152" t="n">
        <x:v>0.1</x:v>
      </x:c>
    </x:row>
    <x:row r="11" ht="19" customHeight="1">
      <x:c r="A11" s="117"/>
      <x:c r="B11" s="117"/>
      <x:c r="C11" s="134" t="str">
        <x:v>Non-interest other income / revenue</x:v>
      </x:c>
      <x:c r="D11" s="148" t="n">
        <x:f>'Schedules'!D29/'Schedules'!D23</x:f>
        <x:v>0.004149491101760841</x:v>
      </x:c>
      <x:c r="E11" s="148" t="n">
        <x:f>'Schedules'!E29/'Schedules'!E23</x:f>
        <x:v>0.0027273507407378516</x:v>
      </x:c>
      <x:c r="F11" s="148" t="n">
        <x:f>'Schedules'!F29/'Schedules'!F23</x:f>
        <x:v>0.004320938656814426</x:v>
      </x:c>
      <x:c r="G11" s="183" t="n">
        <x:v>0.004</x:v>
      </x:c>
      <x:c r="H11" s="152" t="n">
        <x:v>0.004</x:v>
      </x:c>
      <x:c r="I11" s="152" t="n">
        <x:v>0.004</x:v>
      </x:c>
      <x:c r="J11" s="152" t="n">
        <x:v>0.004</x:v>
      </x:c>
      <x:c r="K11" s="152" t="n">
        <x:v>0.004</x:v>
      </x:c>
      <x:c r="L11" s="152" t="n">
        <x:v>0.004</x:v>
      </x:c>
      <x:c r="M11" s="152" t="n">
        <x:v>0.004</x:v>
      </x:c>
      <x:c r="N11" s="152" t="n">
        <x:v>0.004</x:v>
      </x:c>
      <x:c r="O11" s="152" t="n">
        <x:v>0.004</x:v>
      </x:c>
    </x:row>
    <x:row r="12" ht="19" customHeight="1">
      <x:c r="A12" s="117"/>
      <x:c r="B12" s="117"/>
      <x:c r="C12" s="134" t="str">
        <x:v>Yield on opening cash and deposits</x:v>
      </x:c>
      <x:c r="D12" s="135" t="str">
        <x:v>n.a.</x:v>
      </x:c>
      <x:c r="E12" s="148" t="n">
        <x:f>'Schedules'!E28/SUM('Schedules'!D141:'Schedules'!D142)</x:f>
        <x:v>0.07118605735152564</x:v>
      </x:c>
      <x:c r="F12" s="148" t="n">
        <x:f>'Schedules'!F28/SUM('Schedules'!E141:'Schedules'!E142)</x:f>
        <x:v>0.06821340068371913</x:v>
      </x:c>
      <x:c r="G12" s="183" t="n">
        <x:v>0.06</x:v>
      </x:c>
      <x:c r="H12" s="152" t="n">
        <x:v>0.06</x:v>
      </x:c>
      <x:c r="I12" s="152" t="n">
        <x:v>0.06</x:v>
      </x:c>
      <x:c r="J12" s="152" t="n">
        <x:v>0.06</x:v>
      </x:c>
      <x:c r="K12" s="152" t="n">
        <x:v>0.06</x:v>
      </x:c>
      <x:c r="L12" s="152" t="n">
        <x:v>0.06</x:v>
      </x:c>
      <x:c r="M12" s="152" t="n">
        <x:v>0.06</x:v>
      </x:c>
      <x:c r="N12" s="152" t="n">
        <x:v>0.06</x:v>
      </x:c>
      <x:c r="O12" s="152" t="n">
        <x:v>0.06</x:v>
      </x:c>
    </x:row>
    <x:row r="13" ht="19" customHeight="1">
      <x:c r="A13" s="117"/>
      <x:c r="B13" s="117"/>
      <x:c r="C13" s="134" t="str">
        <x:v>Tax rate on profit before tax</x:v>
      </x:c>
      <x:c r="D13" s="148" t="n">
        <x:f>'Schedules'!D33/'Schedules'!D32</x:f>
        <x:v>0.25747488796167517</x:v>
      </x:c>
      <x:c r="E13" s="148" t="n">
        <x:f>'Schedules'!E33/'Schedules'!E32</x:f>
        <x:v>0.2504093908158669</x:v>
      </x:c>
      <x:c r="F13" s="148" t="n">
        <x:f>'Schedules'!F33/'Schedules'!F32</x:f>
        <x:v>0.2535745718449263</x:v>
      </x:c>
      <x:c r="G13" s="183" t="n">
        <x:v>0.2517</x:v>
      </x:c>
      <x:c r="H13" s="152" t="n">
        <x:v>0.2517</x:v>
      </x:c>
      <x:c r="I13" s="152" t="n">
        <x:v>0.2517</x:v>
      </x:c>
      <x:c r="J13" s="152" t="n">
        <x:v>0.2517</x:v>
      </x:c>
      <x:c r="K13" s="152" t="n">
        <x:v>0.2517</x:v>
      </x:c>
      <x:c r="L13" s="152" t="n">
        <x:v>0.2517</x:v>
      </x:c>
      <x:c r="M13" s="152" t="n">
        <x:v>0.2517</x:v>
      </x:c>
      <x:c r="N13" s="152" t="n">
        <x:v>0.2517</x:v>
      </x:c>
      <x:c r="O13" s="152" t="n">
        <x:v>0.2517</x:v>
      </x:c>
    </x:row>
    <x:row r="14" ht="19" customHeight="1">
      <x:c r="A14" s="117"/>
      <x:c r="B14" s="117"/>
      <x:c r="C14" s="117"/>
      <x:c r="D14" s="118"/>
      <x:c r="E14" s="118"/>
      <x:c r="F14" s="118"/>
      <x:c r="G14" s="175"/>
      <x:c r="H14" s="118"/>
      <x:c r="I14" s="118"/>
      <x:c r="J14" s="118"/>
      <x:c r="K14" s="118"/>
      <x:c r="L14" s="118"/>
      <x:c r="M14" s="118"/>
      <x:c r="N14" s="118"/>
      <x:c r="O14" s="118"/>
    </x:row>
    <x:row r="15" ht="19" customHeight="1">
      <x:c r="A15" s="117"/>
      <x:c r="B15" s="117"/>
      <x:c r="C15" s="127" t="str">
        <x:v>Working-capital assumptions</x:v>
      </x:c>
      <x:c r="D15" s="128"/>
      <x:c r="E15" s="128"/>
      <x:c r="F15" s="128"/>
      <x:c r="G15" s="182"/>
      <x:c r="H15" s="128"/>
      <x:c r="I15" s="128"/>
      <x:c r="J15" s="128"/>
      <x:c r="K15" s="128"/>
      <x:c r="L15" s="128"/>
      <x:c r="M15" s="128"/>
      <x:c r="N15" s="128"/>
      <x:c r="O15" s="128"/>
    </x:row>
    <x:row r="16" ht="19" customHeight="1">
      <x:c r="A16" s="117"/>
      <x:c r="B16" s="117"/>
      <x:c r="C16" s="117" t="str">
        <x:v>Receivable days</x:v>
      </x:c>
      <x:c r="D16" s="149" t="n">
        <x:f>'Schedules'!D84/'Schedules'!D23*365</x:f>
        <x:v>19.91399252168353</x:v>
      </x:c>
      <x:c r="E16" s="149" t="n">
        <x:f>'Schedules'!E84/'Schedules'!E23*365</x:f>
        <x:v>21.65403368621424</x:v>
      </x:c>
      <x:c r="F16" s="149" t="n">
        <x:f>'Schedules'!F84/'Schedules'!F23*365</x:f>
        <x:v>19.05476941283437</x:v>
      </x:c>
      <x:c r="G16" s="184" t="n">
        <x:v>20</x:v>
      </x:c>
      <x:c r="H16" s="153" t="n">
        <x:v>20</x:v>
      </x:c>
      <x:c r="I16" s="153" t="n">
        <x:v>20</x:v>
      </x:c>
      <x:c r="J16" s="153" t="n">
        <x:v>20</x:v>
      </x:c>
      <x:c r="K16" s="153" t="n">
        <x:v>20</x:v>
      </x:c>
      <x:c r="L16" s="153" t="n">
        <x:v>20</x:v>
      </x:c>
      <x:c r="M16" s="153" t="n">
        <x:v>20</x:v>
      </x:c>
      <x:c r="N16" s="153" t="n">
        <x:v>20</x:v>
      </x:c>
      <x:c r="O16" s="153" t="n">
        <x:v>20</x:v>
      </x:c>
    </x:row>
    <x:row r="17" ht="19" customHeight="1">
      <x:c r="A17" s="117"/>
      <x:c r="B17" s="117"/>
      <x:c r="C17" s="117" t="str">
        <x:v>Inventory days / COGS</x:v>
      </x:c>
      <x:c r="D17" s="149" t="n">
        <x:f>'Schedules'!D85/'Schedules'!D24*365</x:f>
        <x:v>70.21859213006232</x:v>
      </x:c>
      <x:c r="E17" s="149" t="n">
        <x:f>'Schedules'!E85/'Schedules'!E24*365</x:f>
        <x:v>92.06887479338133</x:v>
      </x:c>
      <x:c r="F17" s="149" t="n">
        <x:f>'Schedules'!F85/'Schedules'!F24*365</x:f>
        <x:v>93.62760708618347</x:v>
      </x:c>
      <x:c r="G17" s="184" t="n">
        <x:v>94</x:v>
      </x:c>
      <x:c r="H17" s="153" t="n">
        <x:v>94</x:v>
      </x:c>
      <x:c r="I17" s="153" t="n">
        <x:v>94</x:v>
      </x:c>
      <x:c r="J17" s="153" t="n">
        <x:v>94</x:v>
      </x:c>
      <x:c r="K17" s="153" t="n">
        <x:v>94</x:v>
      </x:c>
      <x:c r="L17" s="153" t="n">
        <x:v>94</x:v>
      </x:c>
      <x:c r="M17" s="153" t="n">
        <x:v>94</x:v>
      </x:c>
      <x:c r="N17" s="153" t="n">
        <x:v>94</x:v>
      </x:c>
      <x:c r="O17" s="153" t="n">
        <x:v>94</x:v>
      </x:c>
    </x:row>
    <x:row r="18" ht="19" customHeight="1">
      <x:c r="A18" s="117"/>
      <x:c r="B18" s="117"/>
      <x:c r="C18" s="117" t="str">
        <x:v>Payable days / COGS</x:v>
      </x:c>
      <x:c r="D18" s="149" t="n">
        <x:f>'Schedules'!D86/'Schedules'!D24*365</x:f>
        <x:v>113.63743203927206</x:v>
      </x:c>
      <x:c r="E18" s="149" t="n">
        <x:f>'Schedules'!E86/'Schedules'!E24*365</x:f>
        <x:v>110.42127328570857</x:v>
      </x:c>
      <x:c r="F18" s="149" t="n">
        <x:f>'Schedules'!F86/'Schedules'!F24*365</x:f>
        <x:v>109.40946214546064</x:v>
      </x:c>
      <x:c r="G18" s="184" t="n">
        <x:v>109</x:v>
      </x:c>
      <x:c r="H18" s="153" t="n">
        <x:v>109</x:v>
      </x:c>
      <x:c r="I18" s="153" t="n">
        <x:v>109</x:v>
      </x:c>
      <x:c r="J18" s="153" t="n">
        <x:v>109</x:v>
      </x:c>
      <x:c r="K18" s="153" t="n">
        <x:v>109</x:v>
      </x:c>
      <x:c r="L18" s="153" t="n">
        <x:v>109</x:v>
      </x:c>
      <x:c r="M18" s="153" t="n">
        <x:v>109</x:v>
      </x:c>
      <x:c r="N18" s="153" t="n">
        <x:v>109</x:v>
      </x:c>
      <x:c r="O18" s="153" t="n">
        <x:v>109</x:v>
      </x:c>
    </x:row>
    <x:row r="19" ht="19" customHeight="1">
      <x:c r="A19" s="117"/>
      <x:c r="B19" s="117"/>
      <x:c r="C19" s="134" t="str">
        <x:v>Other non-current assets / revenue</x:v>
      </x:c>
      <x:c r="D19" s="148" t="n">
        <x:f>'Schedules'!D87/'Schedules'!D23</x:f>
        <x:v>0.03532282083328347</x:v>
      </x:c>
      <x:c r="E19" s="148" t="n">
        <x:f>'Schedules'!E87/'Schedules'!E23</x:f>
        <x:v>0.019949603301529843</x:v>
      </x:c>
      <x:c r="F19" s="148" t="n">
        <x:f>'Schedules'!F87/'Schedules'!F23</x:f>
        <x:v>0.031232275708791248</x:v>
      </x:c>
      <x:c r="G19" s="183" t="n">
        <x:v>0.031</x:v>
      </x:c>
      <x:c r="H19" s="152" t="n">
        <x:v>0.031</x:v>
      </x:c>
      <x:c r="I19" s="152" t="n">
        <x:v>0.031</x:v>
      </x:c>
      <x:c r="J19" s="152" t="n">
        <x:v>0.031</x:v>
      </x:c>
      <x:c r="K19" s="152" t="n">
        <x:v>0.031</x:v>
      </x:c>
      <x:c r="L19" s="152" t="n">
        <x:v>0.031</x:v>
      </x:c>
      <x:c r="M19" s="152" t="n">
        <x:v>0.031</x:v>
      </x:c>
      <x:c r="N19" s="152" t="n">
        <x:v>0.031</x:v>
      </x:c>
      <x:c r="O19" s="152" t="n">
        <x:v>0.031</x:v>
      </x:c>
    </x:row>
    <x:row r="20" ht="19" customHeight="1">
      <x:c r="A20" s="117"/>
      <x:c r="B20" s="117"/>
      <x:c r="C20" s="134" t="str">
        <x:v>Other current assets / revenue</x:v>
      </x:c>
      <x:c r="D20" s="148" t="n">
        <x:f>'Schedules'!D88/'Schedules'!D23</x:f>
        <x:v>0.03204699679085505</x:v>
      </x:c>
      <x:c r="E20" s="148" t="n">
        <x:f>'Schedules'!E88/'Schedules'!E23</x:f>
        <x:v>0.06052908732047151</x:v>
      </x:c>
      <x:c r="F20" s="148" t="n">
        <x:f>'Schedules'!F88/'Schedules'!F23</x:f>
        <x:v>0.033102661981079654</x:v>
      </x:c>
      <x:c r="G20" s="183" t="n">
        <x:v>0.033</x:v>
      </x:c>
      <x:c r="H20" s="152" t="n">
        <x:v>0.033</x:v>
      </x:c>
      <x:c r="I20" s="152" t="n">
        <x:v>0.033</x:v>
      </x:c>
      <x:c r="J20" s="152" t="n">
        <x:v>0.033</x:v>
      </x:c>
      <x:c r="K20" s="152" t="n">
        <x:v>0.033</x:v>
      </x:c>
      <x:c r="L20" s="152" t="n">
        <x:v>0.033</x:v>
      </x:c>
      <x:c r="M20" s="152" t="n">
        <x:v>0.033</x:v>
      </x:c>
      <x:c r="N20" s="152" t="n">
        <x:v>0.033</x:v>
      </x:c>
      <x:c r="O20" s="152" t="n">
        <x:v>0.033</x:v>
      </x:c>
    </x:row>
    <x:row r="21" ht="19" customHeight="1">
      <x:c r="A21" s="117"/>
      <x:c r="B21" s="117"/>
      <x:c r="C21" s="134" t="str">
        <x:v>Provisions / revenue</x:v>
      </x:c>
      <x:c r="D21" s="148" t="n">
        <x:f>'Schedules'!D89/'Schedules'!D23</x:f>
        <x:v>0.0485748626667191</x:v>
      </x:c>
      <x:c r="E21" s="148" t="n">
        <x:f>'Schedules'!E89/'Schedules'!E23</x:f>
        <x:v>0.044815615175179235</x:v>
      </x:c>
      <x:c r="F21" s="148" t="n">
        <x:f>'Schedules'!F89/'Schedules'!F23</x:f>
        <x:v>0.045947135610220735</x:v>
      </x:c>
      <x:c r="G21" s="183" t="n">
        <x:v>0.046</x:v>
      </x:c>
      <x:c r="H21" s="152" t="n">
        <x:v>0.046</x:v>
      </x:c>
      <x:c r="I21" s="152" t="n">
        <x:v>0.046</x:v>
      </x:c>
      <x:c r="J21" s="152" t="n">
        <x:v>0.046</x:v>
      </x:c>
      <x:c r="K21" s="152" t="n">
        <x:v>0.046</x:v>
      </x:c>
      <x:c r="L21" s="152" t="n">
        <x:v>0.046</x:v>
      </x:c>
      <x:c r="M21" s="152" t="n">
        <x:v>0.046</x:v>
      </x:c>
      <x:c r="N21" s="152" t="n">
        <x:v>0.046</x:v>
      </x:c>
      <x:c r="O21" s="152" t="n">
        <x:v>0.046</x:v>
      </x:c>
    </x:row>
    <x:row r="22" ht="19" customHeight="1">
      <x:c r="A22" s="117"/>
      <x:c r="B22" s="117"/>
      <x:c r="C22" s="134" t="str">
        <x:v>Other operating liabilities / revenue</x:v>
      </x:c>
      <x:c r="D22" s="148" t="n">
        <x:f>'Schedules'!D90/'Schedules'!D23</x:f>
        <x:v>0.019338646004127262</x:v>
      </x:c>
      <x:c r="E22" s="148" t="n">
        <x:f>'Schedules'!E90/'Schedules'!E23</x:f>
        <x:v>0.01915230568796174</x:v>
      </x:c>
      <x:c r="F22" s="148" t="n">
        <x:f>'Schedules'!F90/'Schedules'!F23</x:f>
        <x:v>0.016951818791897878</x:v>
      </x:c>
      <x:c r="G22" s="183" t="n">
        <x:v>0.017</x:v>
      </x:c>
      <x:c r="H22" s="152" t="n">
        <x:v>0.017</x:v>
      </x:c>
      <x:c r="I22" s="152" t="n">
        <x:v>0.017</x:v>
      </x:c>
      <x:c r="J22" s="152" t="n">
        <x:v>0.017</x:v>
      </x:c>
      <x:c r="K22" s="152" t="n">
        <x:v>0.017</x:v>
      </x:c>
      <x:c r="L22" s="152" t="n">
        <x:v>0.017</x:v>
      </x:c>
      <x:c r="M22" s="152" t="n">
        <x:v>0.017</x:v>
      </x:c>
      <x:c r="N22" s="152" t="n">
        <x:v>0.017</x:v>
      </x:c>
      <x:c r="O22" s="152" t="n">
        <x:v>0.017</x:v>
      </x:c>
    </x:row>
    <x:row r="23" ht="19" customHeight="1">
      <x:c r="A23" s="117"/>
      <x:c r="B23" s="117"/>
      <x:c r="C23" s="117"/>
      <x:c r="D23" s="118"/>
      <x:c r="E23" s="118"/>
      <x:c r="F23" s="118"/>
      <x:c r="G23" s="175"/>
      <x:c r="H23" s="118"/>
      <x:c r="I23" s="118"/>
      <x:c r="J23" s="118"/>
      <x:c r="K23" s="118"/>
      <x:c r="L23" s="118"/>
      <x:c r="M23" s="118"/>
      <x:c r="N23" s="118"/>
      <x:c r="O23" s="118"/>
    </x:row>
    <x:row r="24" ht="19" customHeight="1">
      <x:c r="A24" s="117"/>
      <x:c r="B24" s="117"/>
      <x:c r="C24" s="127" t="str">
        <x:v>Capital and lease assumptions</x:v>
      </x:c>
      <x:c r="D24" s="128"/>
      <x:c r="E24" s="128"/>
      <x:c r="F24" s="128"/>
      <x:c r="G24" s="182"/>
      <x:c r="H24" s="128"/>
      <x:c r="I24" s="128"/>
      <x:c r="J24" s="128"/>
      <x:c r="K24" s="128"/>
      <x:c r="L24" s="128"/>
      <x:c r="M24" s="128"/>
      <x:c r="N24" s="128"/>
      <x:c r="O24" s="128"/>
    </x:row>
    <x:row r="25" ht="19" customHeight="1">
      <x:c r="A25" s="117"/>
      <x:c r="B25" s="117"/>
      <x:c r="C25" s="134" t="str">
        <x:v>Cash capex / revenue</x:v>
      </x:c>
      <x:c r="D25" s="148" t="n">
        <x:f>-'Schedules'!D126/'Schedules'!D23</x:f>
        <x:v>0.008263078077795692</x:v>
      </x:c>
      <x:c r="E25" s="148" t="n">
        <x:f>-'Schedules'!E126/'Schedules'!E23</x:f>
        <x:v>0.00820701653105326</x:v>
      </x:c>
      <x:c r="F25" s="148" t="n">
        <x:f>-'Schedules'!F126/'Schedules'!F23</x:f>
        <x:v>0.00590557147083655</x:v>
      </x:c>
      <x:c r="G25" s="183" t="n">
        <x:v>0.007</x:v>
      </x:c>
      <x:c r="H25" s="152" t="n">
        <x:v>0.007</x:v>
      </x:c>
      <x:c r="I25" s="152" t="n">
        <x:v>0.007</x:v>
      </x:c>
      <x:c r="J25" s="152" t="n">
        <x:v>0.007</x:v>
      </x:c>
      <x:c r="K25" s="152" t="n">
        <x:v>0.007</x:v>
      </x:c>
      <x:c r="L25" s="152" t="n">
        <x:v>0.007</x:v>
      </x:c>
      <x:c r="M25" s="152" t="n">
        <x:v>0.007</x:v>
      </x:c>
      <x:c r="N25" s="152" t="n">
        <x:v>0.007</x:v>
      </x:c>
      <x:c r="O25" s="152" t="n">
        <x:v>0.007</x:v>
      </x:c>
    </x:row>
    <x:row r="26" ht="19" customHeight="1">
      <x:c r="A26" s="117"/>
      <x:c r="B26" s="117"/>
      <x:c r="C26" s="134" t="str">
        <x:v>Owned-asset depreciation rate</x:v>
      </x:c>
      <x:c r="D26" s="148" t="n">
        <x:f>'Schedules'!D59/('Schedules'!D57+'Schedules'!D58/2)</x:f>
        <x:v>0.16638985354069152</x:v>
      </x:c>
      <x:c r="E26" s="148" t="n">
        <x:f>'Schedules'!E59/('Schedules'!E57+'Schedules'!E58/2)</x:f>
        <x:v>0.15510354252076108</x:v>
      </x:c>
      <x:c r="F26" s="148" t="n">
        <x:f>'Schedules'!F59/('Schedules'!F57+'Schedules'!F58/2)</x:f>
        <x:v>0.17658585745478977</x:v>
      </x:c>
      <x:c r="G26" s="183" t="n">
        <x:v>0.2</x:v>
      </x:c>
      <x:c r="H26" s="152" t="n">
        <x:v>0.2</x:v>
      </x:c>
      <x:c r="I26" s="152" t="n">
        <x:v>0.2</x:v>
      </x:c>
      <x:c r="J26" s="152" t="n">
        <x:v>0.2</x:v>
      </x:c>
      <x:c r="K26" s="152" t="n">
        <x:v>0.2</x:v>
      </x:c>
      <x:c r="L26" s="152" t="n">
        <x:v>0.2</x:v>
      </x:c>
      <x:c r="M26" s="152" t="n">
        <x:v>0.2</x:v>
      </x:c>
      <x:c r="N26" s="152" t="n">
        <x:v>0.2</x:v>
      </x:c>
      <x:c r="O26" s="152" t="n">
        <x:v>0.2</x:v>
      </x:c>
    </x:row>
    <x:row r="27" ht="19" customHeight="1">
      <x:c r="A27" s="117"/>
      <x:c r="B27" s="117"/>
      <x:c r="C27" s="134" t="str">
        <x:v>ROU depreciation / opening ROU assets</x:v>
      </x:c>
      <x:c r="D27" s="148" t="n">
        <x:f>'Schedules'!D65/'Schedules'!D63</x:f>
        <x:v>0.4398951189995966</x:v>
      </x:c>
      <x:c r="E27" s="148" t="n">
        <x:f>'Schedules'!E65/'Schedules'!E63</x:f>
        <x:v>0.59487972991982</x:v>
      </x:c>
      <x:c r="F27" s="148" t="n">
        <x:f>'Schedules'!F65/'Schedules'!F63</x:f>
        <x:v>0.2267367668827523</x:v>
      </x:c>
      <x:c r="G27" s="183" t="n">
        <x:v>0.25</x:v>
      </x:c>
      <x:c r="H27" s="152" t="n">
        <x:v>0.25</x:v>
      </x:c>
      <x:c r="I27" s="152" t="n">
        <x:v>0.25</x:v>
      </x:c>
      <x:c r="J27" s="152" t="n">
        <x:v>0.25</x:v>
      </x:c>
      <x:c r="K27" s="152" t="n">
        <x:v>0.25</x:v>
      </x:c>
      <x:c r="L27" s="152" t="n">
        <x:v>0.25</x:v>
      </x:c>
      <x:c r="M27" s="152" t="n">
        <x:v>0.25</x:v>
      </x:c>
      <x:c r="N27" s="152" t="n">
        <x:v>0.25</x:v>
      </x:c>
      <x:c r="O27" s="152" t="n">
        <x:v>0.25</x:v>
      </x:c>
    </x:row>
    <x:row r="28" ht="19" customHeight="1">
      <x:c r="A28" s="117"/>
      <x:c r="B28" s="117"/>
      <x:c r="C28" s="134" t="str">
        <x:v>New lease additions / revenue</x:v>
      </x:c>
      <x:c r="D28" s="148" t="n">
        <x:f>'Schedules'!D72/'Schedules'!D23</x:f>
        <x:v>0.0033236962100630717</x:v>
      </x:c>
      <x:c r="E28" s="148" t="n">
        <x:f>'Schedules'!E72/'Schedules'!E23</x:f>
        <x:v>0.02631862259425977</x:v>
      </x:c>
      <x:c r="F28" s="148" t="n">
        <x:f>'Schedules'!F72/'Schedules'!F23</x:f>
        <x:v>0.0021027413570402866</x:v>
      </x:c>
      <x:c r="G28" s="183" t="n">
        <x:v>0.0065</x:v>
      </x:c>
      <x:c r="H28" s="152" t="n">
        <x:v>0.0065</x:v>
      </x:c>
      <x:c r="I28" s="152" t="n">
        <x:v>0.0065</x:v>
      </x:c>
      <x:c r="J28" s="152" t="n">
        <x:v>0.0065</x:v>
      </x:c>
      <x:c r="K28" s="152" t="n">
        <x:v>0.0065</x:v>
      </x:c>
      <x:c r="L28" s="152" t="n">
        <x:v>0.0065</x:v>
      </x:c>
      <x:c r="M28" s="152" t="n">
        <x:v>0.0065</x:v>
      </x:c>
      <x:c r="N28" s="152" t="n">
        <x:v>0.0065</x:v>
      </x:c>
      <x:c r="O28" s="152" t="n">
        <x:v>0.0065</x:v>
      </x:c>
    </x:row>
    <x:row r="29" ht="19" customHeight="1">
      <x:c r="A29" s="117"/>
      <x:c r="B29" s="117"/>
      <x:c r="C29" s="134" t="str">
        <x:v>Lease principal / opening lease liability</x:v>
      </x:c>
      <x:c r="D29" s="135" t="str">
        <x:v>n.a.</x:v>
      </x:c>
      <x:c r="E29" s="148" t="n">
        <x:f>'Schedules'!E73/'Schedules'!E71</x:f>
        <x:v>0.5628979935119549</x:v>
      </x:c>
      <x:c r="F29" s="148" t="n">
        <x:f>'Schedules'!F73/'Schedules'!F71</x:f>
        <x:v>0.19647124625006354</x:v>
      </x:c>
      <x:c r="G29" s="183" t="n">
        <x:v>0.225</x:v>
      </x:c>
      <x:c r="H29" s="152" t="n">
        <x:v>0.225</x:v>
      </x:c>
      <x:c r="I29" s="152" t="n">
        <x:v>0.225</x:v>
      </x:c>
      <x:c r="J29" s="152" t="n">
        <x:v>0.225</x:v>
      </x:c>
      <x:c r="K29" s="152" t="n">
        <x:v>0.225</x:v>
      </x:c>
      <x:c r="L29" s="152" t="n">
        <x:v>0.225</x:v>
      </x:c>
      <x:c r="M29" s="152" t="n">
        <x:v>0.225</x:v>
      </x:c>
      <x:c r="N29" s="152" t="n">
        <x:v>0.225</x:v>
      </x:c>
      <x:c r="O29" s="152" t="n">
        <x:v>0.225</x:v>
      </x:c>
    </x:row>
    <x:row r="30" ht="19" customHeight="1">
      <x:c r="A30" s="117"/>
      <x:c r="B30" s="117"/>
      <x:c r="C30" s="134" t="str">
        <x:v>Lease interest / opening lease liability</x:v>
      </x:c>
      <x:c r="D30" s="148" t="n">
        <x:f>'Schedules'!D76/'Schedules'!D71</x:f>
        <x:v>0.07661040911902448</x:v>
      </x:c>
      <x:c r="E30" s="148" t="n">
        <x:f>'Schedules'!E76/'Schedules'!E71</x:f>
        <x:v>0.08458488525771958</x:v>
      </x:c>
      <x:c r="F30" s="148" t="n">
        <x:f>'Schedules'!F76/'Schedules'!F71</x:f>
        <x:v>0.09157471907255808</x:v>
      </x:c>
      <x:c r="G30" s="183" t="n">
        <x:v>0.1</x:v>
      </x:c>
      <x:c r="H30" s="152" t="n">
        <x:v>0.1</x:v>
      </x:c>
      <x:c r="I30" s="152" t="n">
        <x:v>0.1</x:v>
      </x:c>
      <x:c r="J30" s="152" t="n">
        <x:v>0.1</x:v>
      </x:c>
      <x:c r="K30" s="152" t="n">
        <x:v>0.1</x:v>
      </x:c>
      <x:c r="L30" s="152" t="n">
        <x:v>0.1</x:v>
      </x:c>
      <x:c r="M30" s="152" t="n">
        <x:v>0.1</x:v>
      </x:c>
      <x:c r="N30" s="152" t="n">
        <x:v>0.1</x:v>
      </x:c>
      <x:c r="O30" s="152" t="n">
        <x:v>0.1</x:v>
      </x:c>
    </x:row>
    <x:row r="31" ht="19" customHeight="1">
      <x:c r="A31" s="117"/>
      <x:c r="B31" s="117"/>
      <x:c r="C31" s="134" t="str">
        <x:v>Other cash interest / revenue</x:v>
      </x:c>
      <x:c r="D31" s="148" t="n">
        <x:f>-'Schedules'!D134/'Schedules'!D23</x:f>
        <x:v>0.00151652188185491</x:v>
      </x:c>
      <x:c r="E31" s="148" t="n">
        <x:f>-'Schedules'!E134/'Schedules'!E23</x:f>
        <x:v>0.0011077912047619419</x:v>
      </x:c>
      <x:c r="F31" s="148" t="n">
        <x:f>-'Schedules'!F134/'Schedules'!F23</x:f>
        <x:v>0.0026179635014901034</x:v>
      </x:c>
      <x:c r="G31" s="183" t="n">
        <x:v>0.00002</x:v>
      </x:c>
      <x:c r="H31" s="152" t="n">
        <x:v>0.00002</x:v>
      </x:c>
      <x:c r="I31" s="152" t="n">
        <x:v>0.00002</x:v>
      </x:c>
      <x:c r="J31" s="152" t="n">
        <x:v>0.00002</x:v>
      </x:c>
      <x:c r="K31" s="152" t="n">
        <x:v>0.00002</x:v>
      </x:c>
      <x:c r="L31" s="152" t="n">
        <x:v>0.00002</x:v>
      </x:c>
      <x:c r="M31" s="152" t="n">
        <x:v>0.00002</x:v>
      </x:c>
      <x:c r="N31" s="152" t="n">
        <x:v>0.00002</x:v>
      </x:c>
      <x:c r="O31" s="152" t="n">
        <x:v>0.00002</x:v>
      </x:c>
    </x:row>
    <x:row r="32" ht="19" customHeight="1">
      <x:c r="A32" s="117"/>
      <x:c r="B32" s="117"/>
      <x:c r="C32" s="134" t="str">
        <x:v>Non-cash finance cost / revenue</x:v>
      </x:c>
      <x:c r="D32" s="148" t="n">
        <x:f>'Schedules'!D78/'Schedules'!D23</x:f>
        <x:v>0.0006120798576144957</x:v>
      </x:c>
      <x:c r="E32" s="148" t="n">
        <x:f>'Schedules'!E78/'Schedules'!E23</x:f>
        <x:v>0.0006755966079745364</x:v>
      </x:c>
      <x:c r="F32" s="148" t="n">
        <x:f>'Schedules'!F78/'Schedules'!F23</x:f>
        <x:v>0.0009885915096586111</x:v>
      </x:c>
      <x:c r="G32" s="183" t="n">
        <x:v>0.0006</x:v>
      </x:c>
      <x:c r="H32" s="152" t="n">
        <x:v>0.0006</x:v>
      </x:c>
      <x:c r="I32" s="152" t="n">
        <x:v>0.0006</x:v>
      </x:c>
      <x:c r="J32" s="152" t="n">
        <x:v>0.0006</x:v>
      </x:c>
      <x:c r="K32" s="152" t="n">
        <x:v>0.0006</x:v>
      </x:c>
      <x:c r="L32" s="152" t="n">
        <x:v>0.0006</x:v>
      </x:c>
      <x:c r="M32" s="152" t="n">
        <x:v>0.0006</x:v>
      </x:c>
      <x:c r="N32" s="152" t="n">
        <x:v>0.0006</x:v>
      </x:c>
      <x:c r="O32" s="152" t="n">
        <x:v>0.0006</x:v>
      </x:c>
    </x:row>
    <x:row r="33" ht="19" customHeight="1">
      <x:c r="A33" s="117"/>
      <x:c r="B33" s="117"/>
      <x:c r="C33" s="117"/>
      <x:c r="D33" s="118"/>
      <x:c r="E33" s="118"/>
      <x:c r="F33" s="118"/>
      <x:c r="G33" s="175"/>
      <x:c r="H33" s="118"/>
      <x:c r="I33" s="118"/>
      <x:c r="J33" s="118"/>
      <x:c r="K33" s="118"/>
      <x:c r="L33" s="118"/>
      <x:c r="M33" s="118"/>
      <x:c r="N33" s="118"/>
      <x:c r="O33" s="118"/>
    </x:row>
    <x:row r="34" ht="19" customHeight="1">
      <x:c r="A34" s="117"/>
      <x:c r="B34" s="117"/>
      <x:c r="C34" s="127" t="str">
        <x:v>Capital-allocation assumptions</x:v>
      </x:c>
      <x:c r="D34" s="128"/>
      <x:c r="E34" s="128"/>
      <x:c r="F34" s="128"/>
      <x:c r="G34" s="182"/>
      <x:c r="H34" s="128"/>
      <x:c r="I34" s="128"/>
      <x:c r="J34" s="128"/>
      <x:c r="K34" s="128"/>
      <x:c r="L34" s="128"/>
      <x:c r="M34" s="128"/>
      <x:c r="N34" s="128"/>
      <x:c r="O34" s="128"/>
    </x:row>
    <x:row r="35" ht="19" customHeight="1">
      <x:c r="A35" s="117"/>
      <x:c r="B35" s="117"/>
      <x:c r="C35" s="117" t="str">
        <x:v>FY27 cash dividend / share (INR)</x:v>
      </x:c>
      <x:c r="D35" s="150" t="n">
        <x:f>-'Schedules'!D132/'Schedules'!D35</x:f>
        <x:v>324.9989105524501</x:v>
      </x:c>
      <x:c r="E35" s="150" t="n">
        <x:f>-'Schedules'!E132/'Schedules'!E35</x:f>
        <x:v>409.99934962569597</x:v>
      </x:c>
      <x:c r="F35" s="150" t="n">
        <x:f>-'Schedules'!F132/'Schedules'!F35</x:f>
        <x:v>474.999131736186</x:v>
      </x:c>
      <x:c r="G35" s="185" t="n">
        <x:v>656</x:v>
      </x:c>
      <x:c r="H35" s="146"/>
      <x:c r="I35" s="146"/>
      <x:c r="J35" s="146"/>
      <x:c r="K35" s="146"/>
      <x:c r="L35" s="146"/>
      <x:c r="M35" s="146"/>
      <x:c r="N35" s="146"/>
      <x:c r="O35" s="146"/>
    </x:row>
    <x:row r="36" ht="19" customHeight="1">
      <x:c r="A36" s="117"/>
      <x:c r="B36" s="117"/>
      <x:c r="C36" s="134" t="str">
        <x:v>Dividend payout on prior-year PAT</x:v>
      </x:c>
      <x:c r="D36" s="135" t="str">
        <x:v>n.a.</x:v>
      </x:c>
      <x:c r="E36" s="148" t="n">
        <x:f>-'Schedules'!E132/'Schedules'!D34</x:f>
        <x:v>0.7252792993789647</x:v>
      </x:c>
      <x:c r="F36" s="148" t="n">
        <x:f>-'Schedules'!F132/'Schedules'!E34</x:f>
        <x:v>0.7135969005401431</x:v>
      </x:c>
      <x:c r="G36" s="183" t="n">
        <x:v>0.72</x:v>
      </x:c>
      <x:c r="H36" s="152" t="n">
        <x:v>0.72</x:v>
      </x:c>
      <x:c r="I36" s="152" t="n">
        <x:v>0.72</x:v>
      </x:c>
      <x:c r="J36" s="152" t="n">
        <x:v>0.72</x:v>
      </x:c>
      <x:c r="K36" s="152" t="n">
        <x:v>0.72</x:v>
      </x:c>
      <x:c r="L36" s="152" t="n">
        <x:v>0.72</x:v>
      </x:c>
      <x:c r="M36" s="152" t="n">
        <x:v>0.72</x:v>
      </x:c>
      <x:c r="N36" s="152" t="n">
        <x:v>0.72</x:v>
      </x:c>
      <x:c r="O36" s="152" t="n">
        <x:v>0.72</x:v>
      </x:c>
    </x:row>
    <x:row r="37" ht="19" customHeight="1">
      <x:c r="A37" s="117"/>
      <x:c r="B37" s="117"/>
      <x:c r="C37" s="134" t="str">
        <x:v>Cash target / revenue</x:v>
      </x:c>
      <x:c r="D37" s="148" t="n">
        <x:f>'Schedules'!D142/'Schedules'!D23</x:f>
        <x:v>0.049879379234763405</x:v>
      </x:c>
      <x:c r="E37" s="148" t="n">
        <x:f>'Schedules'!E142/'Schedules'!E23</x:f>
        <x:v>0.08746713682781647</x:v>
      </x:c>
      <x:c r="F37" s="148" t="n">
        <x:f>'Schedules'!F142/'Schedules'!F23</x:f>
        <x:v>0.06383703393683117</x:v>
      </x:c>
      <x:c r="G37" s="183" t="n">
        <x:v>0.06</x:v>
      </x:c>
      <x:c r="H37" s="152" t="n">
        <x:v>0.06</x:v>
      </x:c>
      <x:c r="I37" s="152" t="n">
        <x:v>0.06</x:v>
      </x:c>
      <x:c r="J37" s="152" t="n">
        <x:v>0.06</x:v>
      </x:c>
      <x:c r="K37" s="152" t="n">
        <x:v>0.06</x:v>
      </x:c>
      <x:c r="L37" s="152" t="n">
        <x:v>0.06</x:v>
      </x:c>
      <x:c r="M37" s="152" t="n">
        <x:v>0.06</x:v>
      </x:c>
      <x:c r="N37" s="152" t="n">
        <x:v>0.06</x:v>
      </x:c>
      <x:c r="O37" s="152" t="n">
        <x:v>0.06</x:v>
      </x:c>
    </x:row>
    <x:row r="38" ht="19" customHeight="1">
      <x:c r="A38" s="117"/>
      <x:c r="B38" s="117"/>
      <x:c r="C38" s="134" t="str">
        <x:v>Non-current share of term deposits</x:v>
      </x:c>
      <x:c r="D38" s="148" t="n">
        <x:f>'Balance Sheet'!D10/'Schedules'!D141</x:f>
        <x:v>0.45171372267896837</x:v>
      </x:c>
      <x:c r="E38" s="148" t="n">
        <x:f>'Balance Sheet'!E10/'Schedules'!E141</x:f>
        <x:v>0.2083985871071981</x:v>
      </x:c>
      <x:c r="F38" s="148" t="n">
        <x:f>'Balance Sheet'!F10/'Schedules'!F141</x:f>
        <x:v>0.5488911290322581</x:v>
      </x:c>
      <x:c r="G38" s="183" t="n">
        <x:v>0.55</x:v>
      </x:c>
      <x:c r="H38" s="152" t="n">
        <x:v>0.55</x:v>
      </x:c>
      <x:c r="I38" s="152" t="n">
        <x:v>0.55</x:v>
      </x:c>
      <x:c r="J38" s="152" t="n">
        <x:v>0.55</x:v>
      </x:c>
      <x:c r="K38" s="152" t="n">
        <x:v>0.55</x:v>
      </x:c>
      <x:c r="L38" s="152" t="n">
        <x:v>0.55</x:v>
      </x:c>
      <x:c r="M38" s="152" t="n">
        <x:v>0.55</x:v>
      </x:c>
      <x:c r="N38" s="152" t="n">
        <x:v>0.55</x:v>
      </x:c>
      <x:c r="O38" s="152" t="n">
        <x:v>0.55</x:v>
      </x:c>
    </x:row>
    <x:row r="39" ht="19" customHeight="1">
      <x:c r="A39" s="117"/>
      <x:c r="B39" s="117"/>
      <x:c r="C39" s="134" t="str">
        <x:v>SBC / employee expense</x:v>
      </x:c>
      <x:c r="D39" s="148" t="n">
        <x:f>'Schedules'!D100/'Schedules'!D25</x:f>
        <x:v>0.024402511360088797</x:v>
      </x:c>
      <x:c r="E39" s="148" t="n">
        <x:f>'Schedules'!E100/'Schedules'!E25</x:f>
        <x:v>0.020951764986213706</x:v>
      </x:c>
      <x:c r="F39" s="148" t="n">
        <x:f>'Schedules'!F100/'Schedules'!F25</x:f>
        <x:v>0.018913908076911574</x:v>
      </x:c>
      <x:c r="G39" s="183" t="n">
        <x:v>0.019</x:v>
      </x:c>
      <x:c r="H39" s="152" t="n">
        <x:v>0.019</x:v>
      </x:c>
      <x:c r="I39" s="152" t="n">
        <x:v>0.019</x:v>
      </x:c>
      <x:c r="J39" s="152" t="n">
        <x:v>0.019</x:v>
      </x:c>
      <x:c r="K39" s="152" t="n">
        <x:v>0.019</x:v>
      </x:c>
      <x:c r="L39" s="152" t="n">
        <x:v>0.019</x:v>
      </x:c>
      <x:c r="M39" s="152" t="n">
        <x:v>0.019</x:v>
      </x:c>
      <x:c r="N39" s="152" t="n">
        <x:v>0.019</x:v>
      </x:c>
      <x:c r="O39" s="152" t="n">
        <x:v>0.019</x:v>
      </x:c>
    </x:row>
    <x:row r="40" ht="19" customHeight="1">
      <x:c r="A40" s="117"/>
      <x:c r="B40" s="117"/>
      <x:c r="C40" s="134" t="str">
        <x:v>RSU settlement / SBC expense</x:v>
      </x:c>
      <x:c r="D40" s="148" t="n">
        <x:f>'Schedules'!D101/'Schedules'!D100</x:f>
        <x:v>1.0206112295664536</x:v>
      </x:c>
      <x:c r="E40" s="148" t="n">
        <x:f>'Schedules'!E101/'Schedules'!E100</x:f>
        <x:v>1.287571080422421</x:v>
      </x:c>
      <x:c r="F40" s="148" t="n">
        <x:f>'Schedules'!F101/'Schedules'!F100</x:f>
        <x:v>1.0624505928853756</x:v>
      </x:c>
      <x:c r="G40" s="183" t="n">
        <x:v>1</x:v>
      </x:c>
      <x:c r="H40" s="152" t="n">
        <x:v>1</x:v>
      </x:c>
      <x:c r="I40" s="152" t="n">
        <x:v>1</x:v>
      </x:c>
      <x:c r="J40" s="152" t="n">
        <x:v>1</x:v>
      </x:c>
      <x:c r="K40" s="152" t="n">
        <x:v>1</x:v>
      </x:c>
      <x:c r="L40" s="152" t="n">
        <x:v>1</x:v>
      </x:c>
      <x:c r="M40" s="152" t="n">
        <x:v>1</x:v>
      </x:c>
      <x:c r="N40" s="152" t="n">
        <x:v>1</x:v>
      </x:c>
      <x:c r="O40" s="152" t="n">
        <x:v>1</x:v>
      </x:c>
    </x:row>
    <x:row r="41" ht="19" customHeight="1">
      <x:c r="A41" s="117"/>
      <x:c r="B41" s="117"/>
      <x:c r="C41" s="117" t="str">
        <x:v>Shares outstanding (million)</x:v>
      </x:c>
      <x:c r="D41" s="151" t="n">
        <x:f>'Schedules'!D35</x:f>
        <x:v>21.249302</x:v>
      </x:c>
      <x:c r="E41" s="151" t="n">
        <x:f>'Schedules'!E35</x:f>
        <x:v>21.249302</x:v>
      </x:c>
      <x:c r="F41" s="151" t="n">
        <x:f>'Schedules'!F35</x:f>
        <x:v>21.249302</x:v>
      </x:c>
      <x:c r="G41" s="186" t="n">
        <x:v>21.249302</x:v>
      </x:c>
      <x:c r="H41" s="154" t="n">
        <x:v>21.249302</x:v>
      </x:c>
      <x:c r="I41" s="154" t="n">
        <x:v>21.249302</x:v>
      </x:c>
      <x:c r="J41" s="154" t="n">
        <x:v>21.249302</x:v>
      </x:c>
      <x:c r="K41" s="154" t="n">
        <x:v>21.249302</x:v>
      </x:c>
      <x:c r="L41" s="154" t="n">
        <x:v>21.249302</x:v>
      </x:c>
      <x:c r="M41" s="154" t="n">
        <x:v>21.249302</x:v>
      </x:c>
      <x:c r="N41" s="154" t="n">
        <x:v>21.249302</x:v>
      </x:c>
      <x:c r="O41" s="154" t="n">
        <x:v>21.249302</x:v>
      </x:c>
    </x:row>
    <x:row r="42" ht="19" customHeight="1">
      <x:c r="A42" s="117"/>
      <x:c r="B42" s="117"/>
      <x:c r="C42" s="117"/>
      <x:c r="D42" s="118"/>
      <x:c r="E42" s="118"/>
      <x:c r="F42" s="118"/>
      <x:c r="G42" s="175"/>
      <x:c r="H42" s="118"/>
      <x:c r="I42" s="118"/>
      <x:c r="J42" s="118"/>
      <x:c r="K42" s="118"/>
      <x:c r="L42" s="118"/>
      <x:c r="M42" s="118"/>
      <x:c r="N42" s="118"/>
      <x:c r="O42" s="118"/>
    </x:row>
    <x:row r="43" ht="19" customHeight="1">
      <x:c r="A43" s="117"/>
      <x:c r="B43" s="117"/>
      <x:c r="C43" s="127" t="str">
        <x:v>Supporting balance assumptions</x:v>
      </x:c>
      <x:c r="D43" s="128"/>
      <x:c r="E43" s="128"/>
      <x:c r="F43" s="128"/>
      <x:c r="G43" s="182"/>
      <x:c r="H43" s="128"/>
      <x:c r="I43" s="128"/>
      <x:c r="J43" s="128"/>
      <x:c r="K43" s="128"/>
      <x:c r="L43" s="128"/>
      <x:c r="M43" s="128"/>
      <x:c r="N43" s="128"/>
      <x:c r="O43" s="128"/>
    </x:row>
    <x:row r="44" ht="19" customHeight="1">
      <x:c r="A44" s="117"/>
      <x:c r="B44" s="117"/>
      <x:c r="C44" s="117" t="str">
        <x:v>Current tax liabilities (INR mn)</x:v>
      </x:c>
      <x:c r="D44" s="129" t="n">
        <x:f>'Schedules'!D91</x:f>
        <x:v>114.6</x:v>
      </x:c>
      <x:c r="E44" s="129" t="n">
        <x:f>'Schedules'!E91</x:f>
        <x:v>196.5</x:v>
      </x:c>
      <x:c r="F44" s="129" t="n">
        <x:f>'Schedules'!F91</x:f>
        <x:v>129.9</x:v>
      </x:c>
      <x:c r="G44" s="187" t="n">
        <x:v>129.9</x:v>
      </x:c>
      <x:c r="H44" s="131" t="n">
        <x:v>129.9</x:v>
      </x:c>
      <x:c r="I44" s="131" t="n">
        <x:v>129.9</x:v>
      </x:c>
      <x:c r="J44" s="131" t="n">
        <x:v>129.9</x:v>
      </x:c>
      <x:c r="K44" s="131" t="n">
        <x:v>129.9</x:v>
      </x:c>
      <x:c r="L44" s="131" t="n">
        <x:v>129.9</x:v>
      </x:c>
      <x:c r="M44" s="131" t="n">
        <x:v>129.9</x:v>
      </x:c>
      <x:c r="N44" s="131" t="n">
        <x:v>129.9</x:v>
      </x:c>
      <x:c r="O44" s="131" t="n">
        <x:v>129.9</x:v>
      </x:c>
    </x:row>
    <x:row r="45" ht="19" customHeight="1">
      <x:c r="A45" s="117"/>
      <x:c r="B45" s="117"/>
      <x:c r="C45" s="117" t="str">
        <x:v>Other comprehensive income, net</x:v>
      </x:c>
      <x:c r="D45" s="129" t="n">
        <x:f>'Schedules'!D99</x:f>
        <x:v>0.2</x:v>
      </x:c>
      <x:c r="E45" s="129" t="n">
        <x:f>'Schedules'!E99</x:f>
        <x:v>-54.2</x:v>
      </x:c>
      <x:c r="F45" s="129" t="n">
        <x:f>'Schedules'!F99</x:f>
        <x:v>-8.5</x:v>
      </x:c>
      <x:c r="G45" s="187" t="n">
        <x:v>0</x:v>
      </x:c>
      <x:c r="H45" s="131" t="n">
        <x:v>0</x:v>
      </x:c>
      <x:c r="I45" s="131" t="n">
        <x:v>0</x:v>
      </x:c>
      <x:c r="J45" s="131" t="n">
        <x:v>0</x:v>
      </x:c>
      <x:c r="K45" s="131" t="n">
        <x:v>0</x:v>
      </x:c>
      <x:c r="L45" s="131" t="n">
        <x:v>0</x:v>
      </x:c>
      <x:c r="M45" s="131" t="n">
        <x:v>0</x:v>
      </x:c>
      <x:c r="N45" s="131" t="n">
        <x:v>0</x:v>
      </x:c>
      <x:c r="O45" s="131" t="n">
        <x:v>0</x:v>
      </x:c>
    </x:row>
    <x:row r="46" ht="19" customHeight="1">
      <x:c r="A46" s="117"/>
      <x:c r="B46" s="117"/>
      <x:c r="C46" s="117"/>
      <x:c r="D46" s="118"/>
      <x:c r="E46" s="118"/>
      <x:c r="F46" s="118"/>
      <x:c r="G46" s="175"/>
      <x:c r="H46" s="118"/>
      <x:c r="I46" s="118"/>
      <x:c r="J46" s="118"/>
      <x:c r="K46" s="118"/>
      <x:c r="L46" s="118"/>
      <x:c r="M46" s="118"/>
      <x:c r="N46" s="118"/>
      <x:c r="O46" s="118"/>
    </x:row>
    <x:row r="47" ht="19" customHeight="1">
      <x:c r="A47" s="117"/>
      <x:c r="B47" s="117"/>
      <x:c r="C47" s="120" t="str">
        <x:v>Blue cells are forecast inputs. Historical ratios are calculated from audited statements.</x:v>
      </x:c>
      <x:c r="D47" s="156"/>
      <x:c r="E47" s="156"/>
      <x:c r="F47" s="156"/>
      <x:c r="G47" s="188"/>
      <x:c r="H47" s="156"/>
      <x:c r="I47" s="156"/>
      <x:c r="J47" s="156"/>
      <x:c r="K47" s="156"/>
      <x:c r="L47" s="156"/>
      <x:c r="M47" s="156"/>
      <x:c r="N47" s="156"/>
      <x:c r="O47" s="156"/>
    </x:row>
    <x:row r="48" ht="19" customHeight="1">
      <x:c r="A48" s="117"/>
      <x:c r="B48" s="117"/>
      <x:c r="C48" s="117"/>
      <x:c r="D48" s="118"/>
      <x:c r="E48" s="118"/>
      <x:c r="F48" s="118"/>
      <x:c r="G48" s="175"/>
      <x:c r="H48" s="118"/>
      <x:c r="I48" s="118"/>
      <x:c r="J48" s="118"/>
      <x:c r="K48" s="118"/>
      <x:c r="L48" s="118"/>
      <x:c r="M48" s="118"/>
      <x:c r="N48" s="118"/>
      <x:c r="O48" s="118"/>
    </x:row>
    <x:row r="49">
      <x:c r="G49" s="181"/>
    </x:row>
    <x:row r="50">
      <x:c r="G50" s="181"/>
    </x:row>
    <x:row r="51">
      <x:c r="G51" s="181"/>
    </x:row>
    <x:row r="52">
      <x:c r="G52" s="181"/>
    </x:row>
    <x:row r="53">
      <x:c r="G53" s="181"/>
    </x:row>
    <x:row r="54">
      <x:c r="G54" s="181"/>
    </x:row>
    <x:row r="55">
      <x:c r="G55" s="181"/>
    </x:row>
    <x:row r="56">
      <x:c r="G56" s="181"/>
    </x:row>
    <x:row r="57">
      <x:c r="G57" s="181"/>
    </x:row>
    <x:row r="58">
      <x:c r="G58" s="181"/>
    </x:row>
    <x:row r="59">
      <x:c r="G59" s="181"/>
    </x:row>
    <x:row r="60">
      <x:c r="G60" s="181"/>
    </x:row>
    <x:row r="61">
      <x:c r="G61" s="181"/>
    </x:row>
    <x:row r="62">
      <x:c r="G62" s="181"/>
    </x:row>
    <x:row r="63">
      <x:c r="G63" s="181"/>
    </x:row>
    <x:row r="64">
      <x:c r="G64" s="181"/>
    </x:row>
    <x:row r="65">
      <x:c r="G65" s="181"/>
    </x:row>
    <x:row r="66">
      <x:c r="G66" s="181"/>
    </x:row>
    <x:row r="67">
      <x:c r="G67" s="181"/>
    </x:row>
    <x:row r="68">
      <x:c r="G68" s="181"/>
    </x:row>
    <x:row r="69">
      <x:c r="G69" s="181"/>
    </x:row>
    <x:row r="70">
      <x:c r="G70" s="181"/>
    </x:row>
    <x:row r="71">
      <x:c r="G71" s="181"/>
    </x:row>
    <x:row r="72">
      <x:c r="G72" s="181"/>
    </x:row>
    <x:row r="73">
      <x:c r="G73" s="181"/>
    </x:row>
    <x:row r="74">
      <x:c r="G74" s="181"/>
    </x:row>
    <x:row r="75">
      <x:c r="G75" s="181"/>
    </x:row>
    <x:row r="76">
      <x:c r="G76" s="181"/>
    </x:row>
    <x:row r="77">
      <x:c r="G77" s="181"/>
    </x:row>
    <x:row r="78">
      <x:c r="G78" s="181"/>
    </x:row>
    <x:row r="79">
      <x:c r="G79" s="181"/>
    </x:row>
    <x:row r="80">
      <x:c r="G80" s="181"/>
    </x:row>
    <x:row r="81">
      <x:c r="G81" s="181"/>
    </x:row>
    <x:row r="82">
      <x:c r="G82" s="181"/>
    </x:row>
    <x:row r="83">
      <x:c r="G83" s="181"/>
    </x:row>
    <x:row r="84">
      <x:c r="G84" s="181"/>
    </x:row>
    <x:row r="85">
      <x:c r="G85" s="181"/>
    </x:row>
    <x:row r="86">
      <x:c r="G86" s="181"/>
    </x:row>
    <x:row r="87">
      <x:c r="G87" s="181"/>
    </x:row>
    <x:row r="88">
      <x:c r="G88" s="181"/>
    </x:row>
    <x:row r="89">
      <x:c r="G89" s="181"/>
    </x:row>
    <x:row r="90">
      <x:c r="G90" s="181"/>
    </x:row>
    <x:row r="91">
      <x:c r="G91" s="181"/>
    </x:row>
    <x:row r="92">
      <x:c r="G92" s="181"/>
    </x:row>
    <x:row r="93">
      <x:c r="G93" s="181"/>
    </x:row>
    <x:row r="94">
      <x:c r="G94" s="181"/>
    </x:row>
    <x:row r="95">
      <x:c r="G95" s="181"/>
    </x:row>
    <x:row r="96">
      <x:c r="G96" s="181"/>
    </x:row>
    <x:row r="97">
      <x:c r="G97" s="181"/>
    </x:row>
    <x:row r="98">
      <x:c r="G98" s="181"/>
    </x:row>
    <x:row r="99">
      <x:c r="G99" s="181"/>
    </x:row>
    <x:row r="100">
      <x:c r="G100" s="181"/>
    </x:row>
    <x:row r="101">
      <x:c r="G101" s="181"/>
    </x:row>
    <x:row r="102">
      <x:c r="G102" s="181"/>
    </x:row>
    <x:row r="103">
      <x:c r="G103" s="181"/>
    </x:row>
    <x:row r="104">
      <x:c r="G104" s="181"/>
    </x:row>
    <x:row r="105">
      <x:c r="G105" s="181"/>
    </x:row>
    <x:row r="106">
      <x:c r="G106" s="181"/>
    </x:row>
    <x:row r="107">
      <x:c r="G107" s="181"/>
    </x:row>
    <x:row r="108">
      <x:c r="G108" s="181"/>
    </x:row>
    <x:row r="109">
      <x:c r="G109" s="181"/>
    </x:row>
    <x:row r="110">
      <x:c r="G110" s="181"/>
    </x:row>
    <x:row r="111">
      <x:c r="G111" s="181"/>
    </x:row>
    <x:row r="112">
      <x:c r="G112" s="181"/>
    </x:row>
    <x:row r="113">
      <x:c r="G113" s="181"/>
    </x:row>
    <x:row r="114">
      <x:c r="G114" s="181"/>
    </x:row>
    <x:row r="115">
      <x:c r="G115" s="181"/>
    </x:row>
    <x:row r="116">
      <x:c r="G116" s="181"/>
    </x:row>
    <x:row r="117">
      <x:c r="G117" s="181"/>
    </x:row>
    <x:row r="118">
      <x:c r="G118" s="181"/>
    </x:row>
    <x:row r="119">
      <x:c r="G119" s="181"/>
    </x:row>
    <x:row r="120">
      <x:c r="G120" s="181"/>
    </x:row>
    <x:row r="121">
      <x:c r="G121" s="181"/>
    </x:row>
    <x:row r="122">
      <x:c r="G122" s="181"/>
    </x:row>
    <x:row r="123">
      <x:c r="G123" s="181"/>
    </x:row>
    <x:row r="124">
      <x:c r="G124" s="181"/>
    </x:row>
    <x:row r="125">
      <x:c r="G125" s="181"/>
    </x:row>
    <x:row r="126">
      <x:c r="G126" s="181"/>
    </x:row>
    <x:row r="127">
      <x:c r="G127" s="181"/>
    </x:row>
    <x:row r="128">
      <x:c r="G128" s="181"/>
    </x:row>
    <x:row r="129">
      <x:c r="G129" s="181"/>
    </x:row>
    <x:row r="130">
      <x:c r="G130" s="181"/>
    </x:row>
    <x:row r="131">
      <x:c r="G131" s="181"/>
    </x:row>
    <x:row r="132">
      <x:c r="G132" s="181"/>
    </x:row>
    <x:row r="133">
      <x:c r="G133" s="181"/>
    </x:row>
    <x:row r="134">
      <x:c r="G134" s="181"/>
    </x:row>
    <x:row r="135">
      <x:c r="G135" s="181"/>
    </x:row>
    <x:row r="136">
      <x:c r="G136" s="181"/>
    </x:row>
    <x:row r="137">
      <x:c r="G137" s="181"/>
    </x:row>
    <x:row r="138">
      <x:c r="G138" s="181"/>
    </x:row>
    <x:row r="139">
      <x:c r="G139" s="181"/>
    </x:row>
    <x:row r="140">
      <x:c r="G140" s="181"/>
    </x:row>
    <x:row r="141">
      <x:c r="G141" s="181"/>
    </x:row>
    <x:row r="142">
      <x:c r="G142" s="181"/>
    </x:row>
    <x:row r="143">
      <x:c r="G143" s="181"/>
    </x:row>
    <x:row r="144">
      <x:c r="G144" s="181"/>
    </x:row>
    <x:row r="145">
      <x:c r="G145" s="181"/>
    </x:row>
    <x:row r="146">
      <x:c r="G146" s="181"/>
    </x:row>
    <x:row r="147">
      <x:c r="G147" s="181"/>
    </x:row>
    <x:row r="148">
      <x:c r="G148" s="18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B9C6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5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3.5" hidden="0" customWidth="1"/>
    <x:col min="15" max="15" width="13.5" hidden="0" customWidth="1"/>
  </x:cols>
  <x:sheetData>
    <x:row r="1" ht="19" customHeight="1">
      <x:c r="A1" s="117"/>
      <x:c r="B1" s="117"/>
      <x:c r="C1" s="197"/>
      <x:c r="D1" s="197"/>
      <x:c r="E1" s="197"/>
      <x:c r="F1" s="197"/>
      <x:c r="G1" s="197"/>
      <x:c r="H1" s="197"/>
      <x:c r="I1" s="197"/>
      <x:c r="J1" s="197"/>
      <x:c r="K1" s="197"/>
      <x:c r="L1" s="197"/>
      <x:c r="M1" s="197"/>
      <x:c r="N1" s="197"/>
      <x:c r="O1" s="197"/>
    </x:row>
    <x:row r="2" ht="19" customHeight="1">
      <x:c r="A2" s="117"/>
      <x:c r="B2" s="117"/>
      <x:c r="C2" s="198" t="str">
        <x:v>Abbott India - Supporting schedules</x:v>
      </x:c>
      <x:c r="D2" s="197"/>
      <x:c r="E2" s="197"/>
      <x:c r="F2" s="197"/>
      <x:c r="G2" s="197"/>
      <x:c r="H2" s="197"/>
      <x:c r="I2" s="197"/>
      <x:c r="J2" s="197"/>
      <x:c r="K2" s="197"/>
      <x:c r="L2" s="197"/>
      <x:c r="M2" s="197"/>
      <x:c r="N2" s="197"/>
      <x:c r="O2" s="197"/>
    </x:row>
    <x:row r="3" ht="19" customHeight="1">
      <x:c r="A3" s="117"/>
      <x:c r="B3" s="117"/>
      <x:c r="C3" s="2" t="str">
        <x:v>INR million, except per-share figures, ratios and days. March year-end.</x:v>
      </x:c>
      <x:c r="D3" s="197"/>
      <x:c r="E3" s="197"/>
      <x:c r="F3" s="197"/>
      <x:c r="G3" s="197"/>
      <x:c r="H3" s="197"/>
      <x:c r="I3" s="197"/>
      <x:c r="J3" s="197"/>
      <x:c r="K3" s="197"/>
      <x:c r="L3" s="197"/>
      <x:c r="M3" s="197"/>
      <x:c r="N3" s="197"/>
      <x:c r="O3" s="197"/>
    </x:row>
    <x:row r="4" ht="19" customHeight="1">
      <x:c r="A4" s="117"/>
      <x:c r="B4" s="117"/>
      <x:c r="C4" s="197"/>
      <x:c r="D4" s="197"/>
      <x:c r="E4" s="197"/>
      <x:c r="F4" s="197"/>
      <x:c r="G4" s="197"/>
      <x:c r="H4" s="197"/>
      <x:c r="I4" s="197"/>
      <x:c r="J4" s="197"/>
      <x:c r="K4" s="197"/>
      <x:c r="L4" s="197"/>
      <x:c r="M4" s="197"/>
      <x:c r="N4" s="197"/>
      <x:c r="O4" s="197"/>
    </x:row>
    <x:row r="5" ht="27" customHeight="1">
      <x:c r="A5" s="117"/>
      <x:c r="B5" s="117"/>
      <x:c r="C5" s="199" t="str">
        <x:v>Financial year</x:v>
      </x:c>
      <x:c r="D5" s="200" t="str">
        <x:v>FY24A</x:v>
      </x:c>
      <x:c r="E5" s="200" t="str">
        <x:v>FY25A</x:v>
      </x:c>
      <x:c r="F5" s="200" t="str">
        <x:v>FY26A</x:v>
      </x:c>
      <x:c r="G5" s="201" t="str">
        <x:v>FY27E</x:v>
      </x:c>
      <x:c r="H5" s="200" t="str">
        <x:v>FY28E</x:v>
      </x:c>
      <x:c r="I5" s="200" t="str">
        <x:v>FY29E</x:v>
      </x:c>
      <x:c r="J5" s="200" t="str">
        <x:v>FY30E</x:v>
      </x:c>
      <x:c r="K5" s="200" t="str">
        <x:v>FY31E</x:v>
      </x:c>
      <x:c r="L5" s="200" t="str">
        <x:v>FY32E</x:v>
      </x:c>
      <x:c r="M5" s="200" t="str">
        <x:v>FY33E</x:v>
      </x:c>
      <x:c r="N5" s="200" t="str">
        <x:v>FY34E</x:v>
      </x:c>
      <x:c r="O5" s="200" t="str">
        <x:v>FY35E</x:v>
      </x:c>
    </x:row>
    <x:row r="6" ht="19" customHeight="1">
      <x:c r="A6" s="117"/>
      <x:c r="B6" s="117"/>
      <x:c r="C6" s="202" t="str">
        <x:v>Revenue bridge</x:v>
      </x:c>
      <x:c r="D6" s="203"/>
      <x:c r="E6" s="203"/>
      <x:c r="F6" s="203"/>
      <x:c r="G6" s="204"/>
      <x:c r="H6" s="203"/>
      <x:c r="I6" s="203"/>
      <x:c r="J6" s="203"/>
      <x:c r="K6" s="203"/>
      <x:c r="L6" s="203"/>
      <x:c r="M6" s="203"/>
      <x:c r="N6" s="203"/>
      <x:c r="O6" s="203"/>
    </x:row>
    <x:row r="7" ht="19" customHeight="1">
      <x:c r="A7" s="117"/>
      <x:c r="B7" s="117"/>
      <x:c r="C7" s="197" t="str">
        <x:v>Revenue in supplied model</x:v>
      </x:c>
      <x:c r="D7" s="205" t="n">
        <x:f>'Revenue Model'!F41</x:f>
        <x:v>58490.4</x:v>
      </x:c>
      <x:c r="E7" s="205" t="n">
        <x:f>'Revenue Model'!G41</x:f>
        <x:v>64091.5</x:v>
      </x:c>
      <x:c r="F7" s="205" t="n">
        <x:f>'Revenue Model'!H41</x:f>
        <x:v>69290.5</x:v>
      </x:c>
      <x:c r="G7" s="206" t="n">
        <x:f>'Revenue Model'!M41</x:f>
        <x:v>76033.26331499999</x:v>
      </x:c>
      <x:c r="H7" s="205" t="n">
        <x:f>'Revenue Model'!R41</x:f>
        <x:v>83215.95788721174</x:v>
      </x:c>
      <x:c r="I7" s="205" t="n">
        <x:f>'Revenue Model'!S41</x:f>
        <x:v>90608.04524422914</x:v>
      </x:c>
      <x:c r="J7" s="205" t="n">
        <x:f>'Revenue Model'!T41</x:f>
        <x:v>98086.55488205835</x:v>
      </x:c>
      <x:c r="K7" s="205" t="n">
        <x:f>'Revenue Model'!U41</x:f>
        <x:v>105345.49961715605</x:v>
      </x:c>
      <x:c r="L7" s="205" t="n">
        <x:f>'Revenue Model'!V41</x:f>
        <x:v>112395.32429477022</x:v>
      </x:c>
      <x:c r="M7" s="205" t="n">
        <x:f>'Revenue Model'!W41</x:f>
        <x:v>119018.98895059129</x:v>
      </x:c>
      <x:c r="N7" s="205" t="n">
        <x:f>'Revenue Model'!X41</x:f>
        <x:v>125532.66746566884</x:v>
      </x:c>
      <x:c r="O7" s="205" t="n">
        <x:f>'Revenue Model'!Y41</x:f>
        <x:v>131853.31243069633</x:v>
      </x:c>
    </x:row>
    <x:row r="8" ht="19" customHeight="1">
      <x:c r="A8" s="117"/>
      <x:c r="B8" s="117"/>
      <x:c r="C8" s="197" t="str">
        <x:v>Audited / Q1 actual adjustment</x:v>
      </x:c>
      <x:c r="D8" s="207" t="n">
        <x:f>58489.1-D7</x:f>
        <x:v>-1.3000000000029104</x:v>
      </x:c>
      <x:c r="E8" s="207" t="n">
        <x:f>64091.5-E7</x:f>
        <x:v>0</x:v>
      </x:c>
      <x:c r="F8" s="207" t="n">
        <x:f>69290.5-F7</x:f>
        <x:v>0</x:v>
      </x:c>
      <x:c r="G8" s="208" t="n">
        <x:f>$D$16</x:f>
        <x:v>402.7999999999993</x:v>
      </x:c>
      <x:c r="H8" s="209" t="n">
        <x:v>0</x:v>
      </x:c>
      <x:c r="I8" s="209" t="n">
        <x:v>0</x:v>
      </x:c>
      <x:c r="J8" s="209" t="n">
        <x:v>0</x:v>
      </x:c>
      <x:c r="K8" s="209" t="n">
        <x:v>0</x:v>
      </x:c>
      <x:c r="L8" s="209" t="n">
        <x:v>0</x:v>
      </x:c>
      <x:c r="M8" s="209" t="n">
        <x:v>0</x:v>
      </x:c>
      <x:c r="N8" s="209" t="n">
        <x:v>0</x:v>
      </x:c>
      <x:c r="O8" s="209" t="n">
        <x:v>0</x:v>
      </x:c>
    </x:row>
    <x:row r="9" ht="19" customHeight="1">
      <x:c r="A9" s="117"/>
      <x:c r="B9" s="117"/>
      <x:c r="C9" s="210" t="str">
        <x:v>Revenue used in statements</x:v>
      </x:c>
      <x:c r="D9" s="211" t="n">
        <x:f>D7+D8</x:f>
        <x:v>58489.1</x:v>
      </x:c>
      <x:c r="E9" s="211" t="n">
        <x:f>E7+E8</x:f>
        <x:v>64091.5</x:v>
      </x:c>
      <x:c r="F9" s="211" t="n">
        <x:f>F7+F8</x:f>
        <x:v>69290.5</x:v>
      </x:c>
      <x:c r="G9" s="212" t="n">
        <x:f>G7+G8</x:f>
        <x:v>76436.06331499999</x:v>
      </x:c>
      <x:c r="H9" s="211" t="n">
        <x:f>H7+H8</x:f>
        <x:v>83215.95788721174</x:v>
      </x:c>
      <x:c r="I9" s="211" t="n">
        <x:f>I7+I8</x:f>
        <x:v>90608.04524422914</x:v>
      </x:c>
      <x:c r="J9" s="211" t="n">
        <x:f>J7+J8</x:f>
        <x:v>98086.55488205835</x:v>
      </x:c>
      <x:c r="K9" s="211" t="n">
        <x:f>K7+K8</x:f>
        <x:v>105345.49961715605</x:v>
      </x:c>
      <x:c r="L9" s="211" t="n">
        <x:f>L7+L8</x:f>
        <x:v>112395.32429477022</x:v>
      </x:c>
      <x:c r="M9" s="211" t="n">
        <x:f>M7+M8</x:f>
        <x:v>119018.98895059129</x:v>
      </x:c>
      <x:c r="N9" s="211" t="n">
        <x:f>N7+N8</x:f>
        <x:v>125532.66746566884</x:v>
      </x:c>
      <x:c r="O9" s="211" t="n">
        <x:f>O7+O8</x:f>
        <x:v>131853.31243069633</x:v>
      </x:c>
    </x:row>
    <x:row r="10" ht="19" customHeight="1">
      <x:c r="A10" s="117"/>
      <x:c r="B10" s="117"/>
      <x:c r="C10" s="213" t="str">
        <x:v>YoY growth</x:v>
      </x:c>
      <x:c r="D10" s="214" t="str">
        <x:v>n.a.</x:v>
      </x:c>
      <x:c r="E10" s="215" t="n">
        <x:f>E9/D9-1</x:f>
        <x:v>0.09578536855585051</x:v>
      </x:c>
      <x:c r="F10" s="215" t="n">
        <x:f>F9/E9-1</x:f>
        <x:v>0.08111840103601886</x:v>
      </x:c>
      <x:c r="G10" s="216" t="n">
        <x:f>G9/F9-1</x:f>
        <x:v>0.1031247186122195</x:v>
      </x:c>
      <x:c r="H10" s="215" t="n">
        <x:f>H9/G9-1</x:f>
        <x:v>0.08870020613530527</x:v>
      </x:c>
      <x:c r="I10" s="215" t="n">
        <x:f>I9/H9-1</x:f>
        <x:v>0.08883016604863703</x:v>
      </x:c>
      <x:c r="J10" s="215" t="n">
        <x:f>J9/I9-1</x:f>
        <x:v>0.08253692724162942</x:v>
      </x:c>
      <x:c r="K10" s="215" t="n">
        <x:f>K9/J9-1</x:f>
        <x:v>0.0740055020163164</x:v>
      </x:c>
      <x:c r="L10" s="215" t="n">
        <x:f>L9/K9-1</x:f>
        <x:v>0.06692098573963268</x:v>
      </x:c>
      <x:c r="M10" s="215" t="n">
        <x:f>M9/L9-1</x:f>
        <x:v>0.05893185234689757</x:v>
      </x:c>
      <x:c r="N10" s="215" t="n">
        <x:f>N9/M9-1</x:f>
        <x:v>0.054728061232158565</x:v>
      </x:c>
      <x:c r="O10" s="215" t="n">
        <x:f>O9/N9-1</x:f>
        <x:v>0.050350598713725825</x:v>
      </x:c>
    </x:row>
    <x:row r="11" ht="19" customHeight="1">
      <x:c r="A11" s="117"/>
      <x:c r="B11" s="117"/>
      <x:c r="C11" s="197"/>
      <x:c r="D11" s="217"/>
      <x:c r="E11" s="217"/>
      <x:c r="F11" s="217"/>
      <x:c r="G11" s="218"/>
      <x:c r="H11" s="217"/>
      <x:c r="I11" s="217"/>
      <x:c r="J11" s="217"/>
      <x:c r="K11" s="217"/>
      <x:c r="L11" s="217"/>
      <x:c r="M11" s="217"/>
      <x:c r="N11" s="217"/>
      <x:c r="O11" s="217"/>
    </x:row>
    <x:row r="12" ht="19" customHeight="1">
      <x:c r="A12" s="117"/>
      <x:c r="B12" s="117"/>
      <x:c r="C12" s="197"/>
      <x:c r="D12" s="217"/>
      <x:c r="E12" s="217"/>
      <x:c r="F12" s="217"/>
      <x:c r="G12" s="218"/>
      <x:c r="H12" s="217"/>
      <x:c r="I12" s="217"/>
      <x:c r="J12" s="217"/>
      <x:c r="K12" s="217"/>
      <x:c r="L12" s="217"/>
      <x:c r="M12" s="217"/>
      <x:c r="N12" s="217"/>
      <x:c r="O12" s="217"/>
    </x:row>
    <x:row r="13" ht="19" customHeight="1">
      <x:c r="A13" s="117"/>
      <x:c r="B13" s="117"/>
      <x:c r="C13" s="202" t="str">
        <x:v>Quarterly revenue bridge</x:v>
      </x:c>
      <x:c r="D13" s="203"/>
      <x:c r="E13" s="203"/>
      <x:c r="F13" s="203"/>
      <x:c r="G13" s="204"/>
      <x:c r="H13" s="203"/>
      <x:c r="I13" s="203"/>
      <x:c r="J13" s="203"/>
      <x:c r="K13" s="203"/>
      <x:c r="L13" s="203"/>
      <x:c r="M13" s="203"/>
      <x:c r="N13" s="217"/>
      <x:c r="O13" s="217"/>
    </x:row>
    <x:row r="14" ht="19" customHeight="1">
      <x:c r="A14" s="117"/>
      <x:c r="B14" s="117"/>
      <x:c r="C14" s="219"/>
      <x:c r="D14" s="220" t="str">
        <x:v>FY27Q1A</x:v>
      </x:c>
      <x:c r="E14" s="220" t="str">
        <x:v>FY27Q2E</x:v>
      </x:c>
      <x:c r="F14" s="220" t="str">
        <x:v>FY27Q3E</x:v>
      </x:c>
      <x:c r="G14" s="221" t="str">
        <x:v>FY27Q4E</x:v>
      </x:c>
      <x:c r="H14" s="220" t="str">
        <x:v>FY27E</x:v>
      </x:c>
      <x:c r="I14" s="220" t="str">
        <x:v>FY28Q1E</x:v>
      </x:c>
      <x:c r="J14" s="220" t="str">
        <x:v>FY28Q2E</x:v>
      </x:c>
      <x:c r="K14" s="220" t="str">
        <x:v>FY28Q3E</x:v>
      </x:c>
      <x:c r="L14" s="220" t="str">
        <x:v>FY28Q4E</x:v>
      </x:c>
      <x:c r="M14" s="220" t="str">
        <x:v>FY28E</x:v>
      </x:c>
      <x:c r="N14" s="217"/>
      <x:c r="O14" s="217"/>
    </x:row>
    <x:row r="15" ht="19" customHeight="1">
      <x:c r="A15" s="117"/>
      <x:c r="B15" s="117"/>
      <x:c r="C15" s="197" t="str">
        <x:v>Revenue in supplied model</x:v>
      </x:c>
      <x:c r="D15" s="205" t="n">
        <x:f>'Revenue Model'!I41</x:f>
        <x:v>17734</x:v>
      </x:c>
      <x:c r="E15" s="205" t="n">
        <x:f>'Revenue Model'!J41</x:f>
        <x:v>20660.266648738114</x:v>
      </x:c>
      <x:c r="F15" s="205" t="n">
        <x:f>'Revenue Model'!K41</x:f>
        <x:v>19398.27431995574</x:v>
      </x:c>
      <x:c r="G15" s="206" t="n">
        <x:f>'Revenue Model'!L41</x:f>
        <x:v>18240.722346306124</x:v>
      </x:c>
      <x:c r="H15" s="205" t="n">
        <x:f>'Revenue Model'!M41</x:f>
        <x:v>76033.26331499999</x:v>
      </x:c>
      <x:c r="I15" s="205" t="n">
        <x:f>'Revenue Model'!N41</x:f>
        <x:v>20201.443953862756</x:v>
      </x:c>
      <x:c r="J15" s="205" t="n">
        <x:f>'Revenue Model'!O41</x:f>
        <x:v>22331.271212969936</x:v>
      </x:c>
      <x:c r="K15" s="205" t="n">
        <x:f>'Revenue Model'!P41</x:f>
        <x:v>20967.208810394503</x:v>
      </x:c>
      <x:c r="L15" s="205" t="n">
        <x:f>'Revenue Model'!Q41</x:f>
        <x:v>19716.03390998454</x:v>
      </x:c>
      <x:c r="M15" s="205" t="n">
        <x:f>'Revenue Model'!R41</x:f>
        <x:v>83215.95788721174</x:v>
      </x:c>
      <x:c r="N15" s="217"/>
      <x:c r="O15" s="217"/>
    </x:row>
    <x:row r="16" ht="19" customHeight="1">
      <x:c r="A16" s="117"/>
      <x:c r="B16" s="117"/>
      <x:c r="C16" s="197" t="str">
        <x:v>Audited Q1 adjustment</x:v>
      </x:c>
      <x:c r="D16" s="207" t="n">
        <x:f>18136.8-D15</x:f>
        <x:v>402.7999999999993</x:v>
      </x:c>
      <x:c r="E16" s="209" t="n">
        <x:v>0</x:v>
      </x:c>
      <x:c r="F16" s="209" t="n">
        <x:v>0</x:v>
      </x:c>
      <x:c r="G16" s="222" t="n">
        <x:v>0</x:v>
      </x:c>
      <x:c r="H16" s="207" t="n">
        <x:f>SUM(D16:G16)</x:f>
        <x:v>402.7999999999993</x:v>
      </x:c>
      <x:c r="I16" s="209" t="n">
        <x:v>0</x:v>
      </x:c>
      <x:c r="J16" s="209" t="n">
        <x:v>0</x:v>
      </x:c>
      <x:c r="K16" s="209" t="n">
        <x:v>0</x:v>
      </x:c>
      <x:c r="L16" s="209" t="n">
        <x:v>0</x:v>
      </x:c>
      <x:c r="M16" s="207" t="n">
        <x:f>SUM(I16:L16)</x:f>
        <x:v>0</x:v>
      </x:c>
      <x:c r="N16" s="217"/>
      <x:c r="O16" s="217"/>
    </x:row>
    <x:row r="17" ht="19" customHeight="1">
      <x:c r="A17" s="117"/>
      <x:c r="B17" s="117"/>
      <x:c r="C17" s="210" t="str">
        <x:v>Revenue used in P&amp;L</x:v>
      </x:c>
      <x:c r="D17" s="211" t="n">
        <x:f>D15+D16</x:f>
        <x:v>18136.8</x:v>
      </x:c>
      <x:c r="E17" s="211" t="n">
        <x:f>E15+E16</x:f>
        <x:v>20660.266648738114</x:v>
      </x:c>
      <x:c r="F17" s="211" t="n">
        <x:f>F15+F16</x:f>
        <x:v>19398.27431995574</x:v>
      </x:c>
      <x:c r="G17" s="212" t="n">
        <x:f>G15+G16</x:f>
        <x:v>18240.722346306124</x:v>
      </x:c>
      <x:c r="H17" s="211" t="n">
        <x:f>H15+H16</x:f>
        <x:v>76436.06331499999</x:v>
      </x:c>
      <x:c r="I17" s="211" t="n">
        <x:f>I15+I16</x:f>
        <x:v>20201.443953862756</x:v>
      </x:c>
      <x:c r="J17" s="211" t="n">
        <x:f>J15+J16</x:f>
        <x:v>22331.271212969936</x:v>
      </x:c>
      <x:c r="K17" s="211" t="n">
        <x:f>K15+K16</x:f>
        <x:v>20967.208810394503</x:v>
      </x:c>
      <x:c r="L17" s="211" t="n">
        <x:f>L15+L16</x:f>
        <x:v>19716.03390998454</x:v>
      </x:c>
      <x:c r="M17" s="211" t="n">
        <x:f>M15+M16</x:f>
        <x:v>83215.95788721174</x:v>
      </x:c>
      <x:c r="N17" s="217"/>
      <x:c r="O17" s="217"/>
    </x:row>
    <x:row r="18" ht="19" customHeight="1">
      <x:c r="A18" s="117"/>
      <x:c r="B18" s="117"/>
      <x:c r="C18" s="197"/>
      <x:c r="D18" s="217"/>
      <x:c r="E18" s="217"/>
      <x:c r="F18" s="217"/>
      <x:c r="G18" s="218"/>
      <x:c r="H18" s="217"/>
      <x:c r="I18" s="217"/>
      <x:c r="J18" s="217"/>
      <x:c r="K18" s="217"/>
      <x:c r="L18" s="217"/>
      <x:c r="M18" s="217"/>
      <x:c r="N18" s="217"/>
      <x:c r="O18" s="217"/>
    </x:row>
    <x:row r="19" ht="19" customHeight="1">
      <x:c r="A19" s="117"/>
      <x:c r="B19" s="117"/>
      <x:c r="C19" s="197"/>
      <x:c r="D19" s="217"/>
      <x:c r="E19" s="217"/>
      <x:c r="F19" s="217"/>
      <x:c r="G19" s="218"/>
      <x:c r="H19" s="217"/>
      <x:c r="I19" s="217"/>
      <x:c r="J19" s="217"/>
      <x:c r="K19" s="217"/>
      <x:c r="L19" s="217"/>
      <x:c r="M19" s="217"/>
      <x:c r="N19" s="217"/>
      <x:c r="O19" s="217"/>
    </x:row>
    <x:row r="20" ht="19" customHeight="1">
      <x:c r="A20" s="117"/>
      <x:c r="B20" s="117"/>
      <x:c r="C20" s="197"/>
      <x:c r="D20" s="217"/>
      <x:c r="E20" s="217"/>
      <x:c r="F20" s="217"/>
      <x:c r="G20" s="218"/>
      <x:c r="H20" s="217"/>
      <x:c r="I20" s="217"/>
      <x:c r="J20" s="217"/>
      <x:c r="K20" s="217"/>
      <x:c r="L20" s="217"/>
      <x:c r="M20" s="217"/>
      <x:c r="N20" s="217"/>
      <x:c r="O20" s="217"/>
    </x:row>
    <x:row r="21" ht="19" customHeight="1">
      <x:c r="A21" s="117"/>
      <x:c r="B21" s="117"/>
      <x:c r="C21" s="202" t="str">
        <x:v>Annual P&amp;L build</x:v>
      </x:c>
      <x:c r="D21" s="203"/>
      <x:c r="E21" s="203"/>
      <x:c r="F21" s="203"/>
      <x:c r="G21" s="204"/>
      <x:c r="H21" s="203"/>
      <x:c r="I21" s="203"/>
      <x:c r="J21" s="203"/>
      <x:c r="K21" s="203"/>
      <x:c r="L21" s="203"/>
      <x:c r="M21" s="203"/>
      <x:c r="N21" s="203"/>
      <x:c r="O21" s="203"/>
    </x:row>
    <x:row r="22" ht="19" customHeight="1">
      <x:c r="A22" s="117"/>
      <x:c r="B22" s="117"/>
      <x:c r="C22" s="197" t="str">
        <x:v>Financial year</x:v>
      </x:c>
      <x:c r="D22" s="217" t="str">
        <x:v>FY24A</x:v>
      </x:c>
      <x:c r="E22" s="217" t="str">
        <x:v>FY25A</x:v>
      </x:c>
      <x:c r="F22" s="217" t="str">
        <x:v>FY26A</x:v>
      </x:c>
      <x:c r="G22" s="218" t="str">
        <x:v>FY27E</x:v>
      </x:c>
      <x:c r="H22" s="217" t="str">
        <x:v>FY28E</x:v>
      </x:c>
      <x:c r="I22" s="217" t="str">
        <x:v>FY29E</x:v>
      </x:c>
      <x:c r="J22" s="217" t="str">
        <x:v>FY30E</x:v>
      </x:c>
      <x:c r="K22" s="217" t="str">
        <x:v>FY31E</x:v>
      </x:c>
      <x:c r="L22" s="217" t="str">
        <x:v>FY32E</x:v>
      </x:c>
      <x:c r="M22" s="217" t="str">
        <x:v>FY33E</x:v>
      </x:c>
      <x:c r="N22" s="217" t="str">
        <x:v>FY34E</x:v>
      </x:c>
      <x:c r="O22" s="217" t="str">
        <x:v>FY35E</x:v>
      </x:c>
    </x:row>
    <x:row r="23" ht="19" customHeight="1">
      <x:c r="A23" s="117"/>
      <x:c r="B23" s="117"/>
      <x:c r="C23" s="197" t="str">
        <x:v>Revenue from operations</x:v>
      </x:c>
      <x:c r="D23" s="209" t="n">
        <x:v>58489.1</x:v>
      </x:c>
      <x:c r="E23" s="209" t="n">
        <x:v>64091.5</x:v>
      </x:c>
      <x:c r="F23" s="209" t="n">
        <x:v>69290.5</x:v>
      </x:c>
      <x:c r="G23" s="208" t="n">
        <x:f>G9</x:f>
        <x:v>76436.06331499999</x:v>
      </x:c>
      <x:c r="H23" s="207" t="n">
        <x:f>H9</x:f>
        <x:v>83215.95788721174</x:v>
      </x:c>
      <x:c r="I23" s="207" t="n">
        <x:f>I9</x:f>
        <x:v>90608.04524422914</x:v>
      </x:c>
      <x:c r="J23" s="207" t="n">
        <x:f>J9</x:f>
        <x:v>98086.55488205835</x:v>
      </x:c>
      <x:c r="K23" s="207" t="n">
        <x:f>K9</x:f>
        <x:v>105345.49961715605</x:v>
      </x:c>
      <x:c r="L23" s="207" t="n">
        <x:f>L9</x:f>
        <x:v>112395.32429477022</x:v>
      </x:c>
      <x:c r="M23" s="207" t="n">
        <x:f>M9</x:f>
        <x:v>119018.98895059129</x:v>
      </x:c>
      <x:c r="N23" s="207" t="n">
        <x:f>N9</x:f>
        <x:v>125532.66746566884</x:v>
      </x:c>
      <x:c r="O23" s="207" t="n">
        <x:f>O9</x:f>
        <x:v>131853.31243069633</x:v>
      </x:c>
    </x:row>
    <x:row r="24" ht="19" customHeight="1">
      <x:c r="A24" s="117"/>
      <x:c r="B24" s="117"/>
      <x:c r="C24" s="197" t="str">
        <x:v>Cost of goods sold</x:v>
      </x:c>
      <x:c r="D24" s="209" t="n">
        <x:v>32206.1</x:v>
      </x:c>
      <x:c r="E24" s="209" t="n">
        <x:v>34967.8</x:v>
      </x:c>
      <x:c r="F24" s="209" t="n">
        <x:v>36928.2</x:v>
      </x:c>
      <x:c r="G24" s="208" t="n">
        <x:f>$H$42</x:f>
        <x:v>40506.00587352499</x:v>
      </x:c>
      <x:c r="H24" s="207" t="n">
        <x:f>$M$42</x:f>
        <x:v>44520.53746965829</x:v>
      </x:c>
      <x:c r="I24" s="205" t="n">
        <x:f>I23*'Fin Assumptions'!I8</x:f>
        <x:v>48475.30420566259</x:v>
      </x:c>
      <x:c r="J24" s="205" t="n">
        <x:f>J23*'Fin Assumptions'!J8</x:f>
        <x:v>52476.30686190122</x:v>
      </x:c>
      <x:c r="K24" s="205" t="n">
        <x:f>K23*'Fin Assumptions'!K8</x:f>
        <x:v>56359.84229517849</x:v>
      </x:c>
      <x:c r="L24" s="205" t="n">
        <x:f>L23*'Fin Assumptions'!L8</x:f>
        <x:v>60131.49849770207</x:v>
      </x:c>
      <x:c r="M24" s="205" t="n">
        <x:f>M23*'Fin Assumptions'!M8</x:f>
        <x:v>63675.15908856634</x:v>
      </x:c>
      <x:c r="N24" s="205" t="n">
        <x:f>N23*'Fin Assumptions'!N8</x:f>
        <x:v>67159.97709413283</x:v>
      </x:c>
      <x:c r="O24" s="205" t="n">
        <x:f>O23*'Fin Assumptions'!O8</x:f>
        <x:v>70541.52215042253</x:v>
      </x:c>
    </x:row>
    <x:row r="25" ht="19" customHeight="1">
      <x:c r="A25" s="117"/>
      <x:c r="B25" s="117"/>
      <x:c r="C25" s="197" t="str">
        <x:v>Employee benefits expense</x:v>
      </x:c>
      <x:c r="D25" s="209" t="n">
        <x:v>5765.8</x:v>
      </x:c>
      <x:c r="E25" s="209" t="n">
        <x:v>5875.4</x:v>
      </x:c>
      <x:c r="F25" s="209" t="n">
        <x:v>6688.2</x:v>
      </x:c>
      <x:c r="G25" s="208" t="n">
        <x:f>$H$43</x:f>
        <x:v>7407.4285415549975</x:v>
      </x:c>
      <x:c r="H25" s="207" t="n">
        <x:f>$M$43</x:f>
        <x:v>8071.947915059538</x:v>
      </x:c>
      <x:c r="I25" s="205" t="n">
        <x:f>I23*'Fin Assumptions'!I9</x:f>
        <x:v>8788.980388690226</x:v>
      </x:c>
      <x:c r="J25" s="205" t="n">
        <x:f>J23*'Fin Assumptions'!J9</x:f>
        <x:v>9514.39582355966</x:v>
      </x:c>
      <x:c r="K25" s="205" t="n">
        <x:f>K23*'Fin Assumptions'!K9</x:f>
        <x:v>10218.513462864137</x:v>
      </x:c>
      <x:c r="L25" s="205" t="n">
        <x:f>L23*'Fin Assumptions'!L9</x:f>
        <x:v>10902.346456592712</x:v>
      </x:c>
      <x:c r="M25" s="205" t="n">
        <x:f>M23*'Fin Assumptions'!M9</x:f>
        <x:v>11544.841928207356</x:v>
      </x:c>
      <x:c r="N25" s="205" t="n">
        <x:f>N23*'Fin Assumptions'!N9</x:f>
        <x:v>12176.668744169878</x:v>
      </x:c>
      <x:c r="O25" s="205" t="n">
        <x:f>O23*'Fin Assumptions'!O9</x:f>
        <x:v>12789.771305777544</x:v>
      </x:c>
    </x:row>
    <x:row r="26" ht="19" customHeight="1">
      <x:c r="A26" s="117"/>
      <x:c r="B26" s="117"/>
      <x:c r="C26" s="197" t="str">
        <x:v>Other operating expenses</x:v>
      </x:c>
      <x:c r="D26" s="209" t="n">
        <x:v>5986.2</x:v>
      </x:c>
      <x:c r="E26" s="209" t="n">
        <x:v>6302.3</x:v>
      </x:c>
      <x:c r="F26" s="209" t="n">
        <x:v>6753.3</x:v>
      </x:c>
      <x:c r="G26" s="208" t="n">
        <x:f>$H$44</x:f>
        <x:v>7673.426331499999</x:v>
      </x:c>
      <x:c r="H26" s="207" t="n">
        <x:f>$M$44</x:f>
        <x:v>8321.595788721173</x:v>
      </x:c>
      <x:c r="I26" s="205" t="n">
        <x:f>I23*'Fin Assumptions'!I10</x:f>
        <x:v>9060.804524422914</x:v>
      </x:c>
      <x:c r="J26" s="205" t="n">
        <x:f>J23*'Fin Assumptions'!J10</x:f>
        <x:v>9808.655488205835</x:v>
      </x:c>
      <x:c r="K26" s="205" t="n">
        <x:f>K23*'Fin Assumptions'!K10</x:f>
        <x:v>10534.549961715606</x:v>
      </x:c>
      <x:c r="L26" s="205" t="n">
        <x:f>L23*'Fin Assumptions'!L10</x:f>
        <x:v>11239.532429477023</x:v>
      </x:c>
      <x:c r="M26" s="205" t="n">
        <x:f>M23*'Fin Assumptions'!M10</x:f>
        <x:v>11901.89889505913</x:v>
      </x:c>
      <x:c r="N26" s="205" t="n">
        <x:f>N23*'Fin Assumptions'!N10</x:f>
        <x:v>12553.266746566886</x:v>
      </x:c>
      <x:c r="O26" s="205" t="n">
        <x:f>O23*'Fin Assumptions'!O10</x:f>
        <x:v>13185.331243069633</x:v>
      </x:c>
    </x:row>
    <x:row r="27" ht="19" customHeight="1">
      <x:c r="A27" s="117"/>
      <x:c r="B27" s="117"/>
      <x:c r="C27" s="197" t="str">
        <x:v>Depreciation and amortisation</x:v>
      </x:c>
      <x:c r="D27" s="209" t="n">
        <x:v>711.7</x:v>
      </x:c>
      <x:c r="E27" s="209" t="n">
        <x:v>718</x:v>
      </x:c>
      <x:c r="F27" s="209" t="n">
        <x:v>759.6</x:v>
      </x:c>
      <x:c r="G27" s="208" t="n">
        <x:f>$H$45</x:f>
        <x:v>809.8302443205001</x:v>
      </x:c>
      <x:c r="H27" s="207" t="n">
        <x:f>$M$45</x:f>
        <x:v>863.1629631848232</x:v>
      </x:c>
      <x:c r="I27" s="207" t="n">
        <x:f>I69</x:f>
        <x:v>925.7229866622424</x:v>
      </x:c>
      <x:c r="J27" s="207" t="n">
        <x:f>J69</x:f>
        <x:v>996.8587981284738</x:v>
      </x:c>
      <x:c r="K27" s="207" t="n">
        <x:f>K69</x:f>
        <x:v>1074.6353110507848</x:v>
      </x:c>
      <x:c r="L27" s="207" t="n">
        <x:f>L69</x:f>
        <x:v>1156.8601169090957</x:v>
      </x:c>
      <x:c r="M27" s="207" t="n">
        <x:f>M69</x:f>
        <x:v>1241.7213337733183</x:v>
      </x:c>
      <x:c r="N27" s="207" t="n">
        <x:f>N69</x:f>
        <x:v>1327.5375777022628</x:v>
      </x:c>
      <x:c r="O27" s="207" t="n">
        <x:f>O69</x:f>
        <x:v>1413.6969104793784</x:v>
      </x:c>
    </x:row>
    <x:row r="28" ht="19" customHeight="1">
      <x:c r="A28" s="117"/>
      <x:c r="B28" s="117"/>
      <x:c r="C28" s="197" t="str">
        <x:v>Interest income</x:v>
      </x:c>
      <x:c r="D28" s="209" t="n">
        <x:v>2240</x:v>
      </x:c>
      <x:c r="E28" s="209" t="n">
        <x:v>2581</x:v>
      </x:c>
      <x:c r="F28" s="209" t="n">
        <x:v>2582</x:v>
      </x:c>
      <x:c r="G28" s="206" t="n">
        <x:f>SUM(F141:F142)*'Fin Assumptions'!G12</x:f>
        <x:v>2646.198</x:v>
      </x:c>
      <x:c r="H28" s="205" t="n">
        <x:f>SUM(G141:G142)*'Fin Assumptions'!H12</x:f>
        <x:v>2796.909960459247</x:v>
      </x:c>
      <x:c r="I28" s="205" t="n">
        <x:f>SUM(H141:H142)*'Fin Assumptions'!I12</x:f>
        <x:v>3132.510424258582</x:v>
      </x:c>
      <x:c r="J28" s="205" t="n">
        <x:f>SUM(I141:I142)*'Fin Assumptions'!J12</x:f>
        <x:v>3516.217124596189</x:v>
      </x:c>
      <x:c r="K28" s="205" t="n">
        <x:f>SUM(J141:J142)*'Fin Assumptions'!K12</x:f>
        <x:v>3930.1070352288075</x:v>
      </x:c>
      <x:c r="L28" s="205" t="n">
        <x:f>SUM(K141:K142)*'Fin Assumptions'!L12</x:f>
        <x:v>4371.423866712308</x:v>
      </x:c>
      <x:c r="M28" s="205" t="n">
        <x:f>SUM(L141:L142)*'Fin Assumptions'!M12</x:f>
        <x:v>4840.012150088425</x:v>
      </x:c>
      <x:c r="N28" s="205" t="n">
        <x:f>SUM(M141:M142)*'Fin Assumptions'!N12</x:f>
        <x:v>5333.567627937809</x:v>
      </x:c>
      <x:c r="O28" s="205" t="n">
        <x:f>SUM(N141:N142)*'Fin Assumptions'!O12</x:f>
        <x:v>5854.210684683229</x:v>
      </x:c>
    </x:row>
    <x:row r="29" ht="19" customHeight="1">
      <x:c r="A29" s="117"/>
      <x:c r="B29" s="117"/>
      <x:c r="C29" s="197" t="str">
        <x:v>Non-interest other income</x:v>
      </x:c>
      <x:c r="D29" s="209" t="n">
        <x:v>242.7</x:v>
      </x:c>
      <x:c r="E29" s="209" t="n">
        <x:v>174.8</x:v>
      </x:c>
      <x:c r="F29" s="209" t="n">
        <x:v>299.4</x:v>
      </x:c>
      <x:c r="G29" s="206" t="n">
        <x:f>G23*'Fin Assumptions'!G11</x:f>
        <x:v>305.74425326</x:v>
      </x:c>
      <x:c r="H29" s="205" t="n">
        <x:f>H23*'Fin Assumptions'!H11</x:f>
        <x:v>332.863831548847</x:v>
      </x:c>
      <x:c r="I29" s="205" t="n">
        <x:f>I23*'Fin Assumptions'!I11</x:f>
        <x:v>362.4321809769166</x:v>
      </x:c>
      <x:c r="J29" s="205" t="n">
        <x:f>J23*'Fin Assumptions'!J11</x:f>
        <x:v>392.3462195282334</x:v>
      </x:c>
      <x:c r="K29" s="205" t="n">
        <x:f>K23*'Fin Assumptions'!K11</x:f>
        <x:v>421.3819984686242</x:v>
      </x:c>
      <x:c r="L29" s="205" t="n">
        <x:f>L23*'Fin Assumptions'!L11</x:f>
        <x:v>449.5812971790809</x:v>
      </x:c>
      <x:c r="M29" s="205" t="n">
        <x:f>M23*'Fin Assumptions'!M11</x:f>
        <x:v>476.0759558023652</x:v>
      </x:c>
      <x:c r="N29" s="205" t="n">
        <x:f>N23*'Fin Assumptions'!N11</x:f>
        <x:v>502.13066986267535</x:v>
      </x:c>
      <x:c r="O29" s="205" t="n">
        <x:f>O23*'Fin Assumptions'!O11</x:f>
        <x:v>527.4132497227853</x:v>
      </x:c>
    </x:row>
    <x:row r="30" ht="19" customHeight="1">
      <x:c r="A30" s="117"/>
      <x:c r="B30" s="117"/>
      <x:c r="C30" s="197" t="str">
        <x:v>Other income</x:v>
      </x:c>
      <x:c r="D30" s="209" t="n">
        <x:v>2482.7</x:v>
      </x:c>
      <x:c r="E30" s="209" t="n">
        <x:v>2755.8</x:v>
      </x:c>
      <x:c r="F30" s="209" t="n">
        <x:v>2881.4</x:v>
      </x:c>
      <x:c r="G30" s="208" t="n">
        <x:f>SUM(G28:G29)</x:f>
        <x:v>2951.9422532599997</x:v>
      </x:c>
      <x:c r="H30" s="207" t="n">
        <x:f>SUM(H28:H29)</x:f>
        <x:v>3129.773792008094</x:v>
      </x:c>
      <x:c r="I30" s="207" t="n">
        <x:f>SUM(I28:I29)</x:f>
        <x:v>3494.942605235499</x:v>
      </x:c>
      <x:c r="J30" s="207" t="n">
        <x:f>SUM(J28:J29)</x:f>
        <x:v>3908.5633441244227</x:v>
      </x:c>
      <x:c r="K30" s="207" t="n">
        <x:f>SUM(K28:K29)</x:f>
        <x:v>4351.489033697431</x:v>
      </x:c>
      <x:c r="L30" s="207" t="n">
        <x:f>SUM(L28:L29)</x:f>
        <x:v>4821.005163891389</x:v>
      </x:c>
      <x:c r="M30" s="207" t="n">
        <x:f>SUM(M28:M29)</x:f>
        <x:v>5316.088105890791</x:v>
      </x:c>
      <x:c r="N30" s="207" t="n">
        <x:f>SUM(N28:N29)</x:f>
        <x:v>5835.698297800484</x:v>
      </x:c>
      <x:c r="O30" s="207" t="n">
        <x:f>SUM(O28:O29)</x:f>
        <x:v>6381.623934406015</x:v>
      </x:c>
    </x:row>
    <x:row r="31" ht="19" customHeight="1">
      <x:c r="A31" s="117"/>
      <x:c r="B31" s="117"/>
      <x:c r="C31" s="197" t="str">
        <x:v>Finance costs</x:v>
      </x:c>
      <x:c r="D31" s="209" t="n">
        <x:v>124.5</x:v>
      </x:c>
      <x:c r="E31" s="209" t="n">
        <x:v>114.3</x:v>
      </x:c>
      <x:c r="F31" s="209" t="n">
        <x:v>249.9</x:v>
      </x:c>
      <x:c r="G31" s="208" t="n">
        <x:f>$H$47</x:f>
        <x:v>219.38035925530005</x:v>
      </x:c>
      <x:c r="H31" s="207" t="n">
        <x:f>$M$47</x:f>
        <x:v>234.56958504482128</x:v>
      </x:c>
      <x:c r="I31" s="207" t="n">
        <x:f>I79</x:f>
        <x:v>252.07352132304095</x:v>
      </x:c>
      <x:c r="J31" s="207" t="n">
        <x:f>J79</x:f>
        <x:v>271.52870672112977</x:v>
      </x:c>
      <x:c r="K31" s="207" t="n">
        <x:f>K79</x:f>
        <x:v>292.3746285240212</x:v>
      </x:c>
      <x:c r="L31" s="207" t="n">
        <x:f>L79</x:f>
        <x:v>314.1315003539819</x:v>
      </x:c>
      <x:c r="M31" s="207" t="n">
        <x:f>M79</x:f>
        <x:v>336.2946933916661</x:v>
      </x:c>
      <x:c r="N31" s="207" t="n">
        <x:f>N79</x:f>
        <x:v>358.63235983438113</x:v>
      </x:c>
      <x:c r="O31" s="207" t="n">
        <x:f>O79</x:f>
        <x:v>380.9669197141079</x:v>
      </x:c>
    </x:row>
    <x:row r="32" ht="19" customHeight="1">
      <x:c r="A32" s="117"/>
      <x:c r="B32" s="117"/>
      <x:c r="C32" s="210" t="str">
        <x:v>Profit before tax</x:v>
      </x:c>
      <x:c r="D32" s="223" t="n">
        <x:v>16177.5</x:v>
      </x:c>
      <x:c r="E32" s="223" t="n">
        <x:v>18869.5</x:v>
      </x:c>
      <x:c r="F32" s="223" t="n">
        <x:v>20792.7</x:v>
      </x:c>
      <x:c r="G32" s="212" t="n">
        <x:f>G23+G30-SUM(G24:G27)-G31</x:f>
        <x:v>22771.9342181042</x:v>
      </x:c>
      <x:c r="H32" s="211" t="n">
        <x:f>H23+H30-SUM(H24:H27)-H31</x:f>
        <x:v>24333.91795755119</x:v>
      </x:c>
      <x:c r="I32" s="211" t="n">
        <x:f>I23+I30-SUM(I24:I27)-I31</x:f>
        <x:v>26600.102222703626</x:v>
      </x:c>
      <x:c r="J32" s="211" t="n">
        <x:f>J23+J30-SUM(J24:J27)-J31</x:f>
        <x:v>28927.37254766646</x:v>
      </x:c>
      <x:c r="K32" s="211" t="n">
        <x:f>K23+K30-SUM(K24:K27)-K31</x:f>
        <x:v>31217.072991520443</x:v>
      </x:c>
      <x:c r="L32" s="211" t="n">
        <x:f>L23+L30-SUM(L24:L27)-L31</x:f>
        <x:v>33471.96045762673</x:v>
      </x:c>
      <x:c r="M32" s="211" t="n">
        <x:f>M23+M30-SUM(M24:M27)-M31</x:f>
        <x:v>35635.161117484284</x:v>
      </x:c>
      <x:c r="N32" s="211" t="n">
        <x:f>N23+N30-SUM(N24:N27)-N31</x:f>
        <x:v>37792.2832410631</x:v>
      </x:c>
      <x:c r="O32" s="211" t="n">
        <x:f>O23+O30-SUM(O24:O27)-O31</x:f>
        <x:v>39923.64783563913</x:v>
      </x:c>
    </x:row>
    <x:row r="33" ht="19" customHeight="1">
      <x:c r="A33" s="117"/>
      <x:c r="B33" s="117"/>
      <x:c r="C33" s="197" t="str">
        <x:v>Tax expense</x:v>
      </x:c>
      <x:c r="D33" s="209" t="n">
        <x:v>4165.3</x:v>
      </x:c>
      <x:c r="E33" s="209" t="n">
        <x:v>4725.1</x:v>
      </x:c>
      <x:c r="F33" s="209" t="n">
        <x:v>5272.5</x:v>
      </x:c>
      <x:c r="G33" s="208" t="n">
        <x:f>$H$49</x:f>
        <x:v>5728.343272696824</x:v>
      </x:c>
      <x:c r="H33" s="207" t="n">
        <x:f>$M$49</x:f>
        <x:v>6124.847149915635</x:v>
      </x:c>
      <x:c r="I33" s="205" t="n">
        <x:f>I32*'Fin Assumptions'!I13</x:f>
        <x:v>6695.245729454502</x:v>
      </x:c>
      <x:c r="J33" s="205" t="n">
        <x:f>J32*'Fin Assumptions'!J13</x:f>
        <x:v>7281.019670247647</x:v>
      </x:c>
      <x:c r="K33" s="205" t="n">
        <x:f>K32*'Fin Assumptions'!K13</x:f>
        <x:v>7857.3372719656945</x:v>
      </x:c>
      <x:c r="L33" s="205" t="n">
        <x:f>L32*'Fin Assumptions'!L13</x:f>
        <x:v>8424.892447184648</x:v>
      </x:c>
      <x:c r="M33" s="205" t="n">
        <x:f>M32*'Fin Assumptions'!M13</x:f>
        <x:v>8969.370053270794</x:v>
      </x:c>
      <x:c r="N33" s="205" t="n">
        <x:f>N32*'Fin Assumptions'!N13</x:f>
        <x:v>9512.317691775583</x:v>
      </x:c>
      <x:c r="O33" s="205" t="n">
        <x:f>O32*'Fin Assumptions'!O13</x:f>
        <x:v>10048.782160230368</x:v>
      </x:c>
    </x:row>
    <x:row r="34" ht="19" customHeight="1">
      <x:c r="A34" s="117"/>
      <x:c r="B34" s="117"/>
      <x:c r="C34" s="210" t="str">
        <x:v>Profit after tax</x:v>
      </x:c>
      <x:c r="D34" s="223" t="n">
        <x:v>12012.2</x:v>
      </x:c>
      <x:c r="E34" s="223" t="n">
        <x:v>14144.4</x:v>
      </x:c>
      <x:c r="F34" s="223" t="n">
        <x:v>15520.2</x:v>
      </x:c>
      <x:c r="G34" s="212" t="n">
        <x:f>$H$50</x:f>
        <x:v>17043.590945407366</x:v>
      </x:c>
      <x:c r="H34" s="211" t="n">
        <x:f>$M$50</x:f>
        <x:v>18209.070807635555</x:v>
      </x:c>
      <x:c r="I34" s="211" t="n">
        <x:f>I32-I33</x:f>
        <x:v>19904.856493249124</x:v>
      </x:c>
      <x:c r="J34" s="211" t="n">
        <x:f>J32-J33</x:f>
        <x:v>21646.352877418813</x:v>
      </x:c>
      <x:c r="K34" s="211" t="n">
        <x:f>K32-K33</x:f>
        <x:v>23359.73571955475</x:v>
      </x:c>
      <x:c r="L34" s="211" t="n">
        <x:f>L32-L33</x:f>
        <x:v>25047.068010442083</x:v>
      </x:c>
      <x:c r="M34" s="211" t="n">
        <x:f>M32-M33</x:f>
        <x:v>26665.79106421349</x:v>
      </x:c>
      <x:c r="N34" s="211" t="n">
        <x:f>N32-N33</x:f>
        <x:v>28279.965549287517</x:v>
      </x:c>
      <x:c r="O34" s="211" t="n">
        <x:f>O32-O33</x:f>
        <x:v>29874.865675408764</x:v>
      </x:c>
    </x:row>
    <x:row r="35" ht="19" customHeight="1">
      <x:c r="A35" s="117"/>
      <x:c r="B35" s="117"/>
      <x:c r="C35" s="197" t="str">
        <x:v>Shares (million)</x:v>
      </x:c>
      <x:c r="D35" s="224" t="n">
        <x:v>21.249302</x:v>
      </x:c>
      <x:c r="E35" s="224" t="n">
        <x:v>21.249302</x:v>
      </x:c>
      <x:c r="F35" s="224" t="n">
        <x:v>21.249302</x:v>
      </x:c>
      <x:c r="G35" s="225" t="n">
        <x:f>'Fin Assumptions'!G41</x:f>
        <x:v>21.249302</x:v>
      </x:c>
      <x:c r="H35" s="226" t="n">
        <x:f>'Fin Assumptions'!H41</x:f>
        <x:v>21.249302</x:v>
      </x:c>
      <x:c r="I35" s="226" t="n">
        <x:f>'Fin Assumptions'!I41</x:f>
        <x:v>21.249302</x:v>
      </x:c>
      <x:c r="J35" s="226" t="n">
        <x:f>'Fin Assumptions'!J41</x:f>
        <x:v>21.249302</x:v>
      </x:c>
      <x:c r="K35" s="226" t="n">
        <x:f>'Fin Assumptions'!K41</x:f>
        <x:v>21.249302</x:v>
      </x:c>
      <x:c r="L35" s="226" t="n">
        <x:f>'Fin Assumptions'!L41</x:f>
        <x:v>21.249302</x:v>
      </x:c>
      <x:c r="M35" s="226" t="n">
        <x:f>'Fin Assumptions'!M41</x:f>
        <x:v>21.249302</x:v>
      </x:c>
      <x:c r="N35" s="226" t="n">
        <x:f>'Fin Assumptions'!N41</x:f>
        <x:v>21.249302</x:v>
      </x:c>
      <x:c r="O35" s="226" t="n">
        <x:f>'Fin Assumptions'!O41</x:f>
        <x:v>21.249302</x:v>
      </x:c>
    </x:row>
    <x:row r="36" ht="19" customHeight="1">
      <x:c r="A36" s="117"/>
      <x:c r="B36" s="117"/>
      <x:c r="C36" s="210" t="str">
        <x:v>EPS (INR)</x:v>
      </x:c>
      <x:c r="D36" s="227" t="n">
        <x:v>565.28</x:v>
      </x:c>
      <x:c r="E36" s="227" t="n">
        <x:v>665.62</x:v>
      </x:c>
      <x:c r="F36" s="227" t="n">
        <x:v>730.36</x:v>
      </x:c>
      <x:c r="G36" s="228" t="n">
        <x:f>G34/G35</x:f>
        <x:v>802.0776845002893</x:v>
      </x:c>
      <x:c r="H36" s="229" t="n">
        <x:f>H34/H35</x:f>
        <x:v>856.9255972565854</x:v>
      </x:c>
      <x:c r="I36" s="229" t="n">
        <x:f>I34/I35</x:f>
        <x:v>936.7298979161351</x:v>
      </x:c>
      <x:c r="J36" s="229" t="n">
        <x:f>J34/J35</x:f>
        <x:v>1018.6853609317997</x:v>
      </x:c>
      <x:c r="K36" s="229" t="n">
        <x:f>K34/K35</x:f>
        <x:v>1099.3177902763464</x:v>
      </x:c>
      <x:c r="L36" s="229" t="n">
        <x:f>L34/L35</x:f>
        <x:v>1178.7242710580367</x:v>
      </x:c>
      <x:c r="M36" s="229" t="n">
        <x:f>M34/M35</x:f>
        <x:v>1254.9019758020047</x:v>
      </x:c>
      <x:c r="N36" s="229" t="n">
        <x:f>N34/N35</x:f>
        <x:v>1330.8656232231776</x:v>
      </x:c>
      <x:c r="O36" s="229" t="n">
        <x:f>O34/O35</x:f>
        <x:v>1405.922212193547</x:v>
      </x:c>
    </x:row>
    <x:row r="37" ht="19" customHeight="1">
      <x:c r="A37" s="117"/>
      <x:c r="B37" s="117"/>
      <x:c r="C37" s="197"/>
      <x:c r="D37" s="217"/>
      <x:c r="E37" s="217"/>
      <x:c r="F37" s="217"/>
      <x:c r="G37" s="218"/>
      <x:c r="H37" s="217"/>
      <x:c r="I37" s="217"/>
      <x:c r="J37" s="217"/>
      <x:c r="K37" s="217"/>
      <x:c r="L37" s="217"/>
      <x:c r="M37" s="217"/>
      <x:c r="N37" s="217"/>
      <x:c r="O37" s="217"/>
    </x:row>
    <x:row r="38" ht="19" customHeight="1">
      <x:c r="A38" s="117"/>
      <x:c r="B38" s="117"/>
      <x:c r="C38" s="197"/>
      <x:c r="D38" s="217"/>
      <x:c r="E38" s="217"/>
      <x:c r="F38" s="217"/>
      <x:c r="G38" s="218"/>
      <x:c r="H38" s="217"/>
      <x:c r="I38" s="217"/>
      <x:c r="J38" s="217"/>
      <x:c r="K38" s="217"/>
      <x:c r="L38" s="217"/>
      <x:c r="M38" s="217"/>
      <x:c r="N38" s="217"/>
      <x:c r="O38" s="217"/>
    </x:row>
    <x:row r="39" ht="19" customHeight="1">
      <x:c r="A39" s="117"/>
      <x:c r="B39" s="117"/>
      <x:c r="C39" s="202" t="str">
        <x:v>Quarterly P&amp;L build</x:v>
      </x:c>
      <x:c r="D39" s="203"/>
      <x:c r="E39" s="203"/>
      <x:c r="F39" s="203"/>
      <x:c r="G39" s="204"/>
      <x:c r="H39" s="203"/>
      <x:c r="I39" s="203"/>
      <x:c r="J39" s="203"/>
      <x:c r="K39" s="203"/>
      <x:c r="L39" s="203"/>
      <x:c r="M39" s="203"/>
      <x:c r="N39" s="217"/>
      <x:c r="O39" s="217"/>
    </x:row>
    <x:row r="40" ht="19" customHeight="1">
      <x:c r="A40" s="117"/>
      <x:c r="B40" s="117"/>
      <x:c r="C40" s="197"/>
      <x:c r="D40" s="217" t="str">
        <x:v>FY27Q1A</x:v>
      </x:c>
      <x:c r="E40" s="217" t="str">
        <x:v>FY27Q2E</x:v>
      </x:c>
      <x:c r="F40" s="217" t="str">
        <x:v>FY27Q3E</x:v>
      </x:c>
      <x:c r="G40" s="218" t="str">
        <x:v>FY27Q4E</x:v>
      </x:c>
      <x:c r="H40" s="217" t="str">
        <x:v>FY27E</x:v>
      </x:c>
      <x:c r="I40" s="217" t="str">
        <x:v>FY28Q1E</x:v>
      </x:c>
      <x:c r="J40" s="217" t="str">
        <x:v>FY28Q2E</x:v>
      </x:c>
      <x:c r="K40" s="217" t="str">
        <x:v>FY28Q3E</x:v>
      </x:c>
      <x:c r="L40" s="217" t="str">
        <x:v>FY28Q4E</x:v>
      </x:c>
      <x:c r="M40" s="217" t="str">
        <x:v>FY28E</x:v>
      </x:c>
      <x:c r="N40" s="217"/>
      <x:c r="O40" s="217"/>
    </x:row>
    <x:row r="41" ht="19" customHeight="1">
      <x:c r="A41" s="117"/>
      <x:c r="B41" s="117"/>
      <x:c r="C41" s="197" t="str">
        <x:v>Revenue from operations</x:v>
      </x:c>
      <x:c r="D41" s="207" t="n">
        <x:f>D17</x:f>
        <x:v>18136.8</x:v>
      </x:c>
      <x:c r="E41" s="207" t="n">
        <x:f>E17</x:f>
        <x:v>20660.266648738114</x:v>
      </x:c>
      <x:c r="F41" s="207" t="n">
        <x:f>F17</x:f>
        <x:v>19398.27431995574</x:v>
      </x:c>
      <x:c r="G41" s="208" t="n">
        <x:f>G17</x:f>
        <x:v>18240.722346306124</x:v>
      </x:c>
      <x:c r="H41" s="207" t="n">
        <x:f>SUM(D41:G41)</x:f>
        <x:v>76436.06331499998</x:v>
      </x:c>
      <x:c r="I41" s="207" t="n">
        <x:f>I17</x:f>
        <x:v>20201.443953862756</x:v>
      </x:c>
      <x:c r="J41" s="207" t="n">
        <x:f>J17</x:f>
        <x:v>22331.271212969936</x:v>
      </x:c>
      <x:c r="K41" s="207" t="n">
        <x:f>K17</x:f>
        <x:v>20967.208810394503</x:v>
      </x:c>
      <x:c r="L41" s="207" t="n">
        <x:f>L17</x:f>
        <x:v>19716.03390998454</x:v>
      </x:c>
      <x:c r="M41" s="207" t="n">
        <x:f>SUM(I41:L41)</x:f>
        <x:v>83215.95788721174</x:v>
      </x:c>
      <x:c r="N41" s="217"/>
      <x:c r="O41" s="217"/>
    </x:row>
    <x:row r="42" ht="19" customHeight="1">
      <x:c r="A42" s="117"/>
      <x:c r="B42" s="117"/>
      <x:c r="C42" s="197" t="str">
        <x:v>Cost of goods sold</x:v>
      </x:c>
      <x:c r="D42" s="209" t="n">
        <x:v>9315.9</x:v>
      </x:c>
      <x:c r="E42" s="205" t="n">
        <x:f>E41*'Fin Assumptions'!$G$8</x:f>
        <x:v>11053.242657074892</x:v>
      </x:c>
      <x:c r="F42" s="205" t="n">
        <x:f>F41*'Fin Assumptions'!$G$8</x:f>
        <x:v>10378.076761176322</x:v>
      </x:c>
      <x:c r="G42" s="206" t="n">
        <x:f>G41*'Fin Assumptions'!$G$8</x:f>
        <x:v>9758.786455273777</x:v>
      </x:c>
      <x:c r="H42" s="207" t="n">
        <x:f>SUM(D42:G42)</x:f>
        <x:v>40506.00587352499</x:v>
      </x:c>
      <x:c r="I42" s="205" t="n">
        <x:f>I41*'Fin Assumptions'!$H$8</x:f>
        <x:v>10807.772515316576</x:v>
      </x:c>
      <x:c r="J42" s="205" t="n">
        <x:f>J41*'Fin Assumptions'!$H$8</x:f>
        <x:v>11947.230098938917</x:v>
      </x:c>
      <x:c r="K42" s="205" t="n">
        <x:f>K41*'Fin Assumptions'!$H$8</x:f>
        <x:v>11217.45671356106</x:v>
      </x:c>
      <x:c r="L42" s="205" t="n">
        <x:f>L41*'Fin Assumptions'!$H$8</x:f>
        <x:v>10548.07814184173</x:v>
      </x:c>
      <x:c r="M42" s="207" t="n">
        <x:f>SUM(I42:L42)</x:f>
        <x:v>44520.53746965829</x:v>
      </x:c>
      <x:c r="N42" s="217"/>
      <x:c r="O42" s="217"/>
    </x:row>
    <x:row r="43" ht="19" customHeight="1">
      <x:c r="A43" s="117"/>
      <x:c r="B43" s="117"/>
      <x:c r="C43" s="197" t="str">
        <x:v>Employee benefits expense</x:v>
      </x:c>
      <x:c r="D43" s="209" t="n">
        <x:v>1752.4</x:v>
      </x:c>
      <x:c r="E43" s="205" t="n">
        <x:f>E41*'Fin Assumptions'!$G$9</x:f>
        <x:v>2004.045864927597</x:v>
      </x:c>
      <x:c r="F43" s="205" t="n">
        <x:f>F41*'Fin Assumptions'!$G$9</x:f>
        <x:v>1881.632609035707</x:v>
      </x:c>
      <x:c r="G43" s="206" t="n">
        <x:f>G41*'Fin Assumptions'!$G$9</x:f>
        <x:v>1769.3500675916941</x:v>
      </x:c>
      <x:c r="H43" s="207" t="n">
        <x:f>SUM(D43:G43)</x:f>
        <x:v>7407.4285415549975</x:v>
      </x:c>
      <x:c r="I43" s="205" t="n">
        <x:f>I41*'Fin Assumptions'!$H$9</x:f>
        <x:v>1959.5400635246874</x:v>
      </x:c>
      <x:c r="J43" s="205" t="n">
        <x:f>J41*'Fin Assumptions'!$H$9</x:f>
        <x:v>2166.133307658084</x:v>
      </x:c>
      <x:c r="K43" s="205" t="n">
        <x:f>K41*'Fin Assumptions'!$H$9</x:f>
        <x:v>2033.8192546082669</x:v>
      </x:c>
      <x:c r="L43" s="205" t="n">
        <x:f>L41*'Fin Assumptions'!$H$9</x:f>
        <x:v>1912.4552892685006</x:v>
      </x:c>
      <x:c r="M43" s="207" t="n">
        <x:f>SUM(I43:L43)</x:f>
        <x:v>8071.947915059538</x:v>
      </x:c>
      <x:c r="N43" s="217"/>
      <x:c r="O43" s="217"/>
    </x:row>
    <x:row r="44" ht="19" customHeight="1">
      <x:c r="A44" s="117"/>
      <x:c r="B44" s="117"/>
      <x:c r="C44" s="197" t="str">
        <x:v>Other operating expenses</x:v>
      </x:c>
      <x:c r="D44" s="209" t="n">
        <x:v>1843.5</x:v>
      </x:c>
      <x:c r="E44" s="205" t="n">
        <x:f>E41*'Fin Assumptions'!$G$10</x:f>
        <x:v>2066.0266648738116</x:v>
      </x:c>
      <x:c r="F44" s="205" t="n">
        <x:f>F41*'Fin Assumptions'!$G$10</x:f>
        <x:v>1939.8274319955742</x:v>
      </x:c>
      <x:c r="G44" s="206" t="n">
        <x:f>G41*'Fin Assumptions'!$G$10</x:f>
        <x:v>1824.0722346306125</x:v>
      </x:c>
      <x:c r="H44" s="207" t="n">
        <x:f>SUM(D44:G44)</x:f>
        <x:v>7673.426331499999</x:v>
      </x:c>
      <x:c r="I44" s="205" t="n">
        <x:f>I41*'Fin Assumptions'!$H$10</x:f>
        <x:v>2020.1443953862756</x:v>
      </x:c>
      <x:c r="J44" s="205" t="n">
        <x:f>J41*'Fin Assumptions'!$H$10</x:f>
        <x:v>2233.1271212969937</x:v>
      </x:c>
      <x:c r="K44" s="205" t="n">
        <x:f>K41*'Fin Assumptions'!$H$10</x:f>
        <x:v>2096.7208810394504</x:v>
      </x:c>
      <x:c r="L44" s="205" t="n">
        <x:f>L41*'Fin Assumptions'!$H$10</x:f>
        <x:v>1971.6033909984542</x:v>
      </x:c>
      <x:c r="M44" s="207" t="n">
        <x:f>SUM(I44:L44)</x:f>
        <x:v>8321.595788721173</x:v>
      </x:c>
      <x:c r="N44" s="217"/>
      <x:c r="O44" s="217"/>
    </x:row>
    <x:row r="45" ht="19" customHeight="1">
      <x:c r="A45" s="117"/>
      <x:c r="B45" s="117"/>
      <x:c r="C45" s="197" t="str">
        <x:v>Depreciation and amortisation</x:v>
      </x:c>
      <x:c r="D45" s="209" t="n">
        <x:v>197.5</x:v>
      </x:c>
      <x:c r="E45" s="207" t="n">
        <x:f>($G$69-$D$45)/3</x:f>
        <x:v>204.11008144016668</x:v>
      </x:c>
      <x:c r="F45" s="207" t="n">
        <x:f>($G$69-$D$45)/3</x:f>
        <x:v>204.11008144016668</x:v>
      </x:c>
      <x:c r="G45" s="208" t="n">
        <x:f>($G$69-$D$45)/3</x:f>
        <x:v>204.11008144016668</x:v>
      </x:c>
      <x:c r="H45" s="207" t="n">
        <x:f>SUM(D45:G45)</x:f>
        <x:v>809.8302443205001</x:v>
      </x:c>
      <x:c r="I45" s="207" t="n">
        <x:f>$H$69/4</x:f>
        <x:v>215.7907407962058</x:v>
      </x:c>
      <x:c r="J45" s="207" t="n">
        <x:f>$H$69/4</x:f>
        <x:v>215.7907407962058</x:v>
      </x:c>
      <x:c r="K45" s="207" t="n">
        <x:f>$H$69/4</x:f>
        <x:v>215.7907407962058</x:v>
      </x:c>
      <x:c r="L45" s="207" t="n">
        <x:f>$H$69/4</x:f>
        <x:v>215.7907407962058</x:v>
      </x:c>
      <x:c r="M45" s="207" t="n">
        <x:f>SUM(I45:L45)</x:f>
        <x:v>863.1629631848232</x:v>
      </x:c>
      <x:c r="N45" s="217"/>
      <x:c r="O45" s="217"/>
    </x:row>
    <x:row r="46" ht="19" customHeight="1">
      <x:c r="A46" s="117"/>
      <x:c r="B46" s="117"/>
      <x:c r="C46" s="197" t="str">
        <x:v>Other income</x:v>
      </x:c>
      <x:c r="D46" s="209" t="n">
        <x:v>753.7</x:v>
      </x:c>
      <x:c r="E46" s="207" t="n">
        <x:f>($G$30-$D$46)/3</x:f>
        <x:v>732.7474177533331</x:v>
      </x:c>
      <x:c r="F46" s="207" t="n">
        <x:f>($G$30-$D$46)/3</x:f>
        <x:v>732.7474177533331</x:v>
      </x:c>
      <x:c r="G46" s="208" t="n">
        <x:f>($G$30-$D$46)/3</x:f>
        <x:v>732.7474177533331</x:v>
      </x:c>
      <x:c r="H46" s="207" t="n">
        <x:f>SUM(D46:G46)</x:f>
        <x:v>2951.9422532599992</x:v>
      </x:c>
      <x:c r="I46" s="207" t="n">
        <x:f>$H$30/4</x:f>
        <x:v>782.4434480020235</x:v>
      </x:c>
      <x:c r="J46" s="207" t="n">
        <x:f>$H$30/4</x:f>
        <x:v>782.4434480020235</x:v>
      </x:c>
      <x:c r="K46" s="207" t="n">
        <x:f>$H$30/4</x:f>
        <x:v>782.4434480020235</x:v>
      </x:c>
      <x:c r="L46" s="207" t="n">
        <x:f>$H$30/4</x:f>
        <x:v>782.4434480020235</x:v>
      </x:c>
      <x:c r="M46" s="207" t="n">
        <x:f>SUM(I46:L46)</x:f>
        <x:v>3129.773792008094</x:v>
      </x:c>
      <x:c r="N46" s="217"/>
      <x:c r="O46" s="217"/>
    </x:row>
    <x:row r="47" ht="19" customHeight="1">
      <x:c r="A47" s="117"/>
      <x:c r="B47" s="117"/>
      <x:c r="C47" s="197" t="str">
        <x:v>Finance costs</x:v>
      </x:c>
      <x:c r="D47" s="209" t="n">
        <x:v>59.1</x:v>
      </x:c>
      <x:c r="E47" s="207" t="n">
        <x:f>($G$79-$D$47)/3</x:f>
        <x:v>53.426786418433345</x:v>
      </x:c>
      <x:c r="F47" s="207" t="n">
        <x:f>($G$79-$D$47)/3</x:f>
        <x:v>53.426786418433345</x:v>
      </x:c>
      <x:c r="G47" s="208" t="n">
        <x:f>($G$79-$D$47)/3</x:f>
        <x:v>53.426786418433345</x:v>
      </x:c>
      <x:c r="H47" s="207" t="n">
        <x:f>SUM(D47:G47)</x:f>
        <x:v>219.38035925530005</x:v>
      </x:c>
      <x:c r="I47" s="207" t="n">
        <x:f>$H$79/4</x:f>
        <x:v>58.64239626120532</x:v>
      </x:c>
      <x:c r="J47" s="207" t="n">
        <x:f>$H$79/4</x:f>
        <x:v>58.64239626120532</x:v>
      </x:c>
      <x:c r="K47" s="207" t="n">
        <x:f>$H$79/4</x:f>
        <x:v>58.64239626120532</x:v>
      </x:c>
      <x:c r="L47" s="207" t="n">
        <x:f>$H$79/4</x:f>
        <x:v>58.64239626120532</x:v>
      </x:c>
      <x:c r="M47" s="207" t="n">
        <x:f>SUM(I47:L47)</x:f>
        <x:v>234.56958504482128</x:v>
      </x:c>
      <x:c r="N47" s="217"/>
      <x:c r="O47" s="217"/>
    </x:row>
    <x:row r="48" ht="19" customHeight="1">
      <x:c r="A48" s="117"/>
      <x:c r="B48" s="117"/>
      <x:c r="C48" s="210" t="str">
        <x:v>Profit before tax</x:v>
      </x:c>
      <x:c r="D48" s="211" t="n">
        <x:f>D41+D46-SUM(D42:D45)-D47</x:f>
        <x:v>5722.1</x:v>
      </x:c>
      <x:c r="E48" s="211" t="n">
        <x:f>E41+E46-SUM(E42:E45)-E47</x:f>
        <x:v>6012.162011756545</x:v>
      </x:c>
      <x:c r="F48" s="211" t="n">
        <x:f>F41+F46-SUM(F42:F45)-F47</x:f>
        <x:v>5673.94806764287</x:v>
      </x:c>
      <x:c r="G48" s="212" t="n">
        <x:f>G41+G46-SUM(G42:G45)-G47</x:f>
        <x:v>5363.7241387047725</x:v>
      </x:c>
      <x:c r="H48" s="211" t="n">
        <x:f>SUM(D48:G48)</x:f>
        <x:v>22771.93421810419</x:v>
      </x:c>
      <x:c r="I48" s="211" t="n">
        <x:f>I41+I46-SUM(I42:I45)-I47</x:f>
        <x:v>5921.997290579829</x:v>
      </x:c>
      <x:c r="J48" s="211" t="n">
        <x:f>J41+J46-SUM(J42:J45)-J47</x:f>
        <x:v>6492.790996020555</x:v>
      </x:c>
      <x:c r="K48" s="211" t="n">
        <x:f>K41+K46-SUM(K42:K45)-K47</x:f>
        <x:v>6127.22227213034</x:v>
      </x:c>
      <x:c r="L48" s="211" t="n">
        <x:f>L41+L46-SUM(L42:L45)-L47</x:f>
        <x:v>5791.907398820468</x:v>
      </x:c>
      <x:c r="M48" s="211" t="n">
        <x:f>SUM(I48:L48)</x:f>
        <x:v>24333.91795755119</x:v>
      </x:c>
      <x:c r="N48" s="217"/>
      <x:c r="O48" s="217"/>
    </x:row>
    <x:row r="49" ht="19" customHeight="1">
      <x:c r="A49" s="117"/>
      <x:c r="B49" s="117"/>
      <x:c r="C49" s="197" t="str">
        <x:v>Tax expense</x:v>
      </x:c>
      <x:c r="D49" s="209" t="n">
        <x:v>1436.9</x:v>
      </x:c>
      <x:c r="E49" s="205" t="n">
        <x:f>E48*'Fin Assumptions'!$G$13</x:f>
        <x:v>1513.2611783591224</x:v>
      </x:c>
      <x:c r="F49" s="205" t="n">
        <x:f>F48*'Fin Assumptions'!$G$13</x:f>
        <x:v>1428.1327286257103</x:v>
      </x:c>
      <x:c r="G49" s="206" t="n">
        <x:f>G48*'Fin Assumptions'!$G$13</x:f>
        <x:v>1350.0493657119912</x:v>
      </x:c>
      <x:c r="H49" s="207" t="n">
        <x:f>SUM(D49:G49)</x:f>
        <x:v>5728.343272696824</x:v>
      </x:c>
      <x:c r="I49" s="205" t="n">
        <x:f>I48*'Fin Assumptions'!$H$13</x:f>
        <x:v>1490.5667180389428</x:v>
      </x:c>
      <x:c r="J49" s="205" t="n">
        <x:f>J48*'Fin Assumptions'!$H$13</x:f>
        <x:v>1634.2354936983736</x:v>
      </x:c>
      <x:c r="K49" s="205" t="n">
        <x:f>K48*'Fin Assumptions'!$H$13</x:f>
        <x:v>1542.2218458952063</x:v>
      </x:c>
      <x:c r="L49" s="205" t="n">
        <x:f>L48*'Fin Assumptions'!$H$13</x:f>
        <x:v>1457.8230922831117</x:v>
      </x:c>
      <x:c r="M49" s="207" t="n">
        <x:f>SUM(I49:L49)</x:f>
        <x:v>6124.847149915635</x:v>
      </x:c>
      <x:c r="N49" s="217"/>
      <x:c r="O49" s="217"/>
    </x:row>
    <x:row r="50" ht="19" customHeight="1">
      <x:c r="A50" s="117"/>
      <x:c r="B50" s="117"/>
      <x:c r="C50" s="210" t="str">
        <x:v>Profit after tax</x:v>
      </x:c>
      <x:c r="D50" s="211" t="n">
        <x:f>D48-D49</x:f>
        <x:v>4285.200000000001</x:v>
      </x:c>
      <x:c r="E50" s="211" t="n">
        <x:f>E48-E49</x:f>
        <x:v>4498.900833397423</x:v>
      </x:c>
      <x:c r="F50" s="211" t="n">
        <x:f>F48-F49</x:f>
        <x:v>4245.81533901716</x:v>
      </x:c>
      <x:c r="G50" s="212" t="n">
        <x:f>G48-G49</x:f>
        <x:v>4013.674772992781</x:v>
      </x:c>
      <x:c r="H50" s="211" t="n">
        <x:f>SUM(D50:G50)</x:f>
        <x:v>17043.590945407366</x:v>
      </x:c>
      <x:c r="I50" s="211" t="n">
        <x:f>I48-I49</x:f>
        <x:v>4431.430572540886</x:v>
      </x:c>
      <x:c r="J50" s="211" t="n">
        <x:f>J48-J49</x:f>
        <x:v>4858.555502322181</x:v>
      </x:c>
      <x:c r="K50" s="211" t="n">
        <x:f>K48-K49</x:f>
        <x:v>4585.000426235133</x:v>
      </x:c>
      <x:c r="L50" s="211" t="n">
        <x:f>L48-L49</x:f>
        <x:v>4334.0843065373565</x:v>
      </x:c>
      <x:c r="M50" s="211" t="n">
        <x:f>SUM(I50:L50)</x:f>
        <x:v>18209.070807635555</x:v>
      </x:c>
      <x:c r="N50" s="217"/>
      <x:c r="O50" s="217"/>
    </x:row>
    <x:row r="51" ht="19" customHeight="1">
      <x:c r="A51" s="117"/>
      <x:c r="B51" s="117"/>
      <x:c r="C51" s="197" t="str">
        <x:v>Shares (million)</x:v>
      </x:c>
      <x:c r="D51" s="224" t="n">
        <x:v>21.249302</x:v>
      </x:c>
      <x:c r="E51" s="226" t="n">
        <x:f>'Fin Assumptions'!$G$41</x:f>
        <x:v>21.249302</x:v>
      </x:c>
      <x:c r="F51" s="226" t="n">
        <x:f>'Fin Assumptions'!$G$41</x:f>
        <x:v>21.249302</x:v>
      </x:c>
      <x:c r="G51" s="225" t="n">
        <x:f>'Fin Assumptions'!$G$41</x:f>
        <x:v>21.249302</x:v>
      </x:c>
      <x:c r="H51" s="230" t="n">
        <x:f>G51</x:f>
        <x:v>21.249302</x:v>
      </x:c>
      <x:c r="I51" s="226" t="n">
        <x:f>'Fin Assumptions'!$H$41</x:f>
        <x:v>21.249302</x:v>
      </x:c>
      <x:c r="J51" s="226" t="n">
        <x:f>'Fin Assumptions'!$H$41</x:f>
        <x:v>21.249302</x:v>
      </x:c>
      <x:c r="K51" s="226" t="n">
        <x:f>'Fin Assumptions'!$H$41</x:f>
        <x:v>21.249302</x:v>
      </x:c>
      <x:c r="L51" s="226" t="n">
        <x:f>'Fin Assumptions'!$H$41</x:f>
        <x:v>21.249302</x:v>
      </x:c>
      <x:c r="M51" s="230" t="n">
        <x:f>L51</x:f>
        <x:v>21.249302</x:v>
      </x:c>
      <x:c r="N51" s="217"/>
      <x:c r="O51" s="217"/>
    </x:row>
    <x:row r="52" ht="19" customHeight="1">
      <x:c r="A52" s="117"/>
      <x:c r="B52" s="117"/>
      <x:c r="C52" s="210" t="str">
        <x:v>EPS (INR)</x:v>
      </x:c>
      <x:c r="D52" s="227" t="n">
        <x:v>201.66</x:v>
      </x:c>
      <x:c r="E52" s="229" t="n">
        <x:f>E50/E51</x:f>
        <x:v>211.71993477232445</x:v>
      </x:c>
      <x:c r="F52" s="229" t="n">
        <x:f>F50/F51</x:f>
        <x:v>199.80963793620893</x:v>
      </x:c>
      <x:c r="G52" s="228" t="n">
        <x:f>G50/G51</x:f>
        <x:v>188.88501716398878</x:v>
      </x:c>
      <x:c r="H52" s="229" t="n">
        <x:f>H50/H51</x:f>
        <x:v>802.0776845002893</x:v>
      </x:c>
      <x:c r="I52" s="229" t="n">
        <x:f>I50/I51</x:f>
        <x:v>208.5447593780203</x:v>
      </x:c>
      <x:c r="J52" s="229" t="n">
        <x:f>J50/J51</x:f>
        <x:v>228.64541632107168</x:v>
      </x:c>
      <x:c r="K52" s="229" t="n">
        <x:f>K50/K51</x:f>
        <x:v>215.7718134099244</x:v>
      </x:c>
      <x:c r="L52" s="229" t="n">
        <x:f>L50/L51</x:f>
        <x:v>203.96360814756912</x:v>
      </x:c>
      <x:c r="M52" s="229" t="n">
        <x:f>M50/M51</x:f>
        <x:v>856.9255972565854</x:v>
      </x:c>
      <x:c r="N52" s="217"/>
      <x:c r="O52" s="217"/>
    </x:row>
    <x:row r="53" ht="19" customHeight="1">
      <x:c r="A53" s="117"/>
      <x:c r="B53" s="117"/>
      <x:c r="C53" s="197"/>
      <x:c r="D53" s="217"/>
      <x:c r="E53" s="217"/>
      <x:c r="F53" s="217"/>
      <x:c r="G53" s="218"/>
      <x:c r="H53" s="217"/>
      <x:c r="I53" s="217"/>
      <x:c r="J53" s="217"/>
      <x:c r="K53" s="217"/>
      <x:c r="L53" s="217"/>
      <x:c r="M53" s="217"/>
      <x:c r="N53" s="217"/>
      <x:c r="O53" s="217"/>
    </x:row>
    <x:row r="54" ht="19" customHeight="1">
      <x:c r="A54" s="117"/>
      <x:c r="B54" s="117"/>
      <x:c r="C54" s="197"/>
      <x:c r="D54" s="217"/>
      <x:c r="E54" s="217"/>
      <x:c r="F54" s="217"/>
      <x:c r="G54" s="218"/>
      <x:c r="H54" s="217"/>
      <x:c r="I54" s="217"/>
      <x:c r="J54" s="217"/>
      <x:c r="K54" s="217"/>
      <x:c r="L54" s="217"/>
      <x:c r="M54" s="217"/>
      <x:c r="N54" s="217"/>
      <x:c r="O54" s="217"/>
    </x:row>
    <x:row r="55" ht="19" customHeight="1">
      <x:c r="A55" s="117"/>
      <x:c r="B55" s="117"/>
      <x:c r="C55" s="202" t="str">
        <x:v>Fixed assets and leases</x:v>
      </x:c>
      <x:c r="D55" s="203"/>
      <x:c r="E55" s="203"/>
      <x:c r="F55" s="203"/>
      <x:c r="G55" s="204"/>
      <x:c r="H55" s="203"/>
      <x:c r="I55" s="203"/>
      <x:c r="J55" s="203"/>
      <x:c r="K55" s="203"/>
      <x:c r="L55" s="203"/>
      <x:c r="M55" s="203"/>
      <x:c r="N55" s="203"/>
      <x:c r="O55" s="203"/>
    </x:row>
    <x:row r="56" ht="19" customHeight="1">
      <x:c r="A56" s="117"/>
      <x:c r="B56" s="117"/>
      <x:c r="C56" s="197" t="str">
        <x:v>Financial year</x:v>
      </x:c>
      <x:c r="D56" s="217" t="str">
        <x:v>FY24A</x:v>
      </x:c>
      <x:c r="E56" s="217" t="str">
        <x:v>FY25A</x:v>
      </x:c>
      <x:c r="F56" s="217" t="str">
        <x:v>FY26A</x:v>
      </x:c>
      <x:c r="G56" s="218" t="str">
        <x:v>FY27E</x:v>
      </x:c>
      <x:c r="H56" s="217" t="str">
        <x:v>FY28E</x:v>
      </x:c>
      <x:c r="I56" s="217" t="str">
        <x:v>FY29E</x:v>
      </x:c>
      <x:c r="J56" s="217" t="str">
        <x:v>FY30E</x:v>
      </x:c>
      <x:c r="K56" s="217" t="str">
        <x:v>FY31E</x:v>
      </x:c>
      <x:c r="L56" s="217" t="str">
        <x:v>FY32E</x:v>
      </x:c>
      <x:c r="M56" s="217" t="str">
        <x:v>FY33E</x:v>
      </x:c>
      <x:c r="N56" s="217" t="str">
        <x:v>FY34E</x:v>
      </x:c>
      <x:c r="O56" s="217" t="str">
        <x:v>FY35E</x:v>
      </x:c>
    </x:row>
    <x:row r="57" ht="19" customHeight="1">
      <x:c r="A57" s="117"/>
      <x:c r="B57" s="117"/>
      <x:c r="C57" s="197" t="str">
        <x:v>Opening owned assets</x:v>
      </x:c>
      <x:c r="D57" s="209" t="n">
        <x:v>1414.1</x:v>
      </x:c>
      <x:c r="E57" s="209" t="n">
        <x:v>1639.6</x:v>
      </x:c>
      <x:c r="F57" s="209" t="n">
        <x:v>1581.5</x:v>
      </x:c>
      <x:c r="G57" s="208" t="n">
        <x:f>F61</x:f>
        <x:v>1715</x:v>
      </x:c>
      <x:c r="H57" s="207" t="n">
        <x:f>G61</x:f>
        <x:v>1853.5471988844997</x:v>
      </x:c>
      <x:c r="I57" s="207" t="n">
        <x:f>H61</x:f>
        <x:v>2007.0982937970334</x:v>
      </x:c>
      <x:c r="J57" s="207" t="n">
        <x:f>I61</x:f>
        <x:v>2176.5093200762703</x:v>
      </x:c>
      <x:c r="K57" s="207" t="n">
        <x:f>J61</x:f>
        <x:v>2359.1527518179837</x:v>
      </x:c>
      <x:c r="L57" s="207" t="n">
        <x:f>K61</x:f>
        <x:v>2550.99884904247</x:v>
      </x:c>
      <x:c r="M57" s="207" t="n">
        <x:f>L61</x:f>
        <x:v>2748.8896222910284</x:v>
      </x:c>
      <x:c r="N57" s="207" t="n">
        <x:f>M61</x:f>
        <x:v>2948.9313282215476</x:v>
      </x:c>
      <x:c r="O57" s="207" t="n">
        <x:f>N61</x:f>
        <x:v>3150.000867610952</x:v>
      </x:c>
    </x:row>
    <x:row r="58" ht="19" customHeight="1">
      <x:c r="A58" s="117"/>
      <x:c r="B58" s="117"/>
      <x:c r="C58" s="197" t="str">
        <x:v>Cash capex</x:v>
      </x:c>
      <x:c r="D58" s="209" t="n">
        <x:v>483.3</x:v>
      </x:c>
      <x:c r="E58" s="209" t="n">
        <x:v>526</x:v>
      </x:c>
      <x:c r="F58" s="209" t="n">
        <x:v>409.2</x:v>
      </x:c>
      <x:c r="G58" s="206" t="n">
        <x:f>G23*'Fin Assumptions'!G25</x:f>
        <x:v>535.0524432049999</x:v>
      </x:c>
      <x:c r="H58" s="205" t="n">
        <x:f>H23*'Fin Assumptions'!H25</x:f>
        <x:v>582.5117052104822</x:v>
      </x:c>
      <x:c r="I58" s="205" t="n">
        <x:f>I23*'Fin Assumptions'!I25</x:f>
        <x:v>634.256316709604</x:v>
      </x:c>
      <x:c r="J58" s="205" t="n">
        <x:f>J23*'Fin Assumptions'!J25</x:f>
        <x:v>686.6058841744085</x:v>
      </x:c>
      <x:c r="K58" s="205" t="n">
        <x:f>K23*'Fin Assumptions'!K25</x:f>
        <x:v>737.4184973200923</x:v>
      </x:c>
      <x:c r="L58" s="205" t="n">
        <x:f>L23*'Fin Assumptions'!L25</x:f>
        <x:v>786.7672700633916</x:v>
      </x:c>
      <x:c r="M58" s="205" t="n">
        <x:f>M23*'Fin Assumptions'!M25</x:f>
        <x:v>833.1329226541391</x:v>
      </x:c>
      <x:c r="N58" s="205" t="n">
        <x:f>N23*'Fin Assumptions'!N25</x:f>
        <x:v>878.728672259682</x:v>
      </x:c>
      <x:c r="O58" s="205" t="n">
        <x:f>O23*'Fin Assumptions'!O25</x:f>
        <x:v>922.9731870148743</x:v>
      </x:c>
    </x:row>
    <x:row r="59" ht="19" customHeight="1">
      <x:c r="A59" s="117"/>
      <x:c r="B59" s="117"/>
      <x:c r="C59" s="197" t="str">
        <x:v>Owned-asset depreciation</x:v>
      </x:c>
      <x:c r="D59" s="209" t="n">
        <x:v>275.5</x:v>
      </x:c>
      <x:c r="E59" s="209" t="n">
        <x:v>295.1</x:v>
      </x:c>
      <x:c r="F59" s="209" t="n">
        <x:v>315.4</x:v>
      </x:c>
      <x:c r="G59" s="206" t="n">
        <x:f>MIN(G57+G58,(G57+G58/2)*'Fin Assumptions'!G26)</x:f>
        <x:v>396.50524432049997</x:v>
      </x:c>
      <x:c r="H59" s="205" t="n">
        <x:f>MIN(H57+H58,(H57+H58/2)*'Fin Assumptions'!H26)</x:f>
        <x:v>428.9606102979482</x:v>
      </x:c>
      <x:c r="I59" s="205" t="n">
        <x:f>MIN(I57+I58,(I57+I58/2)*'Fin Assumptions'!I26)</x:f>
        <x:v>464.84529043036713</x:v>
      </x:c>
      <x:c r="J59" s="205" t="n">
        <x:f>MIN(J57+J58,(J57+J58/2)*'Fin Assumptions'!J26)</x:f>
        <x:v>503.962452432695</x:v>
      </x:c>
      <x:c r="K59" s="205" t="n">
        <x:f>MIN(K57+K58,(K57+K58/2)*'Fin Assumptions'!K26)</x:f>
        <x:v>545.572400095606</x:v>
      </x:c>
      <x:c r="L59" s="205" t="n">
        <x:f>MIN(L57+L58,(L57+L58/2)*'Fin Assumptions'!L26)</x:f>
        <x:v>588.8764968148331</x:v>
      </x:c>
      <x:c r="M59" s="205" t="n">
        <x:f>MIN(M57+M58,(M57+M58/2)*'Fin Assumptions'!M26)</x:f>
        <x:v>633.0912167236197</x:v>
      </x:c>
      <x:c r="N59" s="205" t="n">
        <x:f>MIN(N57+N58,(N57+N58/2)*'Fin Assumptions'!N26)</x:f>
        <x:v>677.6591328702777</x:v>
      </x:c>
      <x:c r="O59" s="205" t="n">
        <x:f>MIN(O57+O58,(O57+O58/2)*'Fin Assumptions'!O26)</x:f>
        <x:v>722.2974922236779</x:v>
      </x:c>
    </x:row>
    <x:row r="60" ht="19" customHeight="1">
      <x:c r="A60" s="117"/>
      <x:c r="B60" s="117"/>
      <x:c r="C60" s="197" t="str">
        <x:v>Disposals / other adjustments</x:v>
      </x:c>
      <x:c r="D60" s="209" t="n">
        <x:v>17.7</x:v>
      </x:c>
      <x:c r="E60" s="209" t="n">
        <x:v>-289</x:v>
      </x:c>
      <x:c r="F60" s="209" t="n">
        <x:v>39.7</x:v>
      </x:c>
      <x:c r="G60" s="222" t="n">
        <x:v>0</x:v>
      </x:c>
      <x:c r="H60" s="209" t="n">
        <x:v>0</x:v>
      </x:c>
      <x:c r="I60" s="209" t="n">
        <x:v>0</x:v>
      </x:c>
      <x:c r="J60" s="209" t="n">
        <x:v>0</x:v>
      </x:c>
      <x:c r="K60" s="209" t="n">
        <x:v>0</x:v>
      </x:c>
      <x:c r="L60" s="209" t="n">
        <x:v>0</x:v>
      </x:c>
      <x:c r="M60" s="209" t="n">
        <x:v>0</x:v>
      </x:c>
      <x:c r="N60" s="209" t="n">
        <x:v>0</x:v>
      </x:c>
      <x:c r="O60" s="209" t="n">
        <x:v>0</x:v>
      </x:c>
    </x:row>
    <x:row r="61" ht="19" customHeight="1">
      <x:c r="A61" s="117"/>
      <x:c r="B61" s="117"/>
      <x:c r="C61" s="210" t="str">
        <x:v>Closing owned assets</x:v>
      </x:c>
      <x:c r="D61" s="223" t="n">
        <x:v>1639.6</x:v>
      </x:c>
      <x:c r="E61" s="223" t="n">
        <x:v>1581.5</x:v>
      </x:c>
      <x:c r="F61" s="223" t="n">
        <x:v>1715</x:v>
      </x:c>
      <x:c r="G61" s="212" t="n">
        <x:f>SUM(G57:G58)-G59+G60</x:f>
        <x:v>1853.5471988844997</x:v>
      </x:c>
      <x:c r="H61" s="211" t="n">
        <x:f>SUM(H57:H58)-H59+H60</x:f>
        <x:v>2007.0982937970334</x:v>
      </x:c>
      <x:c r="I61" s="211" t="n">
        <x:f>SUM(I57:I58)-I59+I60</x:f>
        <x:v>2176.5093200762703</x:v>
      </x:c>
      <x:c r="J61" s="211" t="n">
        <x:f>SUM(J57:J58)-J59+J60</x:f>
        <x:v>2359.1527518179837</x:v>
      </x:c>
      <x:c r="K61" s="211" t="n">
        <x:f>SUM(K57:K58)-K59+K60</x:f>
        <x:v>2550.99884904247</x:v>
      </x:c>
      <x:c r="L61" s="211" t="n">
        <x:f>SUM(L57:L58)-L59+L60</x:f>
        <x:v>2748.8896222910284</x:v>
      </x:c>
      <x:c r="M61" s="211" t="n">
        <x:f>SUM(M57:M58)-M59+M60</x:f>
        <x:v>2948.9313282215476</x:v>
      </x:c>
      <x:c r="N61" s="211" t="n">
        <x:f>SUM(N57:N58)-N59+N60</x:f>
        <x:v>3150.000867610952</x:v>
      </x:c>
      <x:c r="O61" s="211" t="n">
        <x:f>SUM(O57:O58)-O59+O60</x:f>
        <x:v>3350.676562402148</x:v>
      </x:c>
    </x:row>
    <x:row r="62" ht="19" customHeight="1">
      <x:c r="A62" s="117"/>
      <x:c r="B62" s="117"/>
      <x:c r="C62" s="197"/>
      <x:c r="D62" s="217"/>
      <x:c r="E62" s="217"/>
      <x:c r="F62" s="217"/>
      <x:c r="G62" s="218"/>
      <x:c r="H62" s="217"/>
      <x:c r="I62" s="217"/>
      <x:c r="J62" s="217"/>
      <x:c r="K62" s="217"/>
      <x:c r="L62" s="217"/>
      <x:c r="M62" s="217"/>
      <x:c r="N62" s="217"/>
      <x:c r="O62" s="217"/>
    </x:row>
    <x:row r="63" ht="19" customHeight="1">
      <x:c r="A63" s="117"/>
      <x:c r="B63" s="117"/>
      <x:c r="C63" s="197" t="str">
        <x:v>Opening ROU assets</x:v>
      </x:c>
      <x:c r="D63" s="209" t="n">
        <x:v>991.6</x:v>
      </x:c>
      <x:c r="E63" s="209" t="n">
        <x:v>710.9</x:v>
      </x:c>
      <x:c r="F63" s="209" t="n">
        <x:v>1959.1</x:v>
      </x:c>
      <x:c r="G63" s="208" t="n">
        <x:f>F67</x:f>
        <x:v>1653.3</x:v>
      </x:c>
      <x:c r="H63" s="207" t="n">
        <x:f>G67</x:f>
        <x:v>1736.8094115474998</x:v>
      </x:c>
      <x:c r="I63" s="207" t="n">
        <x:f>H67</x:f>
        <x:v>1843.5107849275014</x:v>
      </x:c>
      <x:c r="J63" s="207" t="n">
        <x:f>I67</x:f>
        <x:v>1971.5853827831156</x:v>
      </x:c>
      <x:c r="K63" s="207" t="n">
        <x:f>J67</x:f>
        <x:v>2116.251643820716</x:v>
      </x:c>
      <x:c r="L63" s="207" t="n">
        <x:f>K67</x:f>
        <x:v>2271.934480377051</x:v>
      </x:c>
      <x:c r="M63" s="207" t="n">
        <x:f>L67</x:f>
        <x:v>2434.520468198795</x:v>
      </x:c>
      <x:c r="N63" s="207" t="n">
        <x:f>M67</x:f>
        <x:v>2599.5137793279396</x:v>
      </x:c>
      <x:c r="O63" s="207" t="n">
        <x:f>N67</x:f>
        <x:v>2765.597673022802</x:v>
      </x:c>
    </x:row>
    <x:row r="64" ht="19" customHeight="1">
      <x:c r="A64" s="117"/>
      <x:c r="B64" s="117"/>
      <x:c r="C64" s="197" t="str">
        <x:v>New ROU assets</x:v>
      </x:c>
      <x:c r="D64" s="209" t="n">
        <x:v>196.7</x:v>
      </x:c>
      <x:c r="E64" s="209" t="n">
        <x:v>1749.1</x:v>
      </x:c>
      <x:c r="F64" s="209" t="n">
        <x:v>146</x:v>
      </x:c>
      <x:c r="G64" s="206" t="n">
        <x:f>G23*'Fin Assumptions'!G28</x:f>
        <x:v>496.83441154749994</x:v>
      </x:c>
      <x:c r="H64" s="205" t="n">
        <x:f>H23*'Fin Assumptions'!H28</x:f>
        <x:v>540.9037262668763</x:v>
      </x:c>
      <x:c r="I64" s="205" t="n">
        <x:f>I23*'Fin Assumptions'!I28</x:f>
        <x:v>588.9522940874893</x:v>
      </x:c>
      <x:c r="J64" s="205" t="n">
        <x:f>J23*'Fin Assumptions'!J28</x:f>
        <x:v>637.5626067333792</x:v>
      </x:c>
      <x:c r="K64" s="205" t="n">
        <x:f>K23*'Fin Assumptions'!K28</x:f>
        <x:v>684.7457475115143</x:v>
      </x:c>
      <x:c r="L64" s="205" t="n">
        <x:f>L23*'Fin Assumptions'!L28</x:f>
        <x:v>730.5696079160065</x:v>
      </x:c>
      <x:c r="M64" s="205" t="n">
        <x:f>M23*'Fin Assumptions'!M28</x:f>
        <x:v>773.6234281788434</x:v>
      </x:c>
      <x:c r="N64" s="205" t="n">
        <x:f>N23*'Fin Assumptions'!N28</x:f>
        <x:v>815.9623385268475</x:v>
      </x:c>
      <x:c r="O64" s="205" t="n">
        <x:f>O23*'Fin Assumptions'!O28</x:f>
        <x:v>857.0465307995261</x:v>
      </x:c>
    </x:row>
    <x:row r="65" ht="19" customHeight="1">
      <x:c r="A65" s="117"/>
      <x:c r="B65" s="117"/>
      <x:c r="C65" s="197" t="str">
        <x:v>ROU depreciation</x:v>
      </x:c>
      <x:c r="D65" s="209" t="n">
        <x:v>436.2</x:v>
      </x:c>
      <x:c r="E65" s="209" t="n">
        <x:v>422.9</x:v>
      </x:c>
      <x:c r="F65" s="209" t="n">
        <x:v>444.2</x:v>
      </x:c>
      <x:c r="G65" s="206" t="n">
        <x:f>MIN(G63+G64,G63*'Fin Assumptions'!G27)</x:f>
        <x:v>413.325</x:v>
      </x:c>
      <x:c r="H65" s="205" t="n">
        <x:f>MIN(H63+H64,H63*'Fin Assumptions'!H27)</x:f>
        <x:v>434.20235288687496</x:v>
      </x:c>
      <x:c r="I65" s="205" t="n">
        <x:f>MIN(I63+I64,I63*'Fin Assumptions'!I27)</x:f>
        <x:v>460.87769623187535</x:v>
      </x:c>
      <x:c r="J65" s="205" t="n">
        <x:f>MIN(J63+J64,J63*'Fin Assumptions'!J27)</x:f>
        <x:v>492.8963456957789</x:v>
      </x:c>
      <x:c r="K65" s="205" t="n">
        <x:f>MIN(K63+K64,K63*'Fin Assumptions'!K27)</x:f>
        <x:v>529.062910955179</x:v>
      </x:c>
      <x:c r="L65" s="205" t="n">
        <x:f>MIN(L63+L64,L63*'Fin Assumptions'!L27)</x:f>
        <x:v>567.9836200942627</x:v>
      </x:c>
      <x:c r="M65" s="205" t="n">
        <x:f>MIN(M63+M64,M63*'Fin Assumptions'!M27)</x:f>
        <x:v>608.6301170496987</x:v>
      </x:c>
      <x:c r="N65" s="205" t="n">
        <x:f>MIN(N63+N64,N63*'Fin Assumptions'!N27)</x:f>
        <x:v>649.8784448319849</x:v>
      </x:c>
      <x:c r="O65" s="205" t="n">
        <x:f>MIN(O63+O64,O63*'Fin Assumptions'!O27)</x:f>
        <x:v>691.3994182557005</x:v>
      </x:c>
    </x:row>
    <x:row r="66" ht="19" customHeight="1">
      <x:c r="A66" s="117"/>
      <x:c r="B66" s="117"/>
      <x:c r="C66" s="197" t="str">
        <x:v>Deletions / terminations</x:v>
      </x:c>
      <x:c r="D66" s="209" t="n">
        <x:v>-41.2</x:v>
      </x:c>
      <x:c r="E66" s="209" t="n">
        <x:v>-78</x:v>
      </x:c>
      <x:c r="F66" s="209" t="n">
        <x:v>-7.6</x:v>
      </x:c>
      <x:c r="G66" s="222" t="n">
        <x:v>0</x:v>
      </x:c>
      <x:c r="H66" s="209" t="n">
        <x:v>0</x:v>
      </x:c>
      <x:c r="I66" s="209" t="n">
        <x:v>0</x:v>
      </x:c>
      <x:c r="J66" s="209" t="n">
        <x:v>0</x:v>
      </x:c>
      <x:c r="K66" s="209" t="n">
        <x:v>0</x:v>
      </x:c>
      <x:c r="L66" s="209" t="n">
        <x:v>0</x:v>
      </x:c>
      <x:c r="M66" s="209" t="n">
        <x:v>0</x:v>
      </x:c>
      <x:c r="N66" s="209" t="n">
        <x:v>0</x:v>
      </x:c>
      <x:c r="O66" s="209" t="n">
        <x:v>0</x:v>
      </x:c>
    </x:row>
    <x:row r="67" ht="19" customHeight="1">
      <x:c r="A67" s="117"/>
      <x:c r="B67" s="117"/>
      <x:c r="C67" s="210" t="str">
        <x:v>Closing ROU assets</x:v>
      </x:c>
      <x:c r="D67" s="223" t="n">
        <x:v>710.9</x:v>
      </x:c>
      <x:c r="E67" s="223" t="n">
        <x:v>1959.1</x:v>
      </x:c>
      <x:c r="F67" s="223" t="n">
        <x:v>1653.3</x:v>
      </x:c>
      <x:c r="G67" s="212" t="n">
        <x:f>SUM(G63:G64)-G65+G66</x:f>
        <x:v>1736.8094115474998</x:v>
      </x:c>
      <x:c r="H67" s="211" t="n">
        <x:f>SUM(H63:H64)-H65+H66</x:f>
        <x:v>1843.5107849275014</x:v>
      </x:c>
      <x:c r="I67" s="211" t="n">
        <x:f>SUM(I63:I64)-I65+I66</x:f>
        <x:v>1971.5853827831156</x:v>
      </x:c>
      <x:c r="J67" s="211" t="n">
        <x:f>SUM(J63:J64)-J65+J66</x:f>
        <x:v>2116.251643820716</x:v>
      </x:c>
      <x:c r="K67" s="211" t="n">
        <x:f>SUM(K63:K64)-K65+K66</x:f>
        <x:v>2271.934480377051</x:v>
      </x:c>
      <x:c r="L67" s="211" t="n">
        <x:f>SUM(L63:L64)-L65+L66</x:f>
        <x:v>2434.520468198795</x:v>
      </x:c>
      <x:c r="M67" s="211" t="n">
        <x:f>SUM(M63:M64)-M65+M66</x:f>
        <x:v>2599.5137793279396</x:v>
      </x:c>
      <x:c r="N67" s="211" t="n">
        <x:f>SUM(N63:N64)-N65+N66</x:f>
        <x:v>2765.597673022802</x:v>
      </x:c>
      <x:c r="O67" s="211" t="n">
        <x:f>SUM(O63:O64)-O65+O66</x:f>
        <x:v>2931.244785566628</x:v>
      </x:c>
    </x:row>
    <x:row r="68" ht="19" customHeight="1">
      <x:c r="A68" s="117"/>
      <x:c r="B68" s="117"/>
      <x:c r="C68" s="197"/>
      <x:c r="D68" s="217"/>
      <x:c r="E68" s="217"/>
      <x:c r="F68" s="217"/>
      <x:c r="G68" s="218"/>
      <x:c r="H68" s="217"/>
      <x:c r="I68" s="217"/>
      <x:c r="J68" s="217"/>
      <x:c r="K68" s="217"/>
      <x:c r="L68" s="217"/>
      <x:c r="M68" s="217"/>
      <x:c r="N68" s="217"/>
      <x:c r="O68" s="217"/>
    </x:row>
    <x:row r="69" ht="19" customHeight="1">
      <x:c r="A69" s="117"/>
      <x:c r="B69" s="117"/>
      <x:c r="C69" s="210" t="str">
        <x:v>Total depreciation and amortisation</x:v>
      </x:c>
      <x:c r="D69" s="223" t="n">
        <x:v>711.7</x:v>
      </x:c>
      <x:c r="E69" s="223" t="n">
        <x:v>718</x:v>
      </x:c>
      <x:c r="F69" s="223" t="n">
        <x:v>759.6</x:v>
      </x:c>
      <x:c r="G69" s="212" t="n">
        <x:f>SUM(G59,G65)</x:f>
        <x:v>809.8302443205</x:v>
      </x:c>
      <x:c r="H69" s="211" t="n">
        <x:f>SUM(H59,H65)</x:f>
        <x:v>863.1629631848232</x:v>
      </x:c>
      <x:c r="I69" s="211" t="n">
        <x:f>SUM(I59,I65)</x:f>
        <x:v>925.7229866622424</x:v>
      </x:c>
      <x:c r="J69" s="211" t="n">
        <x:f>SUM(J59,J65)</x:f>
        <x:v>996.8587981284738</x:v>
      </x:c>
      <x:c r="K69" s="211" t="n">
        <x:f>SUM(K59,K65)</x:f>
        <x:v>1074.6353110507848</x:v>
      </x:c>
      <x:c r="L69" s="211" t="n">
        <x:f>SUM(L59,L65)</x:f>
        <x:v>1156.8601169090957</x:v>
      </x:c>
      <x:c r="M69" s="211" t="n">
        <x:f>SUM(M59,M65)</x:f>
        <x:v>1241.7213337733183</x:v>
      </x:c>
      <x:c r="N69" s="211" t="n">
        <x:f>SUM(N59,N65)</x:f>
        <x:v>1327.5375777022628</x:v>
      </x:c>
      <x:c r="O69" s="211" t="n">
        <x:f>SUM(O59,O65)</x:f>
        <x:v>1413.6969104793784</x:v>
      </x:c>
    </x:row>
    <x:row r="70" ht="19" customHeight="1">
      <x:c r="A70" s="117"/>
      <x:c r="B70" s="117"/>
      <x:c r="C70" s="197"/>
      <x:c r="D70" s="217"/>
      <x:c r="E70" s="217"/>
      <x:c r="F70" s="217"/>
      <x:c r="G70" s="218"/>
      <x:c r="H70" s="217"/>
      <x:c r="I70" s="217"/>
      <x:c r="J70" s="217"/>
      <x:c r="K70" s="217"/>
      <x:c r="L70" s="217"/>
      <x:c r="M70" s="217"/>
      <x:c r="N70" s="217"/>
      <x:c r="O70" s="217"/>
    </x:row>
    <x:row r="71" ht="19" customHeight="1">
      <x:c r="A71" s="117"/>
      <x:c r="B71" s="117"/>
      <x:c r="C71" s="197" t="str">
        <x:v>Opening lease liabilities</x:v>
      </x:c>
      <x:c r="D71" s="209" t="n">
        <x:v>1131.7</x:v>
      </x:c>
      <x:c r="E71" s="209" t="n">
        <x:v>832.3</x:v>
      </x:c>
      <x:c r="F71" s="209" t="n">
        <x:v>1966.7</x:v>
      </x:c>
      <x:c r="G71" s="208" t="n">
        <x:f>F75</x:f>
        <x:v>1719.9</x:v>
      </x:c>
      <x:c r="H71" s="207" t="n">
        <x:f>G75</x:f>
        <x:v>1829.7569115474998</x:v>
      </x:c>
      <x:c r="I71" s="207" t="n">
        <x:f>H75</x:f>
        <x:v>1958.9653327161886</x:v>
      </x:c>
      <x:c r="J71" s="207" t="n">
        <x:f>I75</x:f>
        <x:v>2107.150426942536</x:v>
      </x:c>
      <x:c r="K71" s="207" t="n">
        <x:f>J75</x:f>
        <x:v>2270.6041876138443</x:v>
      </x:c>
      <x:c r="L71" s="207" t="n">
        <x:f>K75</x:f>
        <x:v>2444.4639929122436</x:v>
      </x:c>
      <x:c r="M71" s="207" t="n">
        <x:f>L75</x:f>
        <x:v>2625.0292024229952</x:v>
      </x:c>
      <x:c r="N71" s="207" t="n">
        <x:f>M75</x:f>
        <x:v>2808.0210600566647</x:v>
      </x:c>
      <x:c r="O71" s="207" t="n">
        <x:f>N75</x:f>
        <x:v>2992.1786600707624</x:v>
      </x:c>
    </x:row>
    <x:row r="72" ht="19" customHeight="1">
      <x:c r="A72" s="117"/>
      <x:c r="B72" s="117"/>
      <x:c r="C72" s="197" t="str">
        <x:v>New lease liabilities</x:v>
      </x:c>
      <x:c r="D72" s="209" t="n">
        <x:v>194.4</x:v>
      </x:c>
      <x:c r="E72" s="209" t="n">
        <x:v>1686.8</x:v>
      </x:c>
      <x:c r="F72" s="209" t="n">
        <x:v>145.7</x:v>
      </x:c>
      <x:c r="G72" s="208" t="n">
        <x:f>G64</x:f>
        <x:v>496.83441154749994</x:v>
      </x:c>
      <x:c r="H72" s="207" t="n">
        <x:f>H64</x:f>
        <x:v>540.9037262668763</x:v>
      </x:c>
      <x:c r="I72" s="207" t="n">
        <x:f>I64</x:f>
        <x:v>588.9522940874893</x:v>
      </x:c>
      <x:c r="J72" s="207" t="n">
        <x:f>J64</x:f>
        <x:v>637.5626067333792</x:v>
      </x:c>
      <x:c r="K72" s="207" t="n">
        <x:f>K64</x:f>
        <x:v>684.7457475115143</x:v>
      </x:c>
      <x:c r="L72" s="207" t="n">
        <x:f>L64</x:f>
        <x:v>730.5696079160065</x:v>
      </x:c>
      <x:c r="M72" s="207" t="n">
        <x:f>M64</x:f>
        <x:v>773.6234281788434</x:v>
      </x:c>
      <x:c r="N72" s="207" t="n">
        <x:f>N64</x:f>
        <x:v>815.9623385268475</x:v>
      </x:c>
      <x:c r="O72" s="207" t="n">
        <x:f>O64</x:f>
        <x:v>857.0465307995261</x:v>
      </x:c>
    </x:row>
    <x:row r="73" ht="19" customHeight="1">
      <x:c r="A73" s="117"/>
      <x:c r="B73" s="117"/>
      <x:c r="C73" s="197" t="str">
        <x:v>Lease principal paid</x:v>
      </x:c>
      <x:c r="D73" s="209" t="n">
        <x:v>452.4</x:v>
      </x:c>
      <x:c r="E73" s="209" t="n">
        <x:v>468.5</x:v>
      </x:c>
      <x:c r="F73" s="209" t="n">
        <x:v>386.4</x:v>
      </x:c>
      <x:c r="G73" s="206" t="n">
        <x:f>MIN(G71+G72,G71*'Fin Assumptions'!G29)</x:f>
        <x:v>386.9775</x:v>
      </x:c>
      <x:c r="H73" s="205" t="n">
        <x:f>MIN(H71+H72,H71*'Fin Assumptions'!H29)</x:f>
        <x:v>411.6953050981875</x:v>
      </x:c>
      <x:c r="I73" s="205" t="n">
        <x:f>MIN(I71+I72,I71*'Fin Assumptions'!I29)</x:f>
        <x:v>440.76719986114244</x:v>
      </x:c>
      <x:c r="J73" s="205" t="n">
        <x:f>MIN(J71+J72,J71*'Fin Assumptions'!J29)</x:f>
        <x:v>474.1088460620706</x:v>
      </x:c>
      <x:c r="K73" s="205" t="n">
        <x:f>MIN(K71+K72,K71*'Fin Assumptions'!K29)</x:f>
        <x:v>510.88594221311496</x:v>
      </x:c>
      <x:c r="L73" s="205" t="n">
        <x:f>MIN(L71+L72,L71*'Fin Assumptions'!L29)</x:f>
        <x:v>550.0043984052548</x:v>
      </x:c>
      <x:c r="M73" s="205" t="n">
        <x:f>MIN(M71+M72,M71*'Fin Assumptions'!M29)</x:f>
        <x:v>590.631570545174</x:v>
      </x:c>
      <x:c r="N73" s="205" t="n">
        <x:f>MIN(N71+N72,N71*'Fin Assumptions'!N29)</x:f>
        <x:v>631.8047385127496</x:v>
      </x:c>
      <x:c r="O73" s="205" t="n">
        <x:f>MIN(O71+O72,O71*'Fin Assumptions'!O29)</x:f>
        <x:v>673.2401985159215</x:v>
      </x:c>
    </x:row>
    <x:row r="74" ht="19" customHeight="1">
      <x:c r="A74" s="117"/>
      <x:c r="B74" s="117"/>
      <x:c r="C74" s="197" t="str">
        <x:v>Lease terminations</x:v>
      </x:c>
      <x:c r="D74" s="209" t="n">
        <x:v>-41.4</x:v>
      </x:c>
      <x:c r="E74" s="209" t="n">
        <x:v>-83.9</x:v>
      </x:c>
      <x:c r="F74" s="209" t="n">
        <x:v>-6.1</x:v>
      </x:c>
      <x:c r="G74" s="222" t="n">
        <x:v>0</x:v>
      </x:c>
      <x:c r="H74" s="209" t="n">
        <x:v>0</x:v>
      </x:c>
      <x:c r="I74" s="209" t="n">
        <x:v>0</x:v>
      </x:c>
      <x:c r="J74" s="209" t="n">
        <x:v>0</x:v>
      </x:c>
      <x:c r="K74" s="209" t="n">
        <x:v>0</x:v>
      </x:c>
      <x:c r="L74" s="209" t="n">
        <x:v>0</x:v>
      </x:c>
      <x:c r="M74" s="209" t="n">
        <x:v>0</x:v>
      </x:c>
      <x:c r="N74" s="209" t="n">
        <x:v>0</x:v>
      </x:c>
      <x:c r="O74" s="209" t="n">
        <x:v>0</x:v>
      </x:c>
    </x:row>
    <x:row r="75" ht="19" customHeight="1">
      <x:c r="A75" s="117"/>
      <x:c r="B75" s="117"/>
      <x:c r="C75" s="210" t="str">
        <x:v>Closing lease liabilities</x:v>
      </x:c>
      <x:c r="D75" s="223" t="n">
        <x:v>832.3</x:v>
      </x:c>
      <x:c r="E75" s="223" t="n">
        <x:v>1966.7</x:v>
      </x:c>
      <x:c r="F75" s="223" t="n">
        <x:v>1719.9</x:v>
      </x:c>
      <x:c r="G75" s="212" t="n">
        <x:f>SUM(G71:G72)-G73+G74</x:f>
        <x:v>1829.7569115474998</x:v>
      </x:c>
      <x:c r="H75" s="211" t="n">
        <x:f>SUM(H71:H72)-H73+H74</x:f>
        <x:v>1958.9653327161886</x:v>
      </x:c>
      <x:c r="I75" s="211" t="n">
        <x:f>SUM(I71:I72)-I73+I74</x:f>
        <x:v>2107.150426942536</x:v>
      </x:c>
      <x:c r="J75" s="211" t="n">
        <x:f>SUM(J71:J72)-J73+J74</x:f>
        <x:v>2270.6041876138443</x:v>
      </x:c>
      <x:c r="K75" s="211" t="n">
        <x:f>SUM(K71:K72)-K73+K74</x:f>
        <x:v>2444.4639929122436</x:v>
      </x:c>
      <x:c r="L75" s="211" t="n">
        <x:f>SUM(L71:L72)-L73+L74</x:f>
        <x:v>2625.0292024229952</x:v>
      </x:c>
      <x:c r="M75" s="211" t="n">
        <x:f>SUM(M71:M72)-M73+M74</x:f>
        <x:v>2808.0210600566647</x:v>
      </x:c>
      <x:c r="N75" s="211" t="n">
        <x:f>SUM(N71:N72)-N73+N74</x:f>
        <x:v>2992.1786600707624</x:v>
      </x:c>
      <x:c r="O75" s="211" t="n">
        <x:f>SUM(O71:O72)-O73+O74</x:f>
        <x:v>3175.984992354367</x:v>
      </x:c>
    </x:row>
    <x:row r="76" ht="19" customHeight="1">
      <x:c r="A76" s="117"/>
      <x:c r="B76" s="117"/>
      <x:c r="C76" s="197" t="str">
        <x:v>Lease interest</x:v>
      </x:c>
      <x:c r="D76" s="209" t="n">
        <x:v>86.7</x:v>
      </x:c>
      <x:c r="E76" s="209" t="n">
        <x:v>70.4</x:v>
      </x:c>
      <x:c r="F76" s="209" t="n">
        <x:v>180.1</x:v>
      </x:c>
      <x:c r="G76" s="206" t="n">
        <x:f>G71*'Fin Assumptions'!G30</x:f>
        <x:v>171.99</x:v>
      </x:c>
      <x:c r="H76" s="205" t="n">
        <x:f>H71*'Fin Assumptions'!H30</x:f>
        <x:v>182.97569115475</x:v>
      </x:c>
      <x:c r="I76" s="205" t="n">
        <x:f>I71*'Fin Assumptions'!I30</x:f>
        <x:v>195.89653327161886</x:v>
      </x:c>
      <x:c r="J76" s="205" t="n">
        <x:f>J71*'Fin Assumptions'!J30</x:f>
        <x:v>210.7150426942536</x:v>
      </x:c>
      <x:c r="K76" s="205" t="n">
        <x:f>K71*'Fin Assumptions'!K30</x:f>
        <x:v>227.06041876138443</x:v>
      </x:c>
      <x:c r="L76" s="205" t="n">
        <x:f>L71*'Fin Assumptions'!L30</x:f>
        <x:v>244.44639929122437</x:v>
      </x:c>
      <x:c r="M76" s="205" t="n">
        <x:f>M71*'Fin Assumptions'!M30</x:f>
        <x:v>262.5029202422995</x:v>
      </x:c>
      <x:c r="N76" s="205" t="n">
        <x:f>N71*'Fin Assumptions'!N30</x:f>
        <x:v>280.8021060056665</x:v>
      </x:c>
      <x:c r="O76" s="205" t="n">
        <x:f>O71*'Fin Assumptions'!O30</x:f>
        <x:v>299.2178660070762</x:v>
      </x:c>
    </x:row>
    <x:row r="77" ht="19" customHeight="1">
      <x:c r="A77" s="117"/>
      <x:c r="B77" s="117"/>
      <x:c r="C77" s="197" t="str">
        <x:v>Other cash interest</x:v>
      </x:c>
      <x:c r="D77" s="209" t="n">
        <x:v>2</x:v>
      </x:c>
      <x:c r="E77" s="209" t="n">
        <x:v>0.6</x:v>
      </x:c>
      <x:c r="F77" s="209" t="n">
        <x:v>1.3</x:v>
      </x:c>
      <x:c r="G77" s="206" t="n">
        <x:f>G23*'Fin Assumptions'!G31</x:f>
        <x:v>1.5287212663</x:v>
      </x:c>
      <x:c r="H77" s="205" t="n">
        <x:f>H23*'Fin Assumptions'!H31</x:f>
        <x:v>1.664319157744235</x:v>
      </x:c>
      <x:c r="I77" s="205" t="n">
        <x:f>I23*'Fin Assumptions'!I31</x:f>
        <x:v>1.812160904884583</x:v>
      </x:c>
      <x:c r="J77" s="205" t="n">
        <x:f>J23*'Fin Assumptions'!J31</x:f>
        <x:v>1.9617310976411673</x:v>
      </x:c>
      <x:c r="K77" s="205" t="n">
        <x:f>K23*'Fin Assumptions'!K31</x:f>
        <x:v>2.106909992343121</x:v>
      </x:c>
      <x:c r="L77" s="205" t="n">
        <x:f>L23*'Fin Assumptions'!L31</x:f>
        <x:v>2.2479064858954048</x:v>
      </x:c>
      <x:c r="M77" s="205" t="n">
        <x:f>M23*'Fin Assumptions'!M31</x:f>
        <x:v>2.3803797790118257</x:v>
      </x:c>
      <x:c r="N77" s="205" t="n">
        <x:f>N23*'Fin Assumptions'!N31</x:f>
        <x:v>2.510653349313377</x:v>
      </x:c>
      <x:c r="O77" s="205" t="n">
        <x:f>O23*'Fin Assumptions'!O31</x:f>
        <x:v>2.6370662486139267</x:v>
      </x:c>
    </x:row>
    <x:row r="78" ht="19" customHeight="1">
      <x:c r="A78" s="117"/>
      <x:c r="B78" s="117"/>
      <x:c r="C78" s="197" t="str">
        <x:v>Non-cash finance costs</x:v>
      </x:c>
      <x:c r="D78" s="209" t="n">
        <x:v>35.8</x:v>
      </x:c>
      <x:c r="E78" s="209" t="n">
        <x:v>43.3</x:v>
      </x:c>
      <x:c r="F78" s="209" t="n">
        <x:v>68.5</x:v>
      </x:c>
      <x:c r="G78" s="206" t="n">
        <x:f>G23*'Fin Assumptions'!G32</x:f>
        <x:v>45.861637988999995</x:v>
      </x:c>
      <x:c r="H78" s="205" t="n">
        <x:f>H23*'Fin Assumptions'!H32</x:f>
        <x:v>49.92957473232704</x:v>
      </x:c>
      <x:c r="I78" s="205" t="n">
        <x:f>I23*'Fin Assumptions'!I32</x:f>
        <x:v>54.36482714653748</x:v>
      </x:c>
      <x:c r="J78" s="205" t="n">
        <x:f>J23*'Fin Assumptions'!J32</x:f>
        <x:v>58.851932929235005</x:v>
      </x:c>
      <x:c r="K78" s="205" t="n">
        <x:f>K23*'Fin Assumptions'!K32</x:f>
        <x:v>63.20729977029362</x:v>
      </x:c>
      <x:c r="L78" s="205" t="n">
        <x:f>L23*'Fin Assumptions'!L32</x:f>
        <x:v>67.43719457686213</x:v>
      </x:c>
      <x:c r="M78" s="205" t="n">
        <x:f>M23*'Fin Assumptions'!M32</x:f>
        <x:v>71.41139337035477</x:v>
      </x:c>
      <x:c r="N78" s="205" t="n">
        <x:f>N23*'Fin Assumptions'!N32</x:f>
        <x:v>75.3196004794013</x:v>
      </x:c>
      <x:c r="O78" s="205" t="n">
        <x:f>O23*'Fin Assumptions'!O32</x:f>
        <x:v>79.11198745841779</x:v>
      </x:c>
    </x:row>
    <x:row r="79" ht="19" customHeight="1">
      <x:c r="A79" s="117"/>
      <x:c r="B79" s="117"/>
      <x:c r="C79" s="210" t="str">
        <x:v>Total finance costs</x:v>
      </x:c>
      <x:c r="D79" s="223" t="n">
        <x:v>124.5</x:v>
      </x:c>
      <x:c r="E79" s="223" t="n">
        <x:v>114.3</x:v>
      </x:c>
      <x:c r="F79" s="223" t="n">
        <x:v>249.9</x:v>
      </x:c>
      <x:c r="G79" s="212" t="n">
        <x:f>SUM(G76:G78)</x:f>
        <x:v>219.38035925530002</x:v>
      </x:c>
      <x:c r="H79" s="211" t="n">
        <x:f>SUM(H76:H78)</x:f>
        <x:v>234.56958504482128</x:v>
      </x:c>
      <x:c r="I79" s="211" t="n">
        <x:f>SUM(I76:I78)</x:f>
        <x:v>252.07352132304095</x:v>
      </x:c>
      <x:c r="J79" s="211" t="n">
        <x:f>SUM(J76:J78)</x:f>
        <x:v>271.52870672112977</x:v>
      </x:c>
      <x:c r="K79" s="211" t="n">
        <x:f>SUM(K76:K78)</x:f>
        <x:v>292.3746285240212</x:v>
      </x:c>
      <x:c r="L79" s="211" t="n">
        <x:f>SUM(L76:L78)</x:f>
        <x:v>314.1315003539819</x:v>
      </x:c>
      <x:c r="M79" s="211" t="n">
        <x:f>SUM(M76:M78)</x:f>
        <x:v>336.2946933916661</x:v>
      </x:c>
      <x:c r="N79" s="211" t="n">
        <x:f>SUM(N76:N78)</x:f>
        <x:v>358.63235983438113</x:v>
      </x:c>
      <x:c r="O79" s="211" t="n">
        <x:f>SUM(O76:O78)</x:f>
        <x:v>380.9669197141079</x:v>
      </x:c>
    </x:row>
    <x:row r="80" ht="19" customHeight="1">
      <x:c r="A80" s="117"/>
      <x:c r="B80" s="117"/>
      <x:c r="C80" s="197"/>
      <x:c r="D80" s="217"/>
      <x:c r="E80" s="217"/>
      <x:c r="F80" s="217"/>
      <x:c r="G80" s="218"/>
      <x:c r="H80" s="217"/>
      <x:c r="I80" s="217"/>
      <x:c r="J80" s="217"/>
      <x:c r="K80" s="217"/>
      <x:c r="L80" s="217"/>
      <x:c r="M80" s="217"/>
      <x:c r="N80" s="217"/>
      <x:c r="O80" s="217"/>
    </x:row>
    <x:row r="81" ht="19" customHeight="1">
      <x:c r="A81" s="117"/>
      <x:c r="B81" s="117"/>
      <x:c r="C81" s="197"/>
      <x:c r="D81" s="217"/>
      <x:c r="E81" s="217"/>
      <x:c r="F81" s="217"/>
      <x:c r="G81" s="218"/>
      <x:c r="H81" s="217"/>
      <x:c r="I81" s="217"/>
      <x:c r="J81" s="217"/>
      <x:c r="K81" s="217"/>
      <x:c r="L81" s="217"/>
      <x:c r="M81" s="217"/>
      <x:c r="N81" s="217"/>
      <x:c r="O81" s="217"/>
    </x:row>
    <x:row r="82" ht="19" customHeight="1">
      <x:c r="A82" s="117"/>
      <x:c r="B82" s="117"/>
      <x:c r="C82" s="202" t="str">
        <x:v>Working capital and other balances</x:v>
      </x:c>
      <x:c r="D82" s="203"/>
      <x:c r="E82" s="203"/>
      <x:c r="F82" s="203"/>
      <x:c r="G82" s="204"/>
      <x:c r="H82" s="203"/>
      <x:c r="I82" s="203"/>
      <x:c r="J82" s="203"/>
      <x:c r="K82" s="203"/>
      <x:c r="L82" s="203"/>
      <x:c r="M82" s="203"/>
      <x:c r="N82" s="203"/>
      <x:c r="O82" s="203"/>
    </x:row>
    <x:row r="83" ht="19" customHeight="1">
      <x:c r="A83" s="117"/>
      <x:c r="B83" s="117"/>
      <x:c r="C83" s="197" t="str">
        <x:v>Financial year</x:v>
      </x:c>
      <x:c r="D83" s="217" t="str">
        <x:v>FY24A</x:v>
      </x:c>
      <x:c r="E83" s="217" t="str">
        <x:v>FY25A</x:v>
      </x:c>
      <x:c r="F83" s="217" t="str">
        <x:v>FY26A</x:v>
      </x:c>
      <x:c r="G83" s="218" t="str">
        <x:v>FY27E</x:v>
      </x:c>
      <x:c r="H83" s="217" t="str">
        <x:v>FY28E</x:v>
      </x:c>
      <x:c r="I83" s="217" t="str">
        <x:v>FY29E</x:v>
      </x:c>
      <x:c r="J83" s="217" t="str">
        <x:v>FY30E</x:v>
      </x:c>
      <x:c r="K83" s="217" t="str">
        <x:v>FY31E</x:v>
      </x:c>
      <x:c r="L83" s="217" t="str">
        <x:v>FY32E</x:v>
      </x:c>
      <x:c r="M83" s="217" t="str">
        <x:v>FY33E</x:v>
      </x:c>
      <x:c r="N83" s="217" t="str">
        <x:v>FY34E</x:v>
      </x:c>
      <x:c r="O83" s="217" t="str">
        <x:v>FY35E</x:v>
      </x:c>
    </x:row>
    <x:row r="84" ht="19" customHeight="1">
      <x:c r="A84" s="117"/>
      <x:c r="B84" s="117"/>
      <x:c r="C84" s="197" t="str">
        <x:v>Trade receivables</x:v>
      </x:c>
      <x:c r="D84" s="209" t="n">
        <x:v>3191.1</x:v>
      </x:c>
      <x:c r="E84" s="209" t="n">
        <x:v>3802.3</x:v>
      </x:c>
      <x:c r="F84" s="209" t="n">
        <x:v>3617.3</x:v>
      </x:c>
      <x:c r="G84" s="206" t="n">
        <x:f>G23*'Fin Assumptions'!G16/365</x:f>
        <x:v>4188.277441917808</x:v>
      </x:c>
      <x:c r="H84" s="205" t="n">
        <x:f>H23*'Fin Assumptions'!H16/365</x:f>
        <x:v>4559.778514367767</x:v>
      </x:c>
      <x:c r="I84" s="205" t="n">
        <x:f>I23*'Fin Assumptions'!I16/365</x:f>
        <x:v>4964.824396944063</x:v>
      </x:c>
      <x:c r="J84" s="205" t="n">
        <x:f>J23*'Fin Assumptions'!J16/365</x:f>
        <x:v>5374.605746962101</x:v>
      </x:c>
      <x:c r="K84" s="205" t="n">
        <x:f>K23*'Fin Assumptions'!K16/365</x:f>
        <x:v>5772.356143405812</x:v>
      </x:c>
      <x:c r="L84" s="205" t="n">
        <x:f>L23*'Fin Assumptions'!L16/365</x:f>
        <x:v>6158.647906562753</x:v>
      </x:c>
      <x:c r="M84" s="205" t="n">
        <x:f>M23*'Fin Assumptions'!M16/365</x:f>
        <x:v>6521.588435648837</x:v>
      </x:c>
      <x:c r="N84" s="205" t="n">
        <x:f>N23*'Fin Assumptions'!N16/365</x:f>
        <x:v>6878.502326885964</x:v>
      </x:c>
      <x:c r="O84" s="205" t="n">
        <x:f>O23*'Fin Assumptions'!O16/365</x:f>
        <x:v>7224.839037298429</x:v>
      </x:c>
    </x:row>
    <x:row r="85" ht="19" customHeight="1">
      <x:c r="A85" s="117"/>
      <x:c r="B85" s="117"/>
      <x:c r="C85" s="197" t="str">
        <x:v>Inventories</x:v>
      </x:c>
      <x:c r="D85" s="209" t="n">
        <x:v>6195.8</x:v>
      </x:c>
      <x:c r="E85" s="209" t="n">
        <x:v>8820.4</x:v>
      </x:c>
      <x:c r="F85" s="209" t="n">
        <x:v>9472.6</x:v>
      </x:c>
      <x:c r="G85" s="206" t="n">
        <x:f>G24*'Fin Assumptions'!G17/365</x:f>
        <x:v>10431.683704414654</x:v>
      </x:c>
      <x:c r="H85" s="205" t="n">
        <x:f>H24*'Fin Assumptions'!H17/365</x:f>
        <x:v>11465.563074377751</x:v>
      </x:c>
      <x:c r="I85" s="205" t="n">
        <x:f>I24*'Fin Assumptions'!I17/365</x:f>
        <x:v>12484.050946115845</x:v>
      </x:c>
      <x:c r="J85" s="205" t="n">
        <x:f>J24*'Fin Assumptions'!J17/365</x:f>
        <x:v>13514.446150736205</x:v>
      </x:c>
      <x:c r="K85" s="205" t="n">
        <x:f>K24*'Fin Assumptions'!K17/365</x:f>
        <x:v>14514.589522593913</x:v>
      </x:c>
      <x:c r="L85" s="205" t="n">
        <x:f>L24*'Fin Assumptions'!L17/365</x:f>
        <x:v>15485.920161052041</x:v>
      </x:c>
      <x:c r="M85" s="205" t="n">
        <x:f>M24*'Fin Assumptions'!M17/365</x:f>
        <x:v>16398.534121439003</x:v>
      </x:c>
      <x:c r="N85" s="205" t="n">
        <x:f>N24*'Fin Assumptions'!N17/365</x:f>
        <x:v>17295.994100954755</x:v>
      </x:c>
      <x:c r="O85" s="205" t="n">
        <x:f>O24*'Fin Assumptions'!O17/365</x:f>
        <x:v>18166.8577592869</x:v>
      </x:c>
    </x:row>
    <x:row r="86" ht="19" customHeight="1">
      <x:c r="A86" s="117"/>
      <x:c r="B86" s="117"/>
      <x:c r="C86" s="197" t="str">
        <x:v>Trade payables</x:v>
      </x:c>
      <x:c r="D86" s="209" t="n">
        <x:v>10026.9</x:v>
      </x:c>
      <x:c r="E86" s="209" t="n">
        <x:v>10578.6</x:v>
      </x:c>
      <x:c r="F86" s="209" t="n">
        <x:v>11069.3</x:v>
      </x:c>
      <x:c r="G86" s="206" t="n">
        <x:f>G24*'Fin Assumptions'!G18/365</x:f>
        <x:v>12096.314082778697</x:v>
      </x:c>
      <x:c r="H86" s="205" t="n">
        <x:f>H24*'Fin Assumptions'!H18/365</x:f>
        <x:v>13295.17420326782</x:v>
      </x:c>
      <x:c r="I86" s="205" t="n">
        <x:f>I24*'Fin Assumptions'!I18/365</x:f>
        <x:v>14476.186735389652</x:v>
      </x:c>
      <x:c r="J86" s="205" t="n">
        <x:f>J24*'Fin Assumptions'!J18/365</x:f>
        <x:v>15671.006706704748</x:v>
      </x:c>
      <x:c r="K86" s="205" t="n">
        <x:f>K24*'Fin Assumptions'!K18/365</x:f>
        <x:v>16830.747425135494</x:v>
      </x:c>
      <x:c r="L86" s="205" t="n">
        <x:f>L24*'Fin Assumptions'!L18/365</x:f>
        <x:v>17957.077633560344</x:v>
      </x:c>
      <x:c r="M86" s="205" t="n">
        <x:f>M24*'Fin Assumptions'!M18/365</x:f>
        <x:v>19015.321481243096</x:v>
      </x:c>
      <x:c r="N86" s="205" t="n">
        <x:f>N24*'Fin Assumptions'!N18/365</x:f>
        <x:v>20055.99315961775</x:v>
      </x:c>
      <x:c r="O86" s="205" t="n">
        <x:f>O24*'Fin Assumptions'!O18/365</x:f>
        <x:v>21065.824423002894</x:v>
      </x:c>
    </x:row>
    <x:row r="87" ht="19" customHeight="1">
      <x:c r="A87" s="117"/>
      <x:c r="B87" s="117"/>
      <x:c r="C87" s="197" t="str">
        <x:v>Other non-current assets</x:v>
      </x:c>
      <x:c r="D87" s="209" t="n">
        <x:v>2066</x:v>
      </x:c>
      <x:c r="E87" s="209" t="n">
        <x:v>1278.6</x:v>
      </x:c>
      <x:c r="F87" s="209" t="n">
        <x:v>2164.1</x:v>
      </x:c>
      <x:c r="G87" s="206" t="n">
        <x:f>G23*'Fin Assumptions'!G19</x:f>
        <x:v>2369.5179627649995</x:v>
      </x:c>
      <x:c r="H87" s="205" t="n">
        <x:f>H23*'Fin Assumptions'!H19</x:f>
        <x:v>2579.694694503564</x:v>
      </x:c>
      <x:c r="I87" s="205" t="n">
        <x:f>I23*'Fin Assumptions'!I19</x:f>
        <x:v>2808.8494025711034</x:v>
      </x:c>
      <x:c r="J87" s="205" t="n">
        <x:f>J23*'Fin Assumptions'!J19</x:f>
        <x:v>3040.683201343809</x:v>
      </x:c>
      <x:c r="K87" s="205" t="n">
        <x:f>K23*'Fin Assumptions'!K19</x:f>
        <x:v>3265.7104881318373</x:v>
      </x:c>
      <x:c r="L87" s="205" t="n">
        <x:f>L23*'Fin Assumptions'!L19</x:f>
        <x:v>3484.255053137877</x:v>
      </x:c>
      <x:c r="M87" s="205" t="n">
        <x:f>M23*'Fin Assumptions'!M19</x:f>
        <x:v>3689.58865746833</x:v>
      </x:c>
      <x:c r="N87" s="205" t="n">
        <x:f>N23*'Fin Assumptions'!N19</x:f>
        <x:v>3891.5126914357343</x:v>
      </x:c>
      <x:c r="O87" s="205" t="n">
        <x:f>O23*'Fin Assumptions'!O19</x:f>
        <x:v>4087.4526853515863</x:v>
      </x:c>
    </x:row>
    <x:row r="88" ht="19" customHeight="1">
      <x:c r="A88" s="117"/>
      <x:c r="B88" s="117"/>
      <x:c r="C88" s="197" t="str">
        <x:v>Other current assets</x:v>
      </x:c>
      <x:c r="D88" s="209" t="n">
        <x:v>1874.4</x:v>
      </x:c>
      <x:c r="E88" s="209" t="n">
        <x:v>3879.4</x:v>
      </x:c>
      <x:c r="F88" s="209" t="n">
        <x:v>2293.7</x:v>
      </x:c>
      <x:c r="G88" s="206" t="n">
        <x:f>G23*'Fin Assumptions'!G20</x:f>
        <x:v>2522.390089395</x:v>
      </x:c>
      <x:c r="H88" s="205" t="n">
        <x:f>H23*'Fin Assumptions'!H20</x:f>
        <x:v>2746.1266102779878</x:v>
      </x:c>
      <x:c r="I88" s="205" t="n">
        <x:f>I23*'Fin Assumptions'!I20</x:f>
        <x:v>2990.065493059562</x:v>
      </x:c>
      <x:c r="J88" s="205" t="n">
        <x:f>J23*'Fin Assumptions'!J20</x:f>
        <x:v>3236.8563111079256</x:v>
      </x:c>
      <x:c r="K88" s="205" t="n">
        <x:f>K23*'Fin Assumptions'!K20</x:f>
        <x:v>3476.40148736615</x:v>
      </x:c>
      <x:c r="L88" s="205" t="n">
        <x:f>L23*'Fin Assumptions'!L20</x:f>
        <x:v>3709.0457017274175</x:v>
      </x:c>
      <x:c r="M88" s="205" t="n">
        <x:f>M23*'Fin Assumptions'!M20</x:f>
        <x:v>3927.6266353695128</x:v>
      </x:c>
      <x:c r="N88" s="205" t="n">
        <x:f>N23*'Fin Assumptions'!N20</x:f>
        <x:v>4142.578026367072</x:v>
      </x:c>
      <x:c r="O88" s="205" t="n">
        <x:f>O23*'Fin Assumptions'!O20</x:f>
        <x:v>4351.159310212979</x:v>
      </x:c>
    </x:row>
    <x:row r="89" ht="19" customHeight="1">
      <x:c r="A89" s="117"/>
      <x:c r="B89" s="117"/>
      <x:c r="C89" s="197" t="str">
        <x:v>Provisions</x:v>
      </x:c>
      <x:c r="D89" s="209" t="n">
        <x:v>2841.1</x:v>
      </x:c>
      <x:c r="E89" s="209" t="n">
        <x:v>2872.3</x:v>
      </x:c>
      <x:c r="F89" s="209" t="n">
        <x:v>3183.7</x:v>
      </x:c>
      <x:c r="G89" s="206" t="n">
        <x:f>G23*'Fin Assumptions'!G21</x:f>
        <x:v>3516.05891249</x:v>
      </x:c>
      <x:c r="H89" s="205" t="n">
        <x:f>H23*'Fin Assumptions'!H21</x:f>
        <x:v>3827.93406281174</x:v>
      </x:c>
      <x:c r="I89" s="205" t="n">
        <x:f>I23*'Fin Assumptions'!I21</x:f>
        <x:v>4167.970081234541</x:v>
      </x:c>
      <x:c r="J89" s="205" t="n">
        <x:f>J23*'Fin Assumptions'!J21</x:f>
        <x:v>4511.981524574684</x:v>
      </x:c>
      <x:c r="K89" s="205" t="n">
        <x:f>K23*'Fin Assumptions'!K21</x:f>
        <x:v>4845.8929823891785</x:v>
      </x:c>
      <x:c r="L89" s="205" t="n">
        <x:f>L23*'Fin Assumptions'!L21</x:f>
        <x:v>5170.18491755943</x:v>
      </x:c>
      <x:c r="M89" s="205" t="n">
        <x:f>M23*'Fin Assumptions'!M21</x:f>
        <x:v>5474.8734917271995</x:v>
      </x:c>
      <x:c r="N89" s="205" t="n">
        <x:f>N23*'Fin Assumptions'!N21</x:f>
        <x:v>5774.502703420767</x:v>
      </x:c>
      <x:c r="O89" s="205" t="n">
        <x:f>O23*'Fin Assumptions'!O21</x:f>
        <x:v>6065.252371812031</x:v>
      </x:c>
    </x:row>
    <x:row r="90" ht="19" customHeight="1">
      <x:c r="A90" s="117"/>
      <x:c r="B90" s="117"/>
      <x:c r="C90" s="197" t="str">
        <x:v>Other operating liabilities</x:v>
      </x:c>
      <x:c r="D90" s="209" t="n">
        <x:v>1131.1</x:v>
      </x:c>
      <x:c r="E90" s="209" t="n">
        <x:v>1227.5</x:v>
      </x:c>
      <x:c r="F90" s="209" t="n">
        <x:v>1174.6</x:v>
      </x:c>
      <x:c r="G90" s="206" t="n">
        <x:f>G23*'Fin Assumptions'!G22</x:f>
        <x:v>1299.413076355</x:v>
      </x:c>
      <x:c r="H90" s="205" t="n">
        <x:f>H23*'Fin Assumptions'!H22</x:f>
        <x:v>1414.6712840825996</x:v>
      </x:c>
      <x:c r="I90" s="205" t="n">
        <x:f>I23*'Fin Assumptions'!I22</x:f>
        <x:v>1540.3367691518956</x:v>
      </x:c>
      <x:c r="J90" s="205" t="n">
        <x:f>J23*'Fin Assumptions'!J22</x:f>
        <x:v>1667.471432994992</x:v>
      </x:c>
      <x:c r="K90" s="205" t="n">
        <x:f>K23*'Fin Assumptions'!K22</x:f>
        <x:v>1790.8734934916529</x:v>
      </x:c>
      <x:c r="L90" s="205" t="n">
        <x:f>L23*'Fin Assumptions'!L22</x:f>
        <x:v>1910.720513011094</x:v>
      </x:c>
      <x:c r="M90" s="205" t="n">
        <x:f>M23*'Fin Assumptions'!M22</x:f>
        <x:v>2023.322812160052</x:v>
      </x:c>
      <x:c r="N90" s="205" t="n">
        <x:f>N23*'Fin Assumptions'!N22</x:f>
        <x:v>2134.0553469163706</x:v>
      </x:c>
      <x:c r="O90" s="205" t="n">
        <x:f>O23*'Fin Assumptions'!O22</x:f>
        <x:v>2241.5063113218375</x:v>
      </x:c>
    </x:row>
    <x:row r="91" ht="19" customHeight="1">
      <x:c r="A91" s="117"/>
      <x:c r="B91" s="117"/>
      <x:c r="C91" s="197" t="str">
        <x:v>Current tax liabilities</x:v>
      </x:c>
      <x:c r="D91" s="209" t="n">
        <x:v>114.6</x:v>
      </x:c>
      <x:c r="E91" s="209" t="n">
        <x:v>196.5</x:v>
      </x:c>
      <x:c r="F91" s="209" t="n">
        <x:v>129.9</x:v>
      </x:c>
      <x:c r="G91" s="206" t="n">
        <x:f>'Fin Assumptions'!G44</x:f>
        <x:v>129.9</x:v>
      </x:c>
      <x:c r="H91" s="205" t="n">
        <x:f>'Fin Assumptions'!H44</x:f>
        <x:v>129.9</x:v>
      </x:c>
      <x:c r="I91" s="205" t="n">
        <x:f>'Fin Assumptions'!I44</x:f>
        <x:v>129.9</x:v>
      </x:c>
      <x:c r="J91" s="205" t="n">
        <x:f>'Fin Assumptions'!J44</x:f>
        <x:v>129.9</x:v>
      </x:c>
      <x:c r="K91" s="205" t="n">
        <x:f>'Fin Assumptions'!K44</x:f>
        <x:v>129.9</x:v>
      </x:c>
      <x:c r="L91" s="205" t="n">
        <x:f>'Fin Assumptions'!L44</x:f>
        <x:v>129.9</x:v>
      </x:c>
      <x:c r="M91" s="205" t="n">
        <x:f>'Fin Assumptions'!M44</x:f>
        <x:v>129.9</x:v>
      </x:c>
      <x:c r="N91" s="205" t="n">
        <x:f>'Fin Assumptions'!N44</x:f>
        <x:v>129.9</x:v>
      </x:c>
      <x:c r="O91" s="205" t="n">
        <x:f>'Fin Assumptions'!O44</x:f>
        <x:v>129.9</x:v>
      </x:c>
    </x:row>
    <x:row r="92" ht="19" customHeight="1">
      <x:c r="A92" s="117"/>
      <x:c r="B92" s="117"/>
      <x:c r="C92" s="197"/>
      <x:c r="D92" s="217"/>
      <x:c r="E92" s="217"/>
      <x:c r="F92" s="217"/>
      <x:c r="G92" s="218"/>
      <x:c r="H92" s="217"/>
      <x:c r="I92" s="217"/>
      <x:c r="J92" s="217"/>
      <x:c r="K92" s="217"/>
      <x:c r="L92" s="217"/>
      <x:c r="M92" s="217"/>
      <x:c r="N92" s="217"/>
      <x:c r="O92" s="217"/>
    </x:row>
    <x:row r="93" ht="19" customHeight="1">
      <x:c r="A93" s="117"/>
      <x:c r="B93" s="117"/>
      <x:c r="C93" s="197"/>
      <x:c r="D93" s="217"/>
      <x:c r="E93" s="217"/>
      <x:c r="F93" s="217"/>
      <x:c r="G93" s="218"/>
      <x:c r="H93" s="217"/>
      <x:c r="I93" s="217"/>
      <x:c r="J93" s="217"/>
      <x:c r="K93" s="217"/>
      <x:c r="L93" s="217"/>
      <x:c r="M93" s="217"/>
      <x:c r="N93" s="217"/>
      <x:c r="O93" s="217"/>
    </x:row>
    <x:row r="94" ht="19" customHeight="1">
      <x:c r="A94" s="117"/>
      <x:c r="B94" s="117"/>
      <x:c r="C94" s="202" t="str">
        <x:v>Equity</x:v>
      </x:c>
      <x:c r="D94" s="203"/>
      <x:c r="E94" s="203"/>
      <x:c r="F94" s="203"/>
      <x:c r="G94" s="204"/>
      <x:c r="H94" s="203"/>
      <x:c r="I94" s="203"/>
      <x:c r="J94" s="203"/>
      <x:c r="K94" s="203"/>
      <x:c r="L94" s="203"/>
      <x:c r="M94" s="203"/>
      <x:c r="N94" s="203"/>
      <x:c r="O94" s="203"/>
    </x:row>
    <x:row r="95" ht="19" customHeight="1">
      <x:c r="A95" s="117"/>
      <x:c r="B95" s="117"/>
      <x:c r="C95" s="197" t="str">
        <x:v>Financial year</x:v>
      </x:c>
      <x:c r="D95" s="217" t="str">
        <x:v>FY24A</x:v>
      </x:c>
      <x:c r="E95" s="217" t="str">
        <x:v>FY25A</x:v>
      </x:c>
      <x:c r="F95" s="217" t="str">
        <x:v>FY26A</x:v>
      </x:c>
      <x:c r="G95" s="218" t="str">
        <x:v>FY27E</x:v>
      </x:c>
      <x:c r="H95" s="217" t="str">
        <x:v>FY28E</x:v>
      </x:c>
      <x:c r="I95" s="217" t="str">
        <x:v>FY29E</x:v>
      </x:c>
      <x:c r="J95" s="217" t="str">
        <x:v>FY30E</x:v>
      </x:c>
      <x:c r="K95" s="217" t="str">
        <x:v>FY31E</x:v>
      </x:c>
      <x:c r="L95" s="217" t="str">
        <x:v>FY32E</x:v>
      </x:c>
      <x:c r="M95" s="217" t="str">
        <x:v>FY33E</x:v>
      </x:c>
      <x:c r="N95" s="217" t="str">
        <x:v>FY34E</x:v>
      </x:c>
      <x:c r="O95" s="217" t="str">
        <x:v>FY35E</x:v>
      </x:c>
    </x:row>
    <x:row r="96" ht="19" customHeight="1">
      <x:c r="A96" s="117"/>
      <x:c r="B96" s="117"/>
      <x:c r="C96" s="197" t="str">
        <x:v>Opening other equity</x:v>
      </x:c>
      <x:c r="D96" s="209" t="n">
        <x:v>31672.9</x:v>
      </x:c>
      <x:c r="E96" s="209" t="n">
        <x:v>36776.4</x:v>
      </x:c>
      <x:c r="F96" s="209" t="n">
        <x:v>42119</x:v>
      </x:c>
      <x:c r="G96" s="208" t="n">
        <x:f>F102</x:f>
        <x:v>47529.4</x:v>
      </x:c>
      <x:c r="H96" s="207" t="n">
        <x:f>G102</x:f>
        <x:v>50633.44883340737</x:v>
      </x:c>
      <x:c r="I96" s="207" t="n">
        <x:f>H102</x:f>
        <x:v>56571.13416034962</x:v>
      </x:c>
      <x:c r="J96" s="207" t="n">
        <x:f>I102</x:f>
        <x:v>63365.45967210114</x:v>
      </x:c>
      <x:c r="K96" s="207" t="n">
        <x:f>J102</x:f>
        <x:v>70680.31587438058</x:v>
      </x:c>
      <x:c r="L96" s="207" t="n">
        <x:f>K102</x:f>
        <x:v>78454.67752219379</x:v>
      </x:c>
      <x:c r="M96" s="207" t="n">
        <x:f>L102</x:f>
        <x:v>86682.73581455645</x:v>
      </x:c>
      <x:c r="N96" s="207" t="n">
        <x:f>M102</x:f>
        <x:v>95314.63791125164</x:v>
      </x:c>
      <x:c r="O96" s="207" t="n">
        <x:f>N102</x:f>
        <x:v>104395.23389430545</x:v>
      </x:c>
    </x:row>
    <x:row r="97" ht="19" customHeight="1">
      <x:c r="A97" s="117"/>
      <x:c r="B97" s="117"/>
      <x:c r="C97" s="197" t="str">
        <x:v>Profit after tax</x:v>
      </x:c>
      <x:c r="D97" s="209" t="n">
        <x:v>12012.2</x:v>
      </x:c>
      <x:c r="E97" s="209" t="n">
        <x:v>14144.4</x:v>
      </x:c>
      <x:c r="F97" s="209" t="n">
        <x:v>15520.2</x:v>
      </x:c>
      <x:c r="G97" s="208" t="n">
        <x:f>G34</x:f>
        <x:v>17043.590945407366</x:v>
      </x:c>
      <x:c r="H97" s="207" t="n">
        <x:f>H34</x:f>
        <x:v>18209.070807635555</x:v>
      </x:c>
      <x:c r="I97" s="207" t="n">
        <x:f>I34</x:f>
        <x:v>19904.856493249124</x:v>
      </x:c>
      <x:c r="J97" s="207" t="n">
        <x:f>J34</x:f>
        <x:v>21646.352877418813</x:v>
      </x:c>
      <x:c r="K97" s="207" t="n">
        <x:f>K34</x:f>
        <x:v>23359.73571955475</x:v>
      </x:c>
      <x:c r="L97" s="207" t="n">
        <x:f>L34</x:f>
        <x:v>25047.068010442083</x:v>
      </x:c>
      <x:c r="M97" s="207" t="n">
        <x:f>M34</x:f>
        <x:v>26665.79106421349</x:v>
      </x:c>
      <x:c r="N97" s="207" t="n">
        <x:f>N34</x:f>
        <x:v>28279.965549287517</x:v>
      </x:c>
      <x:c r="O97" s="207" t="n">
        <x:f>O34</x:f>
        <x:v>29874.865675408764</x:v>
      </x:c>
    </x:row>
    <x:row r="98" ht="19" customHeight="1">
      <x:c r="A98" s="117"/>
      <x:c r="B98" s="117"/>
      <x:c r="C98" s="197" t="str">
        <x:v>Dividends paid</x:v>
      </x:c>
      <x:c r="D98" s="209" t="n">
        <x:v>6906</x:v>
      </x:c>
      <x:c r="E98" s="209" t="n">
        <x:v>8712.2</x:v>
      </x:c>
      <x:c r="F98" s="209" t="n">
        <x:v>10093.4</x:v>
      </x:c>
      <x:c r="G98" s="206" t="n">
        <x:f>'Fin Assumptions'!G35*'Fin Assumptions'!G41</x:f>
        <x:v>13939.542112</x:v>
      </x:c>
      <x:c r="H98" s="205" t="n">
        <x:f>G34*'Fin Assumptions'!H36</x:f>
        <x:v>12271.385480693303</x:v>
      </x:c>
      <x:c r="I98" s="205" t="n">
        <x:f>H34*'Fin Assumptions'!I36</x:f>
        <x:v>13110.530981497599</x:v>
      </x:c>
      <x:c r="J98" s="205" t="n">
        <x:f>I34*'Fin Assumptions'!J36</x:f>
        <x:v>14331.49667513937</x:v>
      </x:c>
      <x:c r="K98" s="205" t="n">
        <x:f>J34*'Fin Assumptions'!K36</x:f>
        <x:v>15585.374071741544</x:v>
      </x:c>
      <x:c r="L98" s="205" t="n">
        <x:f>K34*'Fin Assumptions'!L36</x:f>
        <x:v>16819.00971807942</x:v>
      </x:c>
      <x:c r="M98" s="205" t="n">
        <x:f>L34*'Fin Assumptions'!M36</x:f>
        <x:v>18033.888967518298</x:v>
      </x:c>
      <x:c r="N98" s="205" t="n">
        <x:f>M34*'Fin Assumptions'!N36</x:f>
        <x:v>19199.369566233712</x:v>
      </x:c>
      <x:c r="O98" s="205" t="n">
        <x:f>N34*'Fin Assumptions'!O36</x:f>
        <x:v>20361.57519548701</x:v>
      </x:c>
    </x:row>
    <x:row r="99" ht="19" customHeight="1">
      <x:c r="A99" s="117"/>
      <x:c r="B99" s="117"/>
      <x:c r="C99" s="197" t="str">
        <x:v>Other comprehensive income, net</x:v>
      </x:c>
      <x:c r="D99" s="209" t="n">
        <x:v>0.2</x:v>
      </x:c>
      <x:c r="E99" s="209" t="n">
        <x:v>-54.2</x:v>
      </x:c>
      <x:c r="F99" s="209" t="n">
        <x:v>-8.5</x:v>
      </x:c>
      <x:c r="G99" s="206" t="n">
        <x:f>'Fin Assumptions'!G45</x:f>
        <x:v>0</x:v>
      </x:c>
      <x:c r="H99" s="205" t="n">
        <x:f>'Fin Assumptions'!H45</x:f>
        <x:v>0</x:v>
      </x:c>
      <x:c r="I99" s="205" t="n">
        <x:f>'Fin Assumptions'!I45</x:f>
        <x:v>0</x:v>
      </x:c>
      <x:c r="J99" s="205" t="n">
        <x:f>'Fin Assumptions'!J45</x:f>
        <x:v>0</x:v>
      </x:c>
      <x:c r="K99" s="205" t="n">
        <x:f>'Fin Assumptions'!K45</x:f>
        <x:v>0</x:v>
      </x:c>
      <x:c r="L99" s="205" t="n">
        <x:f>'Fin Assumptions'!L45</x:f>
        <x:v>0</x:v>
      </x:c>
      <x:c r="M99" s="205" t="n">
        <x:f>'Fin Assumptions'!M45</x:f>
        <x:v>0</x:v>
      </x:c>
      <x:c r="N99" s="205" t="n">
        <x:f>'Fin Assumptions'!N45</x:f>
        <x:v>0</x:v>
      </x:c>
      <x:c r="O99" s="205" t="n">
        <x:f>'Fin Assumptions'!O45</x:f>
        <x:v>0</x:v>
      </x:c>
    </x:row>
    <x:row r="100" ht="19" customHeight="1">
      <x:c r="A100" s="117"/>
      <x:c r="B100" s="117"/>
      <x:c r="C100" s="197" t="str">
        <x:v>Share-based compensation</x:v>
      </x:c>
      <x:c r="D100" s="209" t="n">
        <x:v>140.7</x:v>
      </x:c>
      <x:c r="E100" s="209" t="n">
        <x:v>123.1</x:v>
      </x:c>
      <x:c r="F100" s="209" t="n">
        <x:v>126.5</x:v>
      </x:c>
      <x:c r="G100" s="206" t="n">
        <x:f>G25*'Fin Assumptions'!G39</x:f>
        <x:v>140.74114228954494</x:v>
      </x:c>
      <x:c r="H100" s="205" t="n">
        <x:f>H25*'Fin Assumptions'!H39</x:f>
        <x:v>153.36701038613123</x:v>
      </x:c>
      <x:c r="I100" s="205" t="n">
        <x:f>I25*'Fin Assumptions'!I39</x:f>
        <x:v>166.9906273851143</x:v>
      </x:c>
      <x:c r="J100" s="205" t="n">
        <x:f>J25*'Fin Assumptions'!J39</x:f>
        <x:v>180.77352064763355</x:v>
      </x:c>
      <x:c r="K100" s="205" t="n">
        <x:f>K25*'Fin Assumptions'!K39</x:f>
        <x:v>194.1517557944186</x:v>
      </x:c>
      <x:c r="L100" s="205" t="n">
        <x:f>L25*'Fin Assumptions'!L39</x:f>
        <x:v>207.14458267526152</x:v>
      </x:c>
      <x:c r="M100" s="205" t="n">
        <x:f>M25*'Fin Assumptions'!M39</x:f>
        <x:v>219.35199663593974</x:v>
      </x:c>
      <x:c r="N100" s="205" t="n">
        <x:f>N25*'Fin Assumptions'!N39</x:f>
        <x:v>231.35670613922767</x:v>
      </x:c>
      <x:c r="O100" s="205" t="n">
        <x:f>O25*'Fin Assumptions'!O39</x:f>
        <x:v>243.00565480977332</x:v>
      </x:c>
    </x:row>
    <x:row r="101" ht="19" customHeight="1">
      <x:c r="A101" s="117"/>
      <x:c r="B101" s="117"/>
      <x:c r="C101" s="197" t="str">
        <x:v>RSU cash settlement</x:v>
      </x:c>
      <x:c r="D101" s="209" t="n">
        <x:v>143.6</x:v>
      </x:c>
      <x:c r="E101" s="209" t="n">
        <x:v>158.5</x:v>
      </x:c>
      <x:c r="F101" s="209" t="n">
        <x:v>134.4</x:v>
      </x:c>
      <x:c r="G101" s="206" t="n">
        <x:f>G100*'Fin Assumptions'!G40</x:f>
        <x:v>140.74114228954494</x:v>
      </x:c>
      <x:c r="H101" s="205" t="n">
        <x:f>H100*'Fin Assumptions'!H40</x:f>
        <x:v>153.36701038613123</x:v>
      </x:c>
      <x:c r="I101" s="205" t="n">
        <x:f>I100*'Fin Assumptions'!I40</x:f>
        <x:v>166.9906273851143</x:v>
      </x:c>
      <x:c r="J101" s="205" t="n">
        <x:f>J100*'Fin Assumptions'!J40</x:f>
        <x:v>180.77352064763355</x:v>
      </x:c>
      <x:c r="K101" s="205" t="n">
        <x:f>K100*'Fin Assumptions'!K40</x:f>
        <x:v>194.1517557944186</x:v>
      </x:c>
      <x:c r="L101" s="205" t="n">
        <x:f>L100*'Fin Assumptions'!L40</x:f>
        <x:v>207.14458267526152</x:v>
      </x:c>
      <x:c r="M101" s="205" t="n">
        <x:f>M100*'Fin Assumptions'!M40</x:f>
        <x:v>219.35199663593974</x:v>
      </x:c>
      <x:c r="N101" s="205" t="n">
        <x:f>N100*'Fin Assumptions'!N40</x:f>
        <x:v>231.35670613922767</x:v>
      </x:c>
      <x:c r="O101" s="205" t="n">
        <x:f>O100*'Fin Assumptions'!O40</x:f>
        <x:v>243.00565480977332</x:v>
      </x:c>
    </x:row>
    <x:row r="102" ht="19" customHeight="1">
      <x:c r="A102" s="117"/>
      <x:c r="B102" s="117"/>
      <x:c r="C102" s="210" t="str">
        <x:v>Closing other equity</x:v>
      </x:c>
      <x:c r="D102" s="223" t="n">
        <x:v>36776.4</x:v>
      </x:c>
      <x:c r="E102" s="223" t="n">
        <x:v>42119</x:v>
      </x:c>
      <x:c r="F102" s="223" t="n">
        <x:v>47529.4</x:v>
      </x:c>
      <x:c r="G102" s="212" t="n">
        <x:f>SUM(G96:G97)-G98+G99+G100-G101</x:f>
        <x:v>50633.44883340737</x:v>
      </x:c>
      <x:c r="H102" s="211" t="n">
        <x:f>SUM(H96:H97)-H98+H99+H100-H101</x:f>
        <x:v>56571.13416034962</x:v>
      </x:c>
      <x:c r="I102" s="211" t="n">
        <x:f>SUM(I96:I97)-I98+I99+I100-I101</x:f>
        <x:v>63365.45967210114</x:v>
      </x:c>
      <x:c r="J102" s="211" t="n">
        <x:f>SUM(J96:J97)-J98+J99+J100-J101</x:f>
        <x:v>70680.31587438058</x:v>
      </x:c>
      <x:c r="K102" s="211" t="n">
        <x:f>SUM(K96:K97)-K98+K99+K100-K101</x:f>
        <x:v>78454.67752219379</x:v>
      </x:c>
      <x:c r="L102" s="211" t="n">
        <x:f>SUM(L96:L97)-L98+L99+L100-L101</x:f>
        <x:v>86682.73581455645</x:v>
      </x:c>
      <x:c r="M102" s="211" t="n">
        <x:f>SUM(M96:M97)-M98+M99+M100-M101</x:f>
        <x:v>95314.63791125164</x:v>
      </x:c>
      <x:c r="N102" s="211" t="n">
        <x:f>SUM(N96:N97)-N98+N99+N100-N101</x:f>
        <x:v>104395.23389430545</x:v>
      </x:c>
      <x:c r="O102" s="211" t="n">
        <x:f>SUM(O96:O97)-O98+O99+O100-O101</x:f>
        <x:v>113908.52437422721</x:v>
      </x:c>
    </x:row>
    <x:row r="103" ht="19" customHeight="1">
      <x:c r="A103" s="117"/>
      <x:c r="B103" s="117"/>
      <x:c r="C103" s="197" t="str">
        <x:v>Equity share capital</x:v>
      </x:c>
      <x:c r="D103" s="209" t="n">
        <x:v>212.5</x:v>
      </x:c>
      <x:c r="E103" s="209" t="n">
        <x:v>212.5</x:v>
      </x:c>
      <x:c r="F103" s="209" t="n">
        <x:v>212.5</x:v>
      </x:c>
      <x:c r="G103" s="208" t="n">
        <x:f>F103</x:f>
        <x:v>212.5</x:v>
      </x:c>
      <x:c r="H103" s="207" t="n">
        <x:f>G103</x:f>
        <x:v>212.5</x:v>
      </x:c>
      <x:c r="I103" s="207" t="n">
        <x:f>H103</x:f>
        <x:v>212.5</x:v>
      </x:c>
      <x:c r="J103" s="207" t="n">
        <x:f>I103</x:f>
        <x:v>212.5</x:v>
      </x:c>
      <x:c r="K103" s="207" t="n">
        <x:f>J103</x:f>
        <x:v>212.5</x:v>
      </x:c>
      <x:c r="L103" s="207" t="n">
        <x:f>K103</x:f>
        <x:v>212.5</x:v>
      </x:c>
      <x:c r="M103" s="207" t="n">
        <x:f>L103</x:f>
        <x:v>212.5</x:v>
      </x:c>
      <x:c r="N103" s="207" t="n">
        <x:f>M103</x:f>
        <x:v>212.5</x:v>
      </x:c>
      <x:c r="O103" s="207" t="n">
        <x:f>N103</x:f>
        <x:v>212.5</x:v>
      </x:c>
    </x:row>
    <x:row r="104" ht="19" customHeight="1">
      <x:c r="A104" s="117"/>
      <x:c r="B104" s="117"/>
      <x:c r="C104" s="197"/>
      <x:c r="D104" s="217"/>
      <x:c r="E104" s="217"/>
      <x:c r="F104" s="217"/>
      <x:c r="G104" s="218"/>
      <x:c r="H104" s="217"/>
      <x:c r="I104" s="217"/>
      <x:c r="J104" s="217"/>
      <x:c r="K104" s="217"/>
      <x:c r="L104" s="217"/>
      <x:c r="M104" s="217"/>
      <x:c r="N104" s="217"/>
      <x:c r="O104" s="217"/>
    </x:row>
    <x:row r="105" ht="19" customHeight="1">
      <x:c r="A105" s="117"/>
      <x:c r="B105" s="117"/>
      <x:c r="C105" s="197"/>
      <x:c r="D105" s="217"/>
      <x:c r="E105" s="217"/>
      <x:c r="F105" s="217"/>
      <x:c r="G105" s="218"/>
      <x:c r="H105" s="217"/>
      <x:c r="I105" s="217"/>
      <x:c r="J105" s="217"/>
      <x:c r="K105" s="217"/>
      <x:c r="L105" s="217"/>
      <x:c r="M105" s="217"/>
      <x:c r="N105" s="217"/>
      <x:c r="O105" s="217"/>
    </x:row>
    <x:row r="106" ht="19" customHeight="1">
      <x:c r="A106" s="117"/>
      <x:c r="B106" s="117"/>
      <x:c r="C106" s="197"/>
      <x:c r="D106" s="217"/>
      <x:c r="E106" s="217"/>
      <x:c r="F106" s="217"/>
      <x:c r="G106" s="218"/>
      <x:c r="H106" s="217"/>
      <x:c r="I106" s="217"/>
      <x:c r="J106" s="217"/>
      <x:c r="K106" s="217"/>
      <x:c r="L106" s="217"/>
      <x:c r="M106" s="217"/>
      <x:c r="N106" s="217"/>
      <x:c r="O106" s="217"/>
    </x:row>
    <x:row r="107" ht="19" customHeight="1">
      <x:c r="A107" s="117"/>
      <x:c r="B107" s="117"/>
      <x:c r="C107" s="202" t="str">
        <x:v>Cash flow and treasury</x:v>
      </x:c>
      <x:c r="D107" s="203"/>
      <x:c r="E107" s="203"/>
      <x:c r="F107" s="203"/>
      <x:c r="G107" s="204"/>
      <x:c r="H107" s="203"/>
      <x:c r="I107" s="203"/>
      <x:c r="J107" s="203"/>
      <x:c r="K107" s="203"/>
      <x:c r="L107" s="203"/>
      <x:c r="M107" s="203"/>
      <x:c r="N107" s="203"/>
      <x:c r="O107" s="203"/>
    </x:row>
    <x:row r="108" ht="19" customHeight="1">
      <x:c r="A108" s="117"/>
      <x:c r="B108" s="117"/>
      <x:c r="C108" s="197" t="str">
        <x:v>Financial year</x:v>
      </x:c>
      <x:c r="D108" s="217" t="str">
        <x:v>FY24A</x:v>
      </x:c>
      <x:c r="E108" s="217" t="str">
        <x:v>FY25A</x:v>
      </x:c>
      <x:c r="F108" s="217" t="str">
        <x:v>FY26A</x:v>
      </x:c>
      <x:c r="G108" s="218" t="str">
        <x:v>FY27E</x:v>
      </x:c>
      <x:c r="H108" s="217" t="str">
        <x:v>FY28E</x:v>
      </x:c>
      <x:c r="I108" s="217" t="str">
        <x:v>FY29E</x:v>
      </x:c>
      <x:c r="J108" s="217" t="str">
        <x:v>FY30E</x:v>
      </x:c>
      <x:c r="K108" s="217" t="str">
        <x:v>FY31E</x:v>
      </x:c>
      <x:c r="L108" s="217" t="str">
        <x:v>FY32E</x:v>
      </x:c>
      <x:c r="M108" s="217" t="str">
        <x:v>FY33E</x:v>
      </x:c>
      <x:c r="N108" s="217" t="str">
        <x:v>FY34E</x:v>
      </x:c>
      <x:c r="O108" s="217" t="str">
        <x:v>FY35E</x:v>
      </x:c>
    </x:row>
    <x:row r="109" ht="19" customHeight="1">
      <x:c r="A109" s="117"/>
      <x:c r="B109" s="117"/>
      <x:c r="C109" s="197" t="str">
        <x:v>Profit before tax</x:v>
      </x:c>
      <x:c r="D109" s="209" t="n">
        <x:v>16177.5</x:v>
      </x:c>
      <x:c r="E109" s="209" t="n">
        <x:v>18869.5</x:v>
      </x:c>
      <x:c r="F109" s="209" t="n">
        <x:v>20792.7</x:v>
      </x:c>
      <x:c r="G109" s="208" t="n">
        <x:f>G32</x:f>
        <x:v>22771.9342181042</x:v>
      </x:c>
      <x:c r="H109" s="207" t="n">
        <x:f>H32</x:f>
        <x:v>24333.91795755119</x:v>
      </x:c>
      <x:c r="I109" s="207" t="n">
        <x:f>I32</x:f>
        <x:v>26600.102222703626</x:v>
      </x:c>
      <x:c r="J109" s="207" t="n">
        <x:f>J32</x:f>
        <x:v>28927.37254766646</x:v>
      </x:c>
      <x:c r="K109" s="207" t="n">
        <x:f>K32</x:f>
        <x:v>31217.072991520443</x:v>
      </x:c>
      <x:c r="L109" s="207" t="n">
        <x:f>L32</x:f>
        <x:v>33471.96045762673</x:v>
      </x:c>
      <x:c r="M109" s="207" t="n">
        <x:f>M32</x:f>
        <x:v>35635.161117484284</x:v>
      </x:c>
      <x:c r="N109" s="207" t="n">
        <x:f>N32</x:f>
        <x:v>37792.2832410631</x:v>
      </x:c>
      <x:c r="O109" s="207" t="n">
        <x:f>O32</x:f>
        <x:v>39923.64783563913</x:v>
      </x:c>
    </x:row>
    <x:row r="110" ht="19" customHeight="1">
      <x:c r="A110" s="117"/>
      <x:c r="B110" s="117"/>
      <x:c r="C110" s="197" t="str">
        <x:v>Depreciation and amortisation</x:v>
      </x:c>
      <x:c r="D110" s="209" t="n">
        <x:v>711.7</x:v>
      </x:c>
      <x:c r="E110" s="209" t="n">
        <x:v>718</x:v>
      </x:c>
      <x:c r="F110" s="209" t="n">
        <x:v>759.6</x:v>
      </x:c>
      <x:c r="G110" s="208" t="n">
        <x:f>G69</x:f>
        <x:v>809.8302443205</x:v>
      </x:c>
      <x:c r="H110" s="207" t="n">
        <x:f>H69</x:f>
        <x:v>863.1629631848232</x:v>
      </x:c>
      <x:c r="I110" s="207" t="n">
        <x:f>I69</x:f>
        <x:v>925.7229866622424</x:v>
      </x:c>
      <x:c r="J110" s="207" t="n">
        <x:f>J69</x:f>
        <x:v>996.8587981284738</x:v>
      </x:c>
      <x:c r="K110" s="207" t="n">
        <x:f>K69</x:f>
        <x:v>1074.6353110507848</x:v>
      </x:c>
      <x:c r="L110" s="207" t="n">
        <x:f>L69</x:f>
        <x:v>1156.8601169090957</x:v>
      </x:c>
      <x:c r="M110" s="207" t="n">
        <x:f>M69</x:f>
        <x:v>1241.7213337733183</x:v>
      </x:c>
      <x:c r="N110" s="207" t="n">
        <x:f>N69</x:f>
        <x:v>1327.5375777022628</x:v>
      </x:c>
      <x:c r="O110" s="207" t="n">
        <x:f>O69</x:f>
        <x:v>1413.6969104793784</x:v>
      </x:c>
    </x:row>
    <x:row r="111" ht="19" customHeight="1">
      <x:c r="A111" s="117"/>
      <x:c r="B111" s="117"/>
      <x:c r="C111" s="197" t="str">
        <x:v>Finance costs added back</x:v>
      </x:c>
      <x:c r="D111" s="209" t="n">
        <x:v>124.5</x:v>
      </x:c>
      <x:c r="E111" s="209" t="n">
        <x:v>114.3</x:v>
      </x:c>
      <x:c r="F111" s="209" t="n">
        <x:v>249.9</x:v>
      </x:c>
      <x:c r="G111" s="208" t="n">
        <x:f>G79</x:f>
        <x:v>219.38035925530002</x:v>
      </x:c>
      <x:c r="H111" s="207" t="n">
        <x:f>H79</x:f>
        <x:v>234.56958504482128</x:v>
      </x:c>
      <x:c r="I111" s="207" t="n">
        <x:f>I79</x:f>
        <x:v>252.07352132304095</x:v>
      </x:c>
      <x:c r="J111" s="207" t="n">
        <x:f>J79</x:f>
        <x:v>271.52870672112977</x:v>
      </x:c>
      <x:c r="K111" s="207" t="n">
        <x:f>K79</x:f>
        <x:v>292.3746285240212</x:v>
      </x:c>
      <x:c r="L111" s="207" t="n">
        <x:f>L79</x:f>
        <x:v>314.1315003539819</x:v>
      </x:c>
      <x:c r="M111" s="207" t="n">
        <x:f>M79</x:f>
        <x:v>336.2946933916661</x:v>
      </x:c>
      <x:c r="N111" s="207" t="n">
        <x:f>N79</x:f>
        <x:v>358.63235983438113</x:v>
      </x:c>
      <x:c r="O111" s="207" t="n">
        <x:f>O79</x:f>
        <x:v>380.9669197141079</x:v>
      </x:c>
    </x:row>
    <x:row r="112" ht="19" customHeight="1">
      <x:c r="A112" s="117"/>
      <x:c r="B112" s="117"/>
      <x:c r="C112" s="197" t="str">
        <x:v>Interest income removed</x:v>
      </x:c>
      <x:c r="D112" s="209" t="n">
        <x:v>-2240</x:v>
      </x:c>
      <x:c r="E112" s="209" t="n">
        <x:v>-2581</x:v>
      </x:c>
      <x:c r="F112" s="209" t="n">
        <x:v>-2582</x:v>
      </x:c>
      <x:c r="G112" s="208" t="n">
        <x:f>-G28</x:f>
        <x:v>-2646.198</x:v>
      </x:c>
      <x:c r="H112" s="207" t="n">
        <x:f>-H28</x:f>
        <x:v>-2796.909960459247</x:v>
      </x:c>
      <x:c r="I112" s="207" t="n">
        <x:f>-I28</x:f>
        <x:v>-3132.510424258582</x:v>
      </x:c>
      <x:c r="J112" s="207" t="n">
        <x:f>-J28</x:f>
        <x:v>-3516.217124596189</x:v>
      </x:c>
      <x:c r="K112" s="207" t="n">
        <x:f>-K28</x:f>
        <x:v>-3930.1070352288075</x:v>
      </x:c>
      <x:c r="L112" s="207" t="n">
        <x:f>-L28</x:f>
        <x:v>-4371.423866712308</x:v>
      </x:c>
      <x:c r="M112" s="207" t="n">
        <x:f>-M28</x:f>
        <x:v>-4840.012150088425</x:v>
      </x:c>
      <x:c r="N112" s="207" t="n">
        <x:f>-N28</x:f>
        <x:v>-5333.567627937809</x:v>
      </x:c>
      <x:c r="O112" s="207" t="n">
        <x:f>-O28</x:f>
        <x:v>-5854.210684683229</x:v>
      </x:c>
    </x:row>
    <x:row r="113" ht="19" customHeight="1">
      <x:c r="A113" s="117"/>
      <x:c r="B113" s="117"/>
      <x:c r="C113" s="197" t="str">
        <x:v>Other non-cash / non-operating adjustments</x:v>
      </x:c>
      <x:c r="D113" s="209" t="n">
        <x:v>105.3</x:v>
      </x:c>
      <x:c r="E113" s="209" t="n">
        <x:v>35.2</x:v>
      </x:c>
      <x:c r="F113" s="209" t="n">
        <x:v>74</x:v>
      </x:c>
      <x:c r="G113" s="208" t="n">
        <x:f>G100-G101</x:f>
        <x:v>0</x:v>
      </x:c>
      <x:c r="H113" s="207" t="n">
        <x:f>H100-H101</x:f>
        <x:v>0</x:v>
      </x:c>
      <x:c r="I113" s="207" t="n">
        <x:f>I100-I101</x:f>
        <x:v>0</x:v>
      </x:c>
      <x:c r="J113" s="207" t="n">
        <x:f>J100-J101</x:f>
        <x:v>0</x:v>
      </x:c>
      <x:c r="K113" s="207" t="n">
        <x:f>K100-K101</x:f>
        <x:v>0</x:v>
      </x:c>
      <x:c r="L113" s="207" t="n">
        <x:f>L100-L101</x:f>
        <x:v>0</x:v>
      </x:c>
      <x:c r="M113" s="207" t="n">
        <x:f>M100-M101</x:f>
        <x:v>0</x:v>
      </x:c>
      <x:c r="N113" s="207" t="n">
        <x:f>N100-N101</x:f>
        <x:v>0</x:v>
      </x:c>
      <x:c r="O113" s="207" t="n">
        <x:f>O100-O101</x:f>
        <x:v>0</x:v>
      </x:c>
    </x:row>
    <x:row r="114" ht="19" customHeight="1">
      <x:c r="A114" s="117"/>
      <x:c r="B114" s="117"/>
      <x:c r="C114" s="210" t="str">
        <x:v>Operating profit before working capital</x:v>
      </x:c>
      <x:c r="D114" s="223" t="n">
        <x:v>14879</x:v>
      </x:c>
      <x:c r="E114" s="223" t="n">
        <x:v>17156</x:v>
      </x:c>
      <x:c r="F114" s="223" t="n">
        <x:v>19294.2</x:v>
      </x:c>
      <x:c r="G114" s="212" t="n">
        <x:f>SUM(G109:G113)</x:f>
        <x:v>21154.94682168</x:v>
      </x:c>
      <x:c r="H114" s="211" t="n">
        <x:f>SUM(H109:H113)</x:f>
        <x:v>22634.740545321587</x:v>
      </x:c>
      <x:c r="I114" s="211" t="n">
        <x:f>SUM(I109:I113)</x:f>
        <x:v>24645.38830643033</x:v>
      </x:c>
      <x:c r="J114" s="211" t="n">
        <x:f>SUM(J109:J113)</x:f>
        <x:v>26679.542927919872</x:v>
      </x:c>
      <x:c r="K114" s="211" t="n">
        <x:f>SUM(K109:K113)</x:f>
        <x:v>28653.97589586644</x:v>
      </x:c>
      <x:c r="L114" s="211" t="n">
        <x:f>SUM(L109:L113)</x:f>
        <x:v>30571.5282081775</x:v>
      </x:c>
      <x:c r="M114" s="211" t="n">
        <x:f>SUM(M109:M113)</x:f>
        <x:v>32373.164994560844</x:v>
      </x:c>
      <x:c r="N114" s="211" t="n">
        <x:f>SUM(N109:N113)</x:f>
        <x:v>34144.88555066194</x:v>
      </x:c>
      <x:c r="O114" s="211" t="n">
        <x:f>SUM(O109:O113)</x:f>
        <x:v>35864.10098114938</x:v>
      </x:c>
    </x:row>
    <x:row r="115" ht="19" customHeight="1">
      <x:c r="A115" s="117"/>
      <x:c r="B115" s="117"/>
      <x:c r="C115" s="197"/>
      <x:c r="D115" s="217"/>
      <x:c r="E115" s="217"/>
      <x:c r="F115" s="217"/>
      <x:c r="G115" s="218"/>
      <x:c r="H115" s="217"/>
      <x:c r="I115" s="217"/>
      <x:c r="J115" s="217"/>
      <x:c r="K115" s="217"/>
      <x:c r="L115" s="217"/>
      <x:c r="M115" s="217"/>
      <x:c r="N115" s="217"/>
      <x:c r="O115" s="217"/>
    </x:row>
    <x:row r="116" ht="19" customHeight="1">
      <x:c r="A116" s="117"/>
      <x:c r="B116" s="117"/>
      <x:c r="C116" s="197" t="str">
        <x:v>Change in trade receivables</x:v>
      </x:c>
      <x:c r="D116" s="217"/>
      <x:c r="E116" s="217"/>
      <x:c r="F116" s="217"/>
      <x:c r="G116" s="208" t="n">
        <x:f>F84-G84</x:f>
        <x:v>-570.9774419178075</x:v>
      </x:c>
      <x:c r="H116" s="207" t="n">
        <x:f>G84-H84</x:f>
        <x:v>-371.5010724499589</x:v>
      </x:c>
      <x:c r="I116" s="207" t="n">
        <x:f>H84-I84</x:f>
        <x:v>-405.0458825762962</x:v>
      </x:c>
      <x:c r="J116" s="207" t="n">
        <x:f>I84-J84</x:f>
        <x:v>-409.7813500180382</x:v>
      </x:c>
      <x:c r="K116" s="207" t="n">
        <x:f>J84-K84</x:f>
        <x:v>-397.750396443711</x:v>
      </x:c>
      <x:c r="L116" s="207" t="n">
        <x:f>K84-L84</x:f>
        <x:v>-386.29176315694076</x:v>
      </x:c>
      <x:c r="M116" s="207" t="n">
        <x:f>L84-M84</x:f>
        <x:v>-362.9405290860841</x:v>
      </x:c>
      <x:c r="N116" s="207" t="n">
        <x:f>M84-N84</x:f>
        <x:v>-356.91389123712725</x:v>
      </x:c>
      <x:c r="O116" s="207" t="n">
        <x:f>N84-O84</x:f>
        <x:v>-346.3367104124645</x:v>
      </x:c>
    </x:row>
    <x:row r="117" ht="19" customHeight="1">
      <x:c r="A117" s="117"/>
      <x:c r="B117" s="117"/>
      <x:c r="C117" s="197" t="str">
        <x:v>Change in inventories</x:v>
      </x:c>
      <x:c r="D117" s="217"/>
      <x:c r="E117" s="217"/>
      <x:c r="F117" s="217"/>
      <x:c r="G117" s="208" t="n">
        <x:f>F85-G85</x:f>
        <x:v>-959.0837044146538</x:v>
      </x:c>
      <x:c r="H117" s="207" t="n">
        <x:f>G85-H85</x:f>
        <x:v>-1033.879369963097</x:v>
      </x:c>
      <x:c r="I117" s="207" t="n">
        <x:f>H85-I85</x:f>
        <x:v>-1018.4878717380943</x:v>
      </x:c>
      <x:c r="J117" s="207" t="n">
        <x:f>I85-J85</x:f>
        <x:v>-1030.3952046203594</x:v>
      </x:c>
      <x:c r="K117" s="207" t="n">
        <x:f>J85-K85</x:f>
        <x:v>-1000.1433718577082</x:v>
      </x:c>
      <x:c r="L117" s="207" t="n">
        <x:f>K85-L85</x:f>
        <x:v>-971.3306384581283</x:v>
      </x:c>
      <x:c r="M117" s="207" t="n">
        <x:f>L85-M85</x:f>
        <x:v>-912.6139603869615</x:v>
      </x:c>
      <x:c r="N117" s="207" t="n">
        <x:f>M85-N85</x:f>
        <x:v>-897.4599795157519</x:v>
      </x:c>
      <x:c r="O117" s="207" t="n">
        <x:f>N85-O85</x:f>
        <x:v>-870.8636583321459</x:v>
      </x:c>
    </x:row>
    <x:row r="118" ht="19" customHeight="1">
      <x:c r="A118" s="117"/>
      <x:c r="B118" s="117"/>
      <x:c r="C118" s="197" t="str">
        <x:v>Change in other assets</x:v>
      </x:c>
      <x:c r="D118" s="217"/>
      <x:c r="E118" s="217"/>
      <x:c r="F118" s="217"/>
      <x:c r="G118" s="208" t="n">
        <x:f>SUM(F87:F88)-SUM(G87:G88)</x:f>
        <x:v>-434.1080521599997</x:v>
      </x:c>
      <x:c r="H118" s="207" t="n">
        <x:f>SUM(G87:G88)-SUM(H87:H88)</x:f>
        <x:v>-433.9132526215526</x:v>
      </x:c>
      <x:c r="I118" s="207" t="n">
        <x:f>SUM(H87:H88)-SUM(I87:I88)</x:f>
        <x:v>-473.09359084911375</x:v>
      </x:c>
      <x:c r="J118" s="207" t="n">
        <x:f>SUM(I87:I88)-SUM(J87:J88)</x:f>
        <x:v>-478.62461682106914</x:v>
      </x:c>
      <x:c r="K118" s="207" t="n">
        <x:f>SUM(J87:J88)-SUM(K87:K88)</x:f>
        <x:v>-464.5724630462528</x:v>
      </x:c>
      <x:c r="L118" s="207" t="n">
        <x:f>SUM(K87:K88)-SUM(L87:L88)</x:f>
        <x:v>-451.1887793673077</x:v>
      </x:c>
      <x:c r="M118" s="207" t="n">
        <x:f>SUM(L87:L88)-SUM(M87:M88)</x:f>
        <x:v>-423.9145379725478</x:v>
      </x:c>
      <x:c r="N118" s="207" t="n">
        <x:f>SUM(M87:M88)-SUM(N87:N88)</x:f>
        <x:v>-416.8754249649637</x:v>
      </x:c>
      <x:c r="O118" s="207" t="n">
        <x:f>SUM(N87:N88)-SUM(O87:O88)</x:f>
        <x:v>-404.52127776175985</x:v>
      </x:c>
    </x:row>
    <x:row r="119" ht="19" customHeight="1">
      <x:c r="A119" s="117"/>
      <x:c r="B119" s="117"/>
      <x:c r="C119" s="197" t="str">
        <x:v>Change in trade payables</x:v>
      </x:c>
      <x:c r="D119" s="217"/>
      <x:c r="E119" s="217"/>
      <x:c r="F119" s="217"/>
      <x:c r="G119" s="208" t="n">
        <x:f>G86-F86</x:f>
        <x:v>1027.0140827786981</x:v>
      </x:c>
      <x:c r="H119" s="207" t="n">
        <x:f>H86-G86</x:f>
        <x:v>1198.860120489122</x:v>
      </x:c>
      <x:c r="I119" s="207" t="n">
        <x:f>I86-H86</x:f>
        <x:v>1181.012532121833</x:v>
      </x:c>
      <x:c r="J119" s="207" t="n">
        <x:f>J86-I86</x:f>
        <x:v>1194.8199713150952</x:v>
      </x:c>
      <x:c r="K119" s="207" t="n">
        <x:f>K86-J86</x:f>
        <x:v>1159.7407184307467</x:v>
      </x:c>
      <x:c r="L119" s="207" t="n">
        <x:f>L86-K86</x:f>
        <x:v>1126.3302084248498</x:v>
      </x:c>
      <x:c r="M119" s="207" t="n">
        <x:f>M86-L86</x:f>
        <x:v>1058.243847682752</x:v>
      </x:c>
      <x:c r="N119" s="207" t="n">
        <x:f>N86-M86</x:f>
        <x:v>1040.6716783746524</x:v>
      </x:c>
      <x:c r="O119" s="207" t="n">
        <x:f>O86-N86</x:f>
        <x:v>1009.8312633851456</x:v>
      </x:c>
    </x:row>
    <x:row r="120" ht="19" customHeight="1">
      <x:c r="A120" s="117"/>
      <x:c r="B120" s="117"/>
      <x:c r="C120" s="197" t="str">
        <x:v>Change in other liabilities and provisions</x:v>
      </x:c>
      <x:c r="D120" s="217"/>
      <x:c r="E120" s="217"/>
      <x:c r="F120" s="217"/>
      <x:c r="G120" s="208" t="n">
        <x:f>SUM(G89:G90)-SUM(F89:F90)-G78</x:f>
        <x:v>411.3103508560007</x:v>
      </x:c>
      <x:c r="H120" s="207" t="n">
        <x:f>SUM(H89:H90)-SUM(G89:G90)-H78</x:f>
        <x:v>377.20378331701306</x:v>
      </x:c>
      <x:c r="I120" s="207" t="n">
        <x:f>SUM(I89:I90)-SUM(H89:H90)-I78</x:f>
        <x:v>411.3366763455585</x:v>
      </x:c>
      <x:c r="J120" s="207" t="n">
        <x:f>SUM(J89:J90)-SUM(I89:I90)-J78</x:f>
        <x:v>412.29417425400504</x:v>
      </x:c>
      <x:c r="K120" s="207" t="n">
        <x:f>SUM(K89:K90)-SUM(J89:J90)-K78</x:f>
        <x:v>394.10621854086173</x:v>
      </x:c>
      <x:c r="L120" s="207" t="n">
        <x:f>SUM(L89:L90)-SUM(K89:K90)-L78</x:f>
        <x:v>376.70176011283047</x:v>
      </x:c>
      <x:c r="M120" s="207" t="n">
        <x:f>SUM(M89:M90)-SUM(L89:L90)-M78</x:f>
        <x:v>345.87947994637307</x:v>
      </x:c>
      <x:c r="N120" s="207" t="n">
        <x:f>SUM(N89:N90)-SUM(M89:M90)-N78</x:f>
        <x:v>335.0421459704844</x:v>
      </x:c>
      <x:c r="O120" s="207" t="n">
        <x:f>SUM(O89:O90)-SUM(N89:N90)-O78</x:f>
        <x:v>319.08864533831326</x:v>
      </x:c>
    </x:row>
    <x:row r="121" ht="19" customHeight="1">
      <x:c r="A121" s="117"/>
      <x:c r="B121" s="117"/>
      <x:c r="C121" s="210" t="str">
        <x:v>Change in working capital</x:v>
      </x:c>
      <x:c r="D121" s="223" t="n">
        <x:v>1293.8</x:v>
      </x:c>
      <x:c r="E121" s="223" t="n">
        <x:v>-2567</x:v>
      </x:c>
      <x:c r="F121" s="223" t="n">
        <x:v>-704.9</x:v>
      </x:c>
      <x:c r="G121" s="212" t="n">
        <x:f>SUM(G116:G120)</x:f>
        <x:v>-525.8447648577621</x:v>
      </x:c>
      <x:c r="H121" s="211" t="n">
        <x:f>SUM(H116:H120)</x:f>
        <x:v>-263.22979122847335</x:v>
      </x:c>
      <x:c r="I121" s="211" t="n">
        <x:f>SUM(I116:I120)</x:f>
        <x:v>-304.2781366961129</x:v>
      </x:c>
      <x:c r="J121" s="211" t="n">
        <x:f>SUM(J116:J120)</x:f>
        <x:v>-311.6870258903665</x:v>
      </x:c>
      <x:c r="K121" s="211" t="n">
        <x:f>SUM(K116:K120)</x:f>
        <x:v>-308.6192943760635</x:v>
      </x:c>
      <x:c r="L121" s="211" t="n">
        <x:f>SUM(L116:L120)</x:f>
        <x:v>-305.77921244469644</x:v>
      </x:c>
      <x:c r="M121" s="211" t="n">
        <x:f>SUM(M116:M120)</x:f>
        <x:v>-295.34569981646837</x:v>
      </x:c>
      <x:c r="N121" s="211" t="n">
        <x:f>SUM(N116:N120)</x:f>
        <x:v>-295.53547137270607</x:v>
      </x:c>
      <x:c r="O121" s="211" t="n">
        <x:f>SUM(O116:O120)</x:f>
        <x:v>-292.8017377829114</x:v>
      </x:c>
    </x:row>
    <x:row r="122" ht="19" customHeight="1">
      <x:c r="A122" s="117"/>
      <x:c r="B122" s="117"/>
      <x:c r="C122" s="210" t="str">
        <x:v>Cash generated from operations</x:v>
      </x:c>
      <x:c r="D122" s="211" t="n">
        <x:f>D114+D121</x:f>
        <x:v>16172.8</x:v>
      </x:c>
      <x:c r="E122" s="211" t="n">
        <x:f>E114+E121</x:f>
        <x:v>14589</x:v>
      </x:c>
      <x:c r="F122" s="211" t="n">
        <x:f>F114+F121</x:f>
        <x:v>18589.3</x:v>
      </x:c>
      <x:c r="G122" s="212" t="n">
        <x:f>SUM(G114,G121)</x:f>
        <x:v>20629.102056822238</x:v>
      </x:c>
      <x:c r="H122" s="211" t="n">
        <x:f>SUM(H114,H121)</x:f>
        <x:v>22371.510754093113</x:v>
      </x:c>
      <x:c r="I122" s="211" t="n">
        <x:f>SUM(I114,I121)</x:f>
        <x:v>24341.110169734216</x:v>
      </x:c>
      <x:c r="J122" s="211" t="n">
        <x:f>SUM(J114,J121)</x:f>
        <x:v>26367.855902029507</x:v>
      </x:c>
      <x:c r="K122" s="211" t="n">
        <x:f>SUM(K114,K121)</x:f>
        <x:v>28345.356601490374</x:v>
      </x:c>
      <x:c r="L122" s="211" t="n">
        <x:f>SUM(L114,L121)</x:f>
        <x:v>30265.748995732803</x:v>
      </x:c>
      <x:c r="M122" s="211" t="n">
        <x:f>SUM(M114,M121)</x:f>
        <x:v>32077.819294744375</x:v>
      </x:c>
      <x:c r="N122" s="211" t="n">
        <x:f>SUM(N114,N121)</x:f>
        <x:v>33849.35007928923</x:v>
      </x:c>
      <x:c r="O122" s="211" t="n">
        <x:f>SUM(O114,O121)</x:f>
        <x:v>35571.29924336647</x:v>
      </x:c>
    </x:row>
    <x:row r="123" ht="19" customHeight="1">
      <x:c r="A123" s="117"/>
      <x:c r="B123" s="117"/>
      <x:c r="C123" s="197" t="str">
        <x:v>Income tax paid</x:v>
      </x:c>
      <x:c r="D123" s="209" t="n">
        <x:v>-4044.7</x:v>
      </x:c>
      <x:c r="E123" s="209" t="n">
        <x:v>-4470.6</x:v>
      </x:c>
      <x:c r="F123" s="209" t="n">
        <x:v>-5396.9</x:v>
      </x:c>
      <x:c r="G123" s="208" t="n">
        <x:f>-G33</x:f>
        <x:v>-5728.343272696824</x:v>
      </x:c>
      <x:c r="H123" s="207" t="n">
        <x:f>-H33</x:f>
        <x:v>-6124.847149915635</x:v>
      </x:c>
      <x:c r="I123" s="207" t="n">
        <x:f>-I33</x:f>
        <x:v>-6695.245729454502</x:v>
      </x:c>
      <x:c r="J123" s="207" t="n">
        <x:f>-J33</x:f>
        <x:v>-7281.019670247647</x:v>
      </x:c>
      <x:c r="K123" s="207" t="n">
        <x:f>-K33</x:f>
        <x:v>-7857.3372719656945</x:v>
      </x:c>
      <x:c r="L123" s="207" t="n">
        <x:f>-L33</x:f>
        <x:v>-8424.892447184648</x:v>
      </x:c>
      <x:c r="M123" s="207" t="n">
        <x:f>-M33</x:f>
        <x:v>-8969.370053270794</x:v>
      </x:c>
      <x:c r="N123" s="207" t="n">
        <x:f>-N33</x:f>
        <x:v>-9512.317691775583</x:v>
      </x:c>
      <x:c r="O123" s="207" t="n">
        <x:f>-O33</x:f>
        <x:v>-10048.782160230368</x:v>
      </x:c>
    </x:row>
    <x:row r="124" ht="19" customHeight="1">
      <x:c r="A124" s="117"/>
      <x:c r="B124" s="117"/>
      <x:c r="C124" s="210" t="str">
        <x:v>Cash from operating activities</x:v>
      </x:c>
      <x:c r="D124" s="211" t="n">
        <x:f>SUM(D122:D123)</x:f>
        <x:v>12128.099999999999</x:v>
      </x:c>
      <x:c r="E124" s="211" t="n">
        <x:f>SUM(E122:E123)</x:f>
        <x:v>10118.4</x:v>
      </x:c>
      <x:c r="F124" s="211" t="n">
        <x:f>SUM(F122:F123)</x:f>
        <x:v>13192.4</x:v>
      </x:c>
      <x:c r="G124" s="212" t="n">
        <x:f>SUM(G122:G123)</x:f>
        <x:v>14900.758784125414</x:v>
      </x:c>
      <x:c r="H124" s="211" t="n">
        <x:f>SUM(H122:H123)</x:f>
        <x:v>16246.663604177478</x:v>
      </x:c>
      <x:c r="I124" s="211" t="n">
        <x:f>SUM(I122:I123)</x:f>
        <x:v>17645.864440279714</x:v>
      </x:c>
      <x:c r="J124" s="211" t="n">
        <x:f>SUM(J122:J123)</x:f>
        <x:v>19086.83623178186</x:v>
      </x:c>
      <x:c r="K124" s="211" t="n">
        <x:f>SUM(K122:K123)</x:f>
        <x:v>20488.01932952468</x:v>
      </x:c>
      <x:c r="L124" s="211" t="n">
        <x:f>SUM(L122:L123)</x:f>
        <x:v>21840.856548548156</x:v>
      </x:c>
      <x:c r="M124" s="211" t="n">
        <x:f>SUM(M122:M123)</x:f>
        <x:v>23108.44924147358</x:v>
      </x:c>
      <x:c r="N124" s="211" t="n">
        <x:f>SUM(N122:N123)</x:f>
        <x:v>24337.032387513646</x:v>
      </x:c>
      <x:c r="O124" s="211" t="n">
        <x:f>SUM(O122:O123)</x:f>
        <x:v>25522.517083136103</x:v>
      </x:c>
    </x:row>
    <x:row r="125" ht="19" customHeight="1">
      <x:c r="A125" s="117"/>
      <x:c r="B125" s="117"/>
      <x:c r="C125" s="197"/>
      <x:c r="D125" s="217"/>
      <x:c r="E125" s="217"/>
      <x:c r="F125" s="217"/>
      <x:c r="G125" s="218"/>
      <x:c r="H125" s="217"/>
      <x:c r="I125" s="217"/>
      <x:c r="J125" s="217"/>
      <x:c r="K125" s="217"/>
      <x:c r="L125" s="217"/>
      <x:c r="M125" s="217"/>
      <x:c r="N125" s="217"/>
      <x:c r="O125" s="217"/>
    </x:row>
    <x:row r="126" ht="19" customHeight="1">
      <x:c r="A126" s="117"/>
      <x:c r="B126" s="117"/>
      <x:c r="C126" s="197" t="str">
        <x:v>Cash capex</x:v>
      </x:c>
      <x:c r="D126" s="209" t="n">
        <x:v>-483.3</x:v>
      </x:c>
      <x:c r="E126" s="209" t="n">
        <x:v>-526</x:v>
      </x:c>
      <x:c r="F126" s="209" t="n">
        <x:v>-409.2</x:v>
      </x:c>
      <x:c r="G126" s="208" t="n">
        <x:f>-G58</x:f>
        <x:v>-535.0524432049999</x:v>
      </x:c>
      <x:c r="H126" s="207" t="n">
        <x:f>-H58</x:f>
        <x:v>-582.5117052104822</x:v>
      </x:c>
      <x:c r="I126" s="207" t="n">
        <x:f>-I58</x:f>
        <x:v>-634.256316709604</x:v>
      </x:c>
      <x:c r="J126" s="207" t="n">
        <x:f>-J58</x:f>
        <x:v>-686.6058841744085</x:v>
      </x:c>
      <x:c r="K126" s="207" t="n">
        <x:f>-K58</x:f>
        <x:v>-737.4184973200923</x:v>
      </x:c>
      <x:c r="L126" s="207" t="n">
        <x:f>-L58</x:f>
        <x:v>-786.7672700633916</x:v>
      </x:c>
      <x:c r="M126" s="207" t="n">
        <x:f>-M58</x:f>
        <x:v>-833.1329226541391</x:v>
      </x:c>
      <x:c r="N126" s="207" t="n">
        <x:f>-N58</x:f>
        <x:v>-878.728672259682</x:v>
      </x:c>
      <x:c r="O126" s="207" t="n">
        <x:f>-O58</x:f>
        <x:v>-922.9731870148743</x:v>
      </x:c>
    </x:row>
    <x:row r="127" ht="19" customHeight="1">
      <x:c r="A127" s="117"/>
      <x:c r="B127" s="117"/>
      <x:c r="C127" s="197" t="str">
        <x:v>Net deposit redemptions / (placements)</x:v>
      </x:c>
      <x:c r="D127" s="209" t="n">
        <x:v>-5115.3</x:v>
      </x:c>
      <x:c r="E127" s="209" t="n">
        <x:v>1088.3</x:v>
      </x:c>
      <x:c r="F127" s="209" t="n">
        <x:v>-7436</x:v>
      </x:c>
      <x:c r="G127" s="208" t="n">
        <x:f>G140-G141</x:f>
        <x:v>-2349.0022087541147</x:v>
      </x:c>
      <x:c r="H127" s="207" t="n">
        <x:f>H140-H141</x:f>
        <x:v>-5186.547388989551</x:v>
      </x:c>
      <x:c r="I127" s="207" t="n">
        <x:f>I140-I141</x:f>
        <x:v>-5951.586430872405</x:v>
      </x:c>
      <x:c r="J127" s="207" t="n">
        <x:f>J140-J141</x:f>
        <x:v>-6449.454598940552</x:v>
      </x:c>
      <x:c r="K127" s="207" t="n">
        <x:f>K140-K141</x:f>
        <x:v>-6919.74384061915</x:v>
      </x:c>
      <x:c r="L127" s="207" t="n">
        <x:f>L140-L141</x:f>
        <x:v>-7386.815242278433</x:v>
      </x:c>
      <x:c r="M127" s="207" t="n">
        <x:f>M140-M141</x:f>
        <x:v>-7828.504751473811</x:v>
      </x:c>
      <x:c r="N127" s="207" t="n">
        <x:f>N140-N141</x:f>
        <x:v>-8286.56356818568</x:v>
      </x:c>
      <x:c r="O127" s="207" t="n">
        <x:f>O140-O141</x:f>
        <x:v>-8737.845556644184</x:v>
      </x:c>
    </x:row>
    <x:row r="128" ht="19" customHeight="1">
      <x:c r="A128" s="117"/>
      <x:c r="B128" s="117"/>
      <x:c r="C128" s="197" t="str">
        <x:v>Asset-disposal proceeds</x:v>
      </x:c>
      <x:c r="D128" s="209" t="n">
        <x:v>2</x:v>
      </x:c>
      <x:c r="E128" s="209" t="n">
        <x:v>5.2</x:v>
      </x:c>
      <x:c r="F128" s="209" t="n">
        <x:v>286.1</x:v>
      </x:c>
      <x:c r="G128" s="208" t="n">
        <x:f>0</x:f>
        <x:v>0</x:v>
      </x:c>
      <x:c r="H128" s="207" t="n">
        <x:f>0</x:f>
        <x:v>0</x:v>
      </x:c>
      <x:c r="I128" s="207" t="n">
        <x:f>0</x:f>
        <x:v>0</x:v>
      </x:c>
      <x:c r="J128" s="207" t="n">
        <x:f>0</x:f>
        <x:v>0</x:v>
      </x:c>
      <x:c r="K128" s="207" t="n">
        <x:f>0</x:f>
        <x:v>0</x:v>
      </x:c>
      <x:c r="L128" s="207" t="n">
        <x:f>0</x:f>
        <x:v>0</x:v>
      </x:c>
      <x:c r="M128" s="207" t="n">
        <x:f>0</x:f>
        <x:v>0</x:v>
      </x:c>
      <x:c r="N128" s="207" t="n">
        <x:f>0</x:f>
        <x:v>0</x:v>
      </x:c>
      <x:c r="O128" s="207" t="n">
        <x:f>0</x:f>
        <x:v>0</x:v>
      </x:c>
    </x:row>
    <x:row r="129" ht="19" customHeight="1">
      <x:c r="A129" s="117"/>
      <x:c r="B129" s="117"/>
      <x:c r="C129" s="197" t="str">
        <x:v>Interest received</x:v>
      </x:c>
      <x:c r="D129" s="209" t="n">
        <x:v>1436.3</x:v>
      </x:c>
      <x:c r="E129" s="209" t="n">
        <x:v>1254.3</x:v>
      </x:c>
      <x:c r="F129" s="209" t="n">
        <x:v>3845.3</x:v>
      </x:c>
      <x:c r="G129" s="208" t="n">
        <x:f>G28</x:f>
        <x:v>2646.198</x:v>
      </x:c>
      <x:c r="H129" s="207" t="n">
        <x:f>H28</x:f>
        <x:v>2796.909960459247</x:v>
      </x:c>
      <x:c r="I129" s="207" t="n">
        <x:f>I28</x:f>
        <x:v>3132.510424258582</x:v>
      </x:c>
      <x:c r="J129" s="207" t="n">
        <x:f>J28</x:f>
        <x:v>3516.217124596189</x:v>
      </x:c>
      <x:c r="K129" s="207" t="n">
        <x:f>K28</x:f>
        <x:v>3930.1070352288075</x:v>
      </x:c>
      <x:c r="L129" s="207" t="n">
        <x:f>L28</x:f>
        <x:v>4371.423866712308</x:v>
      </x:c>
      <x:c r="M129" s="207" t="n">
        <x:f>M28</x:f>
        <x:v>4840.012150088425</x:v>
      </x:c>
      <x:c r="N129" s="207" t="n">
        <x:f>N28</x:f>
        <x:v>5333.567627937809</x:v>
      </x:c>
      <x:c r="O129" s="207" t="n">
        <x:f>O28</x:f>
        <x:v>5854.210684683229</x:v>
      </x:c>
    </x:row>
    <x:row r="130" ht="19" customHeight="1">
      <x:c r="A130" s="117"/>
      <x:c r="B130" s="117"/>
      <x:c r="C130" s="210" t="str">
        <x:v>Cash from investing activities</x:v>
      </x:c>
      <x:c r="D130" s="211" t="n">
        <x:f>SUM(D126:D129)</x:f>
        <x:v>-4160.3</x:v>
      </x:c>
      <x:c r="E130" s="211" t="n">
        <x:f>SUM(E126:E129)</x:f>
        <x:v>1821.8</x:v>
      </x:c>
      <x:c r="F130" s="211" t="n">
        <x:f>SUM(F126:F129)</x:f>
        <x:v>-3713.7999999999993</x:v>
      </x:c>
      <x:c r="G130" s="212" t="n">
        <x:f>SUM(G126:G129)</x:f>
        <x:v>-237.85665195911452</x:v>
      </x:c>
      <x:c r="H130" s="211" t="n">
        <x:f>SUM(H126:H129)</x:f>
        <x:v>-2972.1491337407865</x:v>
      </x:c>
      <x:c r="I130" s="211" t="n">
        <x:f>SUM(I126:I129)</x:f>
        <x:v>-3453.332323323427</x:v>
      </x:c>
      <x:c r="J130" s="211" t="n">
        <x:f>SUM(J126:J129)</x:f>
        <x:v>-3619.843358518772</x:v>
      </x:c>
      <x:c r="K130" s="211" t="n">
        <x:f>SUM(K126:K129)</x:f>
        <x:v>-3727.0553027104356</x:v>
      </x:c>
      <x:c r="L130" s="211" t="n">
        <x:f>SUM(L126:L129)</x:f>
        <x:v>-3802.158645629517</x:v>
      </x:c>
      <x:c r="M130" s="211" t="n">
        <x:f>SUM(M126:M129)</x:f>
        <x:v>-3821.625524039524</x:v>
      </x:c>
      <x:c r="N130" s="211" t="n">
        <x:f>SUM(N126:N129)</x:f>
        <x:v>-3831.7246125075526</x:v>
      </x:c>
      <x:c r="O130" s="211" t="n">
        <x:f>SUM(O126:O129)</x:f>
        <x:v>-3806.6080589758285</x:v>
      </x:c>
    </x:row>
    <x:row r="131" ht="19" customHeight="1">
      <x:c r="A131" s="117"/>
      <x:c r="B131" s="117"/>
      <x:c r="C131" s="197"/>
      <x:c r="D131" s="217"/>
      <x:c r="E131" s="217"/>
      <x:c r="F131" s="217"/>
      <x:c r="G131" s="218"/>
      <x:c r="H131" s="217"/>
      <x:c r="I131" s="217"/>
      <x:c r="J131" s="217"/>
      <x:c r="K131" s="217"/>
      <x:c r="L131" s="217"/>
      <x:c r="M131" s="217"/>
      <x:c r="N131" s="217"/>
      <x:c r="O131" s="217"/>
    </x:row>
    <x:row r="132" ht="19" customHeight="1">
      <x:c r="A132" s="117"/>
      <x:c r="B132" s="117"/>
      <x:c r="C132" s="197" t="str">
        <x:v>Dividends paid</x:v>
      </x:c>
      <x:c r="D132" s="209" t="n">
        <x:v>-6906</x:v>
      </x:c>
      <x:c r="E132" s="209" t="n">
        <x:v>-8712.2</x:v>
      </x:c>
      <x:c r="F132" s="209" t="n">
        <x:v>-10093.4</x:v>
      </x:c>
      <x:c r="G132" s="208" t="n">
        <x:f>-G98</x:f>
        <x:v>-13939.542112</x:v>
      </x:c>
      <x:c r="H132" s="207" t="n">
        <x:f>-H98</x:f>
        <x:v>-12271.385480693303</x:v>
      </x:c>
      <x:c r="I132" s="207" t="n">
        <x:f>-I98</x:f>
        <x:v>-13110.530981497599</x:v>
      </x:c>
      <x:c r="J132" s="207" t="n">
        <x:f>-J98</x:f>
        <x:v>-14331.49667513937</x:v>
      </x:c>
      <x:c r="K132" s="207" t="n">
        <x:f>-K98</x:f>
        <x:v>-15585.374071741544</x:v>
      </x:c>
      <x:c r="L132" s="207" t="n">
        <x:f>-L98</x:f>
        <x:v>-16819.00971807942</x:v>
      </x:c>
      <x:c r="M132" s="207" t="n">
        <x:f>-M98</x:f>
        <x:v>-18033.888967518298</x:v>
      </x:c>
      <x:c r="N132" s="207" t="n">
        <x:f>-N98</x:f>
        <x:v>-19199.369566233712</x:v>
      </x:c>
      <x:c r="O132" s="207" t="n">
        <x:f>-O98</x:f>
        <x:v>-20361.57519548701</x:v>
      </x:c>
    </x:row>
    <x:row r="133" ht="19" customHeight="1">
      <x:c r="A133" s="117"/>
      <x:c r="B133" s="117"/>
      <x:c r="C133" s="197" t="str">
        <x:v>Lease principal paid</x:v>
      </x:c>
      <x:c r="D133" s="209" t="n">
        <x:v>-452.4</x:v>
      </x:c>
      <x:c r="E133" s="209" t="n">
        <x:v>-468.5</x:v>
      </x:c>
      <x:c r="F133" s="209" t="n">
        <x:v>-386.4</x:v>
      </x:c>
      <x:c r="G133" s="208" t="n">
        <x:f>-G73</x:f>
        <x:v>-386.9775</x:v>
      </x:c>
      <x:c r="H133" s="207" t="n">
        <x:f>-H73</x:f>
        <x:v>-411.6953050981875</x:v>
      </x:c>
      <x:c r="I133" s="207" t="n">
        <x:f>-I73</x:f>
        <x:v>-440.76719986114244</x:v>
      </x:c>
      <x:c r="J133" s="207" t="n">
        <x:f>-J73</x:f>
        <x:v>-474.1088460620706</x:v>
      </x:c>
      <x:c r="K133" s="207" t="n">
        <x:f>-K73</x:f>
        <x:v>-510.88594221311496</x:v>
      </x:c>
      <x:c r="L133" s="207" t="n">
        <x:f>-L73</x:f>
        <x:v>-550.0043984052548</x:v>
      </x:c>
      <x:c r="M133" s="207" t="n">
        <x:f>-M73</x:f>
        <x:v>-590.631570545174</x:v>
      </x:c>
      <x:c r="N133" s="207" t="n">
        <x:f>-N73</x:f>
        <x:v>-631.8047385127496</x:v>
      </x:c>
      <x:c r="O133" s="207" t="n">
        <x:f>-O73</x:f>
        <x:v>-673.2401985159215</x:v>
      </x:c>
    </x:row>
    <x:row r="134" ht="19" customHeight="1">
      <x:c r="A134" s="117"/>
      <x:c r="B134" s="117"/>
      <x:c r="C134" s="197" t="str">
        <x:v>Interest paid</x:v>
      </x:c>
      <x:c r="D134" s="209" t="n">
        <x:v>-88.7</x:v>
      </x:c>
      <x:c r="E134" s="209" t="n">
        <x:v>-71</x:v>
      </x:c>
      <x:c r="F134" s="209" t="n">
        <x:v>-181.4</x:v>
      </x:c>
      <x:c r="G134" s="208" t="n">
        <x:f>-SUM(G76:G77)</x:f>
        <x:v>-173.51872126630002</x:v>
      </x:c>
      <x:c r="H134" s="207" t="n">
        <x:f>-SUM(H76:H77)</x:f>
        <x:v>-184.64001031249424</x:v>
      </x:c>
      <x:c r="I134" s="207" t="n">
        <x:f>-SUM(I76:I77)</x:f>
        <x:v>-197.70869417650346</x:v>
      </x:c>
      <x:c r="J134" s="207" t="n">
        <x:f>-SUM(J76:J77)</x:f>
        <x:v>-212.6767737918948</x:v>
      </x:c>
      <x:c r="K134" s="207" t="n">
        <x:f>-SUM(K76:K77)</x:f>
        <x:v>-229.16732875372756</x:v>
      </x:c>
      <x:c r="L134" s="207" t="n">
        <x:f>-SUM(L76:L77)</x:f>
        <x:v>-246.69430577711978</x:v>
      </x:c>
      <x:c r="M134" s="207" t="n">
        <x:f>-SUM(M76:M77)</x:f>
        <x:v>-264.88330002131136</x:v>
      </x:c>
      <x:c r="N134" s="207" t="n">
        <x:f>-SUM(N76:N77)</x:f>
        <x:v>-283.31275935497985</x:v>
      </x:c>
      <x:c r="O134" s="207" t="n">
        <x:f>-SUM(O76:O77)</x:f>
        <x:v>-301.85493225569013</x:v>
      </x:c>
    </x:row>
    <x:row r="135" ht="19" customHeight="1">
      <x:c r="A135" s="117"/>
      <x:c r="B135" s="117"/>
      <x:c r="C135" s="210" t="str">
        <x:v>Cash from financing activities</x:v>
      </x:c>
      <x:c r="D135" s="211" t="n">
        <x:f>SUM(D132:D134)</x:f>
        <x:v>-7447.099999999999</x:v>
      </x:c>
      <x:c r="E135" s="211" t="n">
        <x:f>SUM(E132:E134)</x:f>
        <x:v>-9251.7</x:v>
      </x:c>
      <x:c r="F135" s="211" t="n">
        <x:f>SUM(F132:F134)</x:f>
        <x:v>-10661.199999999999</x:v>
      </x:c>
      <x:c r="G135" s="212" t="n">
        <x:f>SUM(G132:G134)</x:f>
        <x:v>-14500.0383332663</x:v>
      </x:c>
      <x:c r="H135" s="211" t="n">
        <x:f>SUM(H132:H134)</x:f>
        <x:v>-12867.720796103986</x:v>
      </x:c>
      <x:c r="I135" s="211" t="n">
        <x:f>SUM(I132:I134)</x:f>
        <x:v>-13749.006875535244</x:v>
      </x:c>
      <x:c r="J135" s="211" t="n">
        <x:f>SUM(J132:J134)</x:f>
        <x:v>-15018.282294993334</x:v>
      </x:c>
      <x:c r="K135" s="211" t="n">
        <x:f>SUM(K132:K134)</x:f>
        <x:v>-16325.427342708386</x:v>
      </x:c>
      <x:c r="L135" s="211" t="n">
        <x:f>SUM(L132:L134)</x:f>
        <x:v>-17615.708422261792</x:v>
      </x:c>
      <x:c r="M135" s="211" t="n">
        <x:f>SUM(M132:M134)</x:f>
        <x:v>-18889.403838084785</x:v>
      </x:c>
      <x:c r="N135" s="211" t="n">
        <x:f>SUM(N132:N134)</x:f>
        <x:v>-20114.487064101442</x:v>
      </x:c>
      <x:c r="O135" s="211" t="n">
        <x:f>SUM(O132:O134)</x:f>
        <x:v>-21336.670326258623</x:v>
      </x:c>
    </x:row>
    <x:row r="136" ht="19" customHeight="1">
      <x:c r="A136" s="117"/>
      <x:c r="B136" s="117"/>
      <x:c r="C136" s="197"/>
      <x:c r="D136" s="217"/>
      <x:c r="E136" s="217"/>
      <x:c r="F136" s="217"/>
      <x:c r="G136" s="218"/>
      <x:c r="H136" s="217"/>
      <x:c r="I136" s="217"/>
      <x:c r="J136" s="217"/>
      <x:c r="K136" s="217"/>
      <x:c r="L136" s="217"/>
      <x:c r="M136" s="217"/>
      <x:c r="N136" s="217"/>
      <x:c r="O136" s="217"/>
    </x:row>
    <x:row r="137" ht="19" customHeight="1">
      <x:c r="A137" s="117"/>
      <x:c r="B137" s="117"/>
      <x:c r="C137" s="197" t="str">
        <x:v>Opening cash and cash equivalents</x:v>
      </x:c>
      <x:c r="D137" s="209" t="n">
        <x:v>2396.7</x:v>
      </x:c>
      <x:c r="E137" s="209" t="n">
        <x:v>2917.4</x:v>
      </x:c>
      <x:c r="F137" s="209" t="n">
        <x:v>5605.9</x:v>
      </x:c>
      <x:c r="G137" s="208" t="n">
        <x:f>F142</x:f>
        <x:v>4423.3</x:v>
      </x:c>
      <x:c r="H137" s="207" t="n">
        <x:f>G142</x:f>
        <x:v>4586.163798899997</x:v>
      </x:c>
      <x:c r="I137" s="207" t="n">
        <x:f>H142</x:f>
        <x:v>4992.9574732327055</x:v>
      </x:c>
      <x:c r="J137" s="207" t="n">
        <x:f>I142</x:f>
        <x:v>5436.48271465375</x:v>
      </x:c>
      <x:c r="K137" s="207" t="n">
        <x:f>J142</x:f>
        <x:v>5885.193292923503</x:v>
      </x:c>
      <x:c r="L137" s="207" t="n">
        <x:f>K142</x:f>
        <x:v>6320.729977029361</x:v>
      </x:c>
      <x:c r="M137" s="207" t="n">
        <x:f>L142</x:f>
        <x:v>6743.719457686209</x:v>
      </x:c>
      <x:c r="N137" s="207" t="n">
        <x:f>M142</x:f>
        <x:v>7141.139337035478</x:v>
      </x:c>
      <x:c r="O137" s="207" t="n">
        <x:f>N142</x:f>
        <x:v>7531.960047940127</x:v>
      </x:c>
    </x:row>
    <x:row r="138" ht="19" customHeight="1">
      <x:c r="A138" s="117"/>
      <x:c r="B138" s="117"/>
      <x:c r="C138" s="197" t="str">
        <x:v>Cash before deposit placements</x:v>
      </x:c>
      <x:c r="D138" s="217"/>
      <x:c r="E138" s="217"/>
      <x:c r="F138" s="217"/>
      <x:c r="G138" s="208" t="n">
        <x:f>SUM(G137,G124,G126,G128:G129,G135)</x:f>
        <x:v>6935.166007654112</x:v>
      </x:c>
      <x:c r="H138" s="207" t="n">
        <x:f>SUM(H137,H124,H126,H128:H129,H135)</x:f>
        <x:v>10179.504862222257</x:v>
      </x:c>
      <x:c r="I138" s="207" t="n">
        <x:f>SUM(I137,I124,I126,I128:I129,I135)</x:f>
        <x:v>11388.069145526151</x:v>
      </x:c>
      <x:c r="J138" s="207" t="n">
        <x:f>SUM(J137,J124,J126,J128:J129,J135)</x:f>
        <x:v>12334.647891864055</x:v>
      </x:c>
      <x:c r="K138" s="207" t="n">
        <x:f>SUM(K137,K124,K126,K128:K129,K135)</x:f>
        <x:v>13240.473817648512</x:v>
      </x:c>
      <x:c r="L138" s="207" t="n">
        <x:f>SUM(L137,L124,L126,L128:L129,L135)</x:f>
        <x:v>14130.534699964643</x:v>
      </x:c>
      <x:c r="M138" s="207" t="n">
        <x:f>SUM(M137,M124,M126,M128:M129,M135)</x:f>
        <x:v>14969.644088509289</x:v>
      </x:c>
      <x:c r="N138" s="207" t="n">
        <x:f>SUM(N137,N124,N126,N128:N129,N135)</x:f>
        <x:v>15818.523616125807</x:v>
      </x:c>
      <x:c r="O138" s="207" t="n">
        <x:f>SUM(O137,O124,O126,O128:O129,O135)</x:f>
        <x:v>16649.044302485963</x:v>
      </x:c>
    </x:row>
    <x:row r="139" ht="19" customHeight="1">
      <x:c r="A139" s="117"/>
      <x:c r="B139" s="117"/>
      <x:c r="C139" s="197" t="str">
        <x:v>Cash target</x:v>
      </x:c>
      <x:c r="D139" s="217"/>
      <x:c r="E139" s="217"/>
      <x:c r="F139" s="217"/>
      <x:c r="G139" s="206" t="n">
        <x:f>G23*'Fin Assumptions'!G37</x:f>
        <x:v>4586.163798899999</x:v>
      </x:c>
      <x:c r="H139" s="205" t="n">
        <x:f>H23*'Fin Assumptions'!H37</x:f>
        <x:v>4992.957473232705</x:v>
      </x:c>
      <x:c r="I139" s="205" t="n">
        <x:f>I23*'Fin Assumptions'!I37</x:f>
        <x:v>5436.482714653748</x:v>
      </x:c>
      <x:c r="J139" s="205" t="n">
        <x:f>J23*'Fin Assumptions'!J37</x:f>
        <x:v>5885.193292923501</x:v>
      </x:c>
      <x:c r="K139" s="205" t="n">
        <x:f>K23*'Fin Assumptions'!K37</x:f>
        <x:v>6320.729977029363</x:v>
      </x:c>
      <x:c r="L139" s="205" t="n">
        <x:f>L23*'Fin Assumptions'!L37</x:f>
        <x:v>6743.719457686213</x:v>
      </x:c>
      <x:c r="M139" s="205" t="n">
        <x:f>M23*'Fin Assumptions'!M37</x:f>
        <x:v>7141.139337035477</x:v>
      </x:c>
      <x:c r="N139" s="205" t="n">
        <x:f>N23*'Fin Assumptions'!N37</x:f>
        <x:v>7531.960047940131</x:v>
      </x:c>
      <x:c r="O139" s="205" t="n">
        <x:f>O23*'Fin Assumptions'!O37</x:f>
        <x:v>7911.19874584178</x:v>
      </x:c>
    </x:row>
    <x:row r="140" ht="19" customHeight="1">
      <x:c r="A140" s="117"/>
      <x:c r="B140" s="117"/>
      <x:c r="C140" s="197" t="str">
        <x:v>Opening term deposits</x:v>
      </x:c>
      <x:c r="D140" s="217"/>
      <x:c r="E140" s="217"/>
      <x:c r="F140" s="217"/>
      <x:c r="G140" s="208" t="n">
        <x:f>F141</x:f>
        <x:v>39680</x:v>
      </x:c>
      <x:c r="H140" s="207" t="n">
        <x:f>G141</x:f>
        <x:v>42029.002208754115</x:v>
      </x:c>
      <x:c r="I140" s="207" t="n">
        <x:f>H141</x:f>
        <x:v>47215.549597743666</x:v>
      </x:c>
      <x:c r="J140" s="207" t="n">
        <x:f>I141</x:f>
        <x:v>53167.13602861607</x:v>
      </x:c>
      <x:c r="K140" s="207" t="n">
        <x:f>J141</x:f>
        <x:v>59616.59062755662</x:v>
      </x:c>
      <x:c r="L140" s="207" t="n">
        <x:f>K141</x:f>
        <x:v>66536.33446817577</x:v>
      </x:c>
      <x:c r="M140" s="207" t="n">
        <x:f>L141</x:f>
        <x:v>73923.1497104542</x:v>
      </x:c>
      <x:c r="N140" s="207" t="n">
        <x:f>M141</x:f>
        <x:v>81751.65446192802</x:v>
      </x:c>
      <x:c r="O140" s="207" t="n">
        <x:f>N141</x:f>
        <x:v>90038.2180301137</x:v>
      </x:c>
    </x:row>
    <x:row r="141" ht="19" customHeight="1">
      <x:c r="A141" s="117"/>
      <x:c r="B141" s="117"/>
      <x:c r="C141" s="197" t="str">
        <x:v>Closing term deposits</x:v>
      </x:c>
      <x:c r="D141" s="209" t="n">
        <x:v>33339.7</x:v>
      </x:c>
      <x:c r="E141" s="209" t="n">
        <x:v>32245.9</x:v>
      </x:c>
      <x:c r="F141" s="209" t="n">
        <x:v>39680</x:v>
      </x:c>
      <x:c r="G141" s="208" t="n">
        <x:f>MAX(0,G140+G138-G139)</x:f>
        <x:v>42029.002208754115</x:v>
      </x:c>
      <x:c r="H141" s="207" t="n">
        <x:f>MAX(0,H140+H138-H139)</x:f>
        <x:v>47215.549597743666</x:v>
      </x:c>
      <x:c r="I141" s="207" t="n">
        <x:f>MAX(0,I140+I138-I139)</x:f>
        <x:v>53167.13602861607</x:v>
      </x:c>
      <x:c r="J141" s="207" t="n">
        <x:f>MAX(0,J140+J138-J139)</x:f>
        <x:v>59616.59062755662</x:v>
      </x:c>
      <x:c r="K141" s="207" t="n">
        <x:f>MAX(0,K140+K138-K139)</x:f>
        <x:v>66536.33446817577</x:v>
      </x:c>
      <x:c r="L141" s="207" t="n">
        <x:f>MAX(0,L140+L138-L139)</x:f>
        <x:v>73923.1497104542</x:v>
      </x:c>
      <x:c r="M141" s="207" t="n">
        <x:f>MAX(0,M140+M138-M139)</x:f>
        <x:v>81751.65446192802</x:v>
      </x:c>
      <x:c r="N141" s="207" t="n">
        <x:f>MAX(0,N140+N138-N139)</x:f>
        <x:v>90038.2180301137</x:v>
      </x:c>
      <x:c r="O141" s="207" t="n">
        <x:f>MAX(0,O140+O138-O139)</x:f>
        <x:v>98776.06358675788</x:v>
      </x:c>
    </x:row>
    <x:row r="142" ht="19" customHeight="1">
      <x:c r="A142" s="117"/>
      <x:c r="B142" s="117"/>
      <x:c r="C142" s="210" t="str">
        <x:v>Closing cash and cash equivalents</x:v>
      </x:c>
      <x:c r="D142" s="223" t="n">
        <x:v>2917.4</x:v>
      </x:c>
      <x:c r="E142" s="223" t="n">
        <x:v>5605.9</x:v>
      </x:c>
      <x:c r="F142" s="223" t="n">
        <x:v>4423.3</x:v>
      </x:c>
      <x:c r="G142" s="212" t="n">
        <x:f>SUM(G137,G124,G130,G135)</x:f>
        <x:v>4586.163798899997</x:v>
      </x:c>
      <x:c r="H142" s="211" t="n">
        <x:f>SUM(H137,H124,H130,H135)</x:f>
        <x:v>4992.9574732327055</x:v>
      </x:c>
      <x:c r="I142" s="211" t="n">
        <x:f>SUM(I137,I124,I130,I135)</x:f>
        <x:v>5436.48271465375</x:v>
      </x:c>
      <x:c r="J142" s="211" t="n">
        <x:f>SUM(J137,J124,J130,J135)</x:f>
        <x:v>5885.193292923503</x:v>
      </x:c>
      <x:c r="K142" s="211" t="n">
        <x:f>SUM(K137,K124,K130,K135)</x:f>
        <x:v>6320.729977029361</x:v>
      </x:c>
      <x:c r="L142" s="211" t="n">
        <x:f>SUM(L137,L124,L130,L135)</x:f>
        <x:v>6743.719457686209</x:v>
      </x:c>
      <x:c r="M142" s="211" t="n">
        <x:f>SUM(M137,M124,M130,M135)</x:f>
        <x:v>7141.139337035478</x:v>
      </x:c>
      <x:c r="N142" s="211" t="n">
        <x:f>SUM(N137,N124,N130,N135)</x:f>
        <x:v>7531.960047940127</x:v>
      </x:c>
      <x:c r="O142" s="211" t="n">
        <x:f>SUM(O137,O124,O130,O135)</x:f>
        <x:v>7911.198745841779</x:v>
      </x:c>
    </x:row>
    <x:row r="143" ht="19" customHeight="1">
      <x:c r="A143" s="117"/>
      <x:c r="B143" s="117"/>
      <x:c r="C143" s="197" t="str">
        <x:v>Net change in cash</x:v>
      </x:c>
      <x:c r="D143" s="207" t="n">
        <x:f>D142-D137</x:f>
        <x:v>520.7000000000003</x:v>
      </x:c>
      <x:c r="E143" s="207" t="n">
        <x:f>E142-E137</x:f>
        <x:v>2688.4999999999995</x:v>
      </x:c>
      <x:c r="F143" s="207" t="n">
        <x:f>F142-F137</x:f>
        <x:v>-1182.5999999999995</x:v>
      </x:c>
      <x:c r="G143" s="208" t="n">
        <x:f>G142-G137</x:f>
        <x:v>162.86379889999716</x:v>
      </x:c>
      <x:c r="H143" s="207" t="n">
        <x:f>H142-H137</x:f>
        <x:v>406.7936743327082</x:v>
      </x:c>
      <x:c r="I143" s="207" t="n">
        <x:f>I142-I137</x:f>
        <x:v>443.5252414210445</x:v>
      </x:c>
      <x:c r="J143" s="207" t="n">
        <x:f>J142-J137</x:f>
        <x:v>448.71057826975266</x:v>
      </x:c>
      <x:c r="K143" s="207" t="n">
        <x:f>K142-K137</x:f>
        <x:v>435.5366841058585</x:v>
      </x:c>
      <x:c r="L143" s="207" t="n">
        <x:f>L142-L137</x:f>
        <x:v>422.9894806568482</x:v>
      </x:c>
      <x:c r="M143" s="207" t="n">
        <x:f>M142-M137</x:f>
        <x:v>397.41987934926874</x:v>
      </x:c>
      <x:c r="N143" s="207" t="n">
        <x:f>N142-N137</x:f>
        <x:v>390.8207109046489</x:v>
      </x:c>
      <x:c r="O143" s="207" t="n">
        <x:f>O142-O137</x:f>
        <x:v>379.2386979016519</x:v>
      </x:c>
    </x:row>
    <x:row r="144" ht="19" customHeight="1">
      <x:c r="A144" s="117"/>
      <x:c r="B144" s="117"/>
      <x:c r="C144" s="210" t="str">
        <x:v>Free cash flow before dividends and deposits</x:v>
      </x:c>
      <x:c r="D144" s="211" t="n">
        <x:f>D124+D126+D133+D134</x:f>
        <x:v>11103.699999999999</x:v>
      </x:c>
      <x:c r="E144" s="211" t="n">
        <x:f>E124+E126+E133+E134</x:f>
        <x:v>9052.9</x:v>
      </x:c>
      <x:c r="F144" s="211" t="n">
        <x:f>F124+F126+F133+F134</x:f>
        <x:v>12215.4</x:v>
      </x:c>
      <x:c r="G144" s="212" t="n">
        <x:f>G124+G126+G133+G134</x:f>
        <x:v>13805.210119654112</x:v>
      </x:c>
      <x:c r="H144" s="211" t="n">
        <x:f>H124+H126+H133+H134</x:f>
        <x:v>15067.816583556314</x:v>
      </x:c>
      <x:c r="I144" s="211" t="n">
        <x:f>I124+I126+I133+I134</x:f>
        <x:v>16373.132229532463</x:v>
      </x:c>
      <x:c r="J144" s="211" t="n">
        <x:f>J124+J126+J133+J134</x:f>
        <x:v>17713.444727753485</x:v>
      </x:c>
      <x:c r="K144" s="211" t="n">
        <x:f>K124+K126+K133+K134</x:f>
        <x:v>19010.547561237745</x:v>
      </x:c>
      <x:c r="L144" s="211" t="n">
        <x:f>L124+L126+L133+L134</x:f>
        <x:v>20257.39057430239</x:v>
      </x:c>
      <x:c r="M144" s="211" t="n">
        <x:f>M124+M126+M133+M134</x:f>
        <x:v>21419.801448252954</x:v>
      </x:c>
      <x:c r="N144" s="211" t="n">
        <x:f>N124+N126+N133+N134</x:f>
        <x:v>22543.186217386232</x:v>
      </x:c>
      <x:c r="O144" s="211" t="n">
        <x:f>O124+O126+O133+O134</x:f>
        <x:v>23624.448765349614</x:v>
      </x:c>
    </x:row>
    <x:row r="145" ht="19" customHeight="1">
      <x:c r="A145" s="117"/>
      <x:c r="B145" s="117"/>
      <x:c r="C145" s="197"/>
      <x:c r="D145" s="217"/>
      <x:c r="E145" s="217"/>
      <x:c r="F145" s="217"/>
      <x:c r="G145" s="218"/>
      <x:c r="H145" s="217"/>
      <x:c r="I145" s="217"/>
      <x:c r="J145" s="217"/>
      <x:c r="K145" s="217"/>
      <x:c r="L145" s="217"/>
      <x:c r="M145" s="217"/>
      <x:c r="N145" s="217"/>
      <x:c r="O145" s="217"/>
    </x:row>
    <x:row r="146" ht="19" customHeight="1">
      <x:c r="A146" s="117"/>
      <x:c r="B146" s="117"/>
      <x:c r="C146" s="197"/>
      <x:c r="D146" s="217"/>
      <x:c r="E146" s="217"/>
      <x:c r="F146" s="217"/>
      <x:c r="G146" s="218"/>
      <x:c r="H146" s="217"/>
      <x:c r="I146" s="217"/>
      <x:c r="J146" s="217"/>
      <x:c r="K146" s="217"/>
      <x:c r="L146" s="217"/>
      <x:c r="M146" s="217"/>
      <x:c r="N146" s="217"/>
      <x:c r="O146" s="217"/>
    </x:row>
    <x:row r="147" ht="19" customHeight="1">
      <x:c r="A147" s="117"/>
      <x:c r="B147" s="117"/>
      <x:c r="C147" s="197"/>
      <x:c r="D147" s="217"/>
      <x:c r="E147" s="217"/>
      <x:c r="F147" s="217"/>
      <x:c r="G147" s="218"/>
      <x:c r="H147" s="217"/>
      <x:c r="I147" s="217"/>
      <x:c r="J147" s="217"/>
      <x:c r="K147" s="217"/>
      <x:c r="L147" s="217"/>
      <x:c r="M147" s="217"/>
      <x:c r="N147" s="217"/>
      <x:c r="O147" s="217"/>
    </x:row>
    <x:row r="148" ht="19" customHeight="1">
      <x:c r="A148" s="117"/>
      <x:c r="B148" s="117"/>
      <x:c r="C148" s="197"/>
      <x:c r="D148" s="217"/>
      <x:c r="E148" s="217"/>
      <x:c r="F148" s="217"/>
      <x:c r="G148" s="218"/>
      <x:c r="H148" s="217"/>
      <x:c r="I148" s="217"/>
      <x:c r="J148" s="217"/>
      <x:c r="K148" s="217"/>
      <x:c r="L148" s="217"/>
      <x:c r="M148" s="217"/>
      <x:c r="N148" s="217"/>
      <x:c r="O148" s="21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9E7D7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22" hidden="0" customWidth="1"/>
    <x:col min="15" max="15" width="84" hidden="0" customWidth="1"/>
  </x:cols>
  <x:sheetData>
    <x:row r="1" ht="19" customHeight="1">
      <x:c r="A1" s="117"/>
      <x:c r="B1" s="117"/>
      <x:c r="C1" s="197"/>
      <x:c r="D1" s="197"/>
      <x:c r="E1" s="197"/>
      <x:c r="F1" s="197"/>
      <x:c r="G1" s="197"/>
      <x:c r="H1" s="197"/>
      <x:c r="I1" s="197"/>
      <x:c r="J1" s="197"/>
      <x:c r="K1" s="197"/>
      <x:c r="L1" s="197"/>
      <x:c r="M1" s="197"/>
      <x:c r="N1" s="197"/>
      <x:c r="O1" s="197"/>
    </x:row>
    <x:row r="2" ht="19" customHeight="1">
      <x:c r="A2" s="117"/>
      <x:c r="B2" s="117"/>
      <x:c r="C2" s="198" t="str">
        <x:v>Abbott India - Checks and sources</x:v>
      </x:c>
      <x:c r="D2" s="197"/>
      <x:c r="E2" s="197"/>
      <x:c r="F2" s="197"/>
      <x:c r="G2" s="197"/>
      <x:c r="H2" s="197"/>
      <x:c r="I2" s="197"/>
      <x:c r="J2" s="197"/>
      <x:c r="K2" s="197"/>
      <x:c r="L2" s="197"/>
      <x:c r="M2" s="197"/>
      <x:c r="N2" s="197"/>
      <x:c r="O2" s="197"/>
    </x:row>
    <x:row r="3" ht="19" customHeight="1">
      <x:c r="A3" s="117"/>
      <x:c r="B3" s="117"/>
      <x:c r="C3" s="2" t="str">
        <x:v>INR million, except per-share figures, ratios and days. March year-end.</x:v>
      </x:c>
      <x:c r="D3" s="197"/>
      <x:c r="E3" s="197"/>
      <x:c r="F3" s="197"/>
      <x:c r="G3" s="197"/>
      <x:c r="H3" s="197"/>
      <x:c r="I3" s="197"/>
      <x:c r="J3" s="197"/>
      <x:c r="K3" s="197"/>
      <x:c r="L3" s="197"/>
      <x:c r="M3" s="197"/>
      <x:c r="N3" s="197"/>
      <x:c r="O3" s="197"/>
    </x:row>
    <x:row r="4" ht="19" customHeight="1">
      <x:c r="A4" s="117"/>
      <x:c r="B4" s="117"/>
      <x:c r="C4" s="197"/>
      <x:c r="D4" s="197"/>
      <x:c r="E4" s="197"/>
      <x:c r="F4" s="197"/>
      <x:c r="G4" s="197"/>
      <x:c r="H4" s="197"/>
      <x:c r="I4" s="197"/>
      <x:c r="J4" s="197"/>
      <x:c r="K4" s="197"/>
      <x:c r="L4" s="197"/>
      <x:c r="M4" s="197"/>
      <x:c r="N4" s="197"/>
      <x:c r="O4" s="197"/>
    </x:row>
    <x:row r="5" ht="27" customHeight="1">
      <x:c r="A5" s="117"/>
      <x:c r="B5" s="117"/>
      <x:c r="C5" s="199" t="str">
        <x:v>Financial year</x:v>
      </x:c>
      <x:c r="D5" s="200" t="str">
        <x:v>FY24A</x:v>
      </x:c>
      <x:c r="E5" s="200" t="str">
        <x:v>FY25A</x:v>
      </x:c>
      <x:c r="F5" s="200" t="str">
        <x:v>FY26A</x:v>
      </x:c>
      <x:c r="G5" s="201" t="str">
        <x:v>FY27E</x:v>
      </x:c>
      <x:c r="H5" s="200" t="str">
        <x:v>FY28E</x:v>
      </x:c>
      <x:c r="I5" s="200" t="str">
        <x:v>FY29E</x:v>
      </x:c>
      <x:c r="J5" s="200" t="str">
        <x:v>FY30E</x:v>
      </x:c>
      <x:c r="K5" s="200" t="str">
        <x:v>FY31E</x:v>
      </x:c>
      <x:c r="L5" s="200" t="str">
        <x:v>FY32E</x:v>
      </x:c>
      <x:c r="M5" s="200" t="str">
        <x:v>FY33E</x:v>
      </x:c>
      <x:c r="N5" s="200" t="str">
        <x:v>FY34E</x:v>
      </x:c>
      <x:c r="O5" s="200" t="str">
        <x:v>FY35E</x:v>
      </x:c>
    </x:row>
    <x:row r="6" ht="19" customHeight="1">
      <x:c r="A6" s="117"/>
      <x:c r="B6" s="117"/>
      <x:c r="C6" s="202" t="str">
        <x:v>Historical source tie-outs</x:v>
      </x:c>
      <x:c r="D6" s="203"/>
      <x:c r="E6" s="203"/>
      <x:c r="F6" s="203"/>
      <x:c r="G6" s="218"/>
      <x:c r="H6" s="217"/>
      <x:c r="I6" s="217"/>
      <x:c r="J6" s="217"/>
      <x:c r="K6" s="217"/>
      <x:c r="L6" s="217"/>
      <x:c r="M6" s="217"/>
      <x:c r="N6" s="217"/>
      <x:c r="O6" s="217"/>
    </x:row>
    <x:row r="7" ht="19" customHeight="1">
      <x:c r="A7" s="117"/>
      <x:c r="B7" s="117"/>
      <x:c r="C7" s="219"/>
      <x:c r="D7" s="220" t="str">
        <x:v>FY24A</x:v>
      </x:c>
      <x:c r="E7" s="220" t="str">
        <x:v>FY25A</x:v>
      </x:c>
      <x:c r="F7" s="220" t="str">
        <x:v>FY26A</x:v>
      </x:c>
      <x:c r="G7" s="218"/>
      <x:c r="H7" s="217"/>
      <x:c r="I7" s="217"/>
      <x:c r="J7" s="217"/>
      <x:c r="K7" s="217"/>
      <x:c r="L7" s="217"/>
      <x:c r="M7" s="217"/>
      <x:c r="N7" s="217"/>
      <x:c r="O7" s="217"/>
    </x:row>
    <x:row r="8" ht="19" customHeight="1">
      <x:c r="A8" s="117"/>
      <x:c r="B8" s="117"/>
      <x:c r="C8" s="197" t="str">
        <x:v>Published total expenses</x:v>
      </x:c>
      <x:c r="D8" s="209" t="n">
        <x:v>44794.3</x:v>
      </x:c>
      <x:c r="E8" s="209" t="n">
        <x:v>47977.8</x:v>
      </x:c>
      <x:c r="F8" s="209" t="n">
        <x:v>51379.2</x:v>
      </x:c>
      <x:c r="G8" s="218"/>
      <x:c r="H8" s="217"/>
      <x:c r="I8" s="217"/>
      <x:c r="J8" s="217"/>
      <x:c r="K8" s="217"/>
      <x:c r="L8" s="217"/>
      <x:c r="M8" s="217"/>
      <x:c r="N8" s="217"/>
      <x:c r="O8" s="217"/>
    </x:row>
    <x:row r="9" ht="19" customHeight="1">
      <x:c r="A9" s="117"/>
      <x:c r="B9" s="117"/>
      <x:c r="C9" s="197" t="str">
        <x:v>Recalculated total expenses</x:v>
      </x:c>
      <x:c r="D9" s="207" t="n">
        <x:f>SUM('Schedules'!D24:D27,'Schedules'!D31)</x:f>
        <x:v>44794.299999999996</x:v>
      </x:c>
      <x:c r="E9" s="207" t="n">
        <x:f>SUM('Schedules'!E24:E27,'Schedules'!E31)</x:f>
        <x:v>47977.80000000001</x:v>
      </x:c>
      <x:c r="F9" s="207" t="n">
        <x:f>SUM('Schedules'!F24:F27,'Schedules'!F31)</x:f>
        <x:v>51379.2</x:v>
      </x:c>
      <x:c r="G9" s="218"/>
      <x:c r="H9" s="217"/>
      <x:c r="I9" s="217"/>
      <x:c r="J9" s="217"/>
      <x:c r="K9" s="217"/>
      <x:c r="L9" s="217"/>
      <x:c r="M9" s="217"/>
      <x:c r="N9" s="217"/>
      <x:c r="O9" s="217"/>
    </x:row>
    <x:row r="10" ht="19" customHeight="1">
      <x:c r="A10" s="117"/>
      <x:c r="B10" s="117"/>
      <x:c r="C10" s="210" t="str">
        <x:v>Difference</x:v>
      </x:c>
      <x:c r="D10" s="231" t="n">
        <x:f>D9-D8</x:f>
        <x:v>-7.275957614183426e-12</x:v>
      </x:c>
      <x:c r="E10" s="231" t="n">
        <x:f>E9-E8</x:f>
        <x:v>7.275957614183426e-12</x:v>
      </x:c>
      <x:c r="F10" s="231" t="n">
        <x:f>F9-F8</x:f>
        <x:v>0</x:v>
      </x:c>
      <x:c r="G10" s="218"/>
      <x:c r="H10" s="217"/>
      <x:c r="I10" s="217"/>
      <x:c r="J10" s="217"/>
      <x:c r="K10" s="217"/>
      <x:c r="L10" s="217"/>
      <x:c r="M10" s="217"/>
      <x:c r="N10" s="217"/>
      <x:c r="O10" s="217"/>
    </x:row>
    <x:row r="11" ht="19" customHeight="1">
      <x:c r="A11" s="117"/>
      <x:c r="B11" s="117"/>
      <x:c r="C11" s="197"/>
      <x:c r="D11" s="217"/>
      <x:c r="E11" s="217"/>
      <x:c r="F11" s="217"/>
      <x:c r="G11" s="218"/>
      <x:c r="H11" s="217"/>
      <x:c r="I11" s="217"/>
      <x:c r="J11" s="217"/>
      <x:c r="K11" s="217"/>
      <x:c r="L11" s="217"/>
      <x:c r="M11" s="217"/>
      <x:c r="N11" s="217"/>
      <x:c r="O11" s="217"/>
    </x:row>
    <x:row r="12" ht="19" customHeight="1">
      <x:c r="A12" s="117"/>
      <x:c r="B12" s="117"/>
      <x:c r="C12" s="210" t="str">
        <x:v>PBT difference</x:v>
      </x:c>
      <x:c r="D12" s="231" t="n">
        <x:f>'Schedules'!D23+'Schedules'!D30-D9-'Schedules'!D32</x:f>
        <x:v>0</x:v>
      </x:c>
      <x:c r="E12" s="231" t="n">
        <x:f>'Schedules'!E23+'Schedules'!E30-E9-'Schedules'!E32</x:f>
        <x:v>-7.275957614183426e-12</x:v>
      </x:c>
      <x:c r="F12" s="231" t="n">
        <x:f>'Schedules'!F23+'Schedules'!F30-F9-'Schedules'!F32</x:f>
        <x:v>-3.637978807091713e-12</x:v>
      </x:c>
      <x:c r="G12" s="218"/>
      <x:c r="H12" s="217"/>
      <x:c r="I12" s="217"/>
      <x:c r="J12" s="217"/>
      <x:c r="K12" s="217"/>
      <x:c r="L12" s="217"/>
      <x:c r="M12" s="217"/>
      <x:c r="N12" s="217"/>
      <x:c r="O12" s="217"/>
    </x:row>
    <x:row r="13" ht="19" customHeight="1">
      <x:c r="A13" s="117"/>
      <x:c r="B13" s="117"/>
      <x:c r="C13" s="210" t="str">
        <x:v>PAT difference</x:v>
      </x:c>
      <x:c r="D13" s="231" t="n">
        <x:f>'Schedules'!D32-'Schedules'!D33-'Schedules'!D34</x:f>
        <x:v>0</x:v>
      </x:c>
      <x:c r="E13" s="231" t="n">
        <x:f>'Schedules'!E32-'Schedules'!E33-'Schedules'!E34</x:f>
        <x:v>0</x:v>
      </x:c>
      <x:c r="F13" s="231" t="n">
        <x:f>'Schedules'!F32-'Schedules'!F33-'Schedules'!F34</x:f>
        <x:v>0</x:v>
      </x:c>
      <x:c r="G13" s="218"/>
      <x:c r="H13" s="217"/>
      <x:c r="I13" s="217"/>
      <x:c r="J13" s="217"/>
      <x:c r="K13" s="217"/>
      <x:c r="L13" s="217"/>
      <x:c r="M13" s="217"/>
      <x:c r="N13" s="217"/>
      <x:c r="O13" s="217"/>
    </x:row>
    <x:row r="14" ht="19" customHeight="1">
      <x:c r="A14" s="117"/>
      <x:c r="B14" s="117"/>
      <x:c r="C14" s="197"/>
      <x:c r="D14" s="217"/>
      <x:c r="E14" s="217"/>
      <x:c r="F14" s="217"/>
      <x:c r="G14" s="218"/>
      <x:c r="H14" s="217"/>
      <x:c r="I14" s="217"/>
      <x:c r="J14" s="217"/>
      <x:c r="K14" s="217"/>
      <x:c r="L14" s="217"/>
      <x:c r="M14" s="217"/>
      <x:c r="N14" s="217"/>
      <x:c r="O14" s="217"/>
    </x:row>
    <x:row r="15" ht="19" customHeight="1">
      <x:c r="A15" s="117"/>
      <x:c r="B15" s="117"/>
      <x:c r="C15" s="197" t="str">
        <x:v>Published total assets</x:v>
      </x:c>
      <x:c r="D15" s="209" t="n">
        <x:v>51934.9</x:v>
      </x:c>
      <x:c r="E15" s="209" t="n">
        <x:v>59173.1</x:v>
      </x:c>
      <x:c r="F15" s="209" t="n">
        <x:v>65019.3</x:v>
      </x:c>
      <x:c r="G15" s="218"/>
      <x:c r="H15" s="217"/>
      <x:c r="I15" s="217"/>
      <x:c r="J15" s="217"/>
      <x:c r="K15" s="217"/>
      <x:c r="L15" s="217"/>
      <x:c r="M15" s="217"/>
      <x:c r="N15" s="217"/>
      <x:c r="O15" s="217"/>
    </x:row>
    <x:row r="16" ht="19" customHeight="1">
      <x:c r="A16" s="117"/>
      <x:c r="B16" s="117"/>
      <x:c r="C16" s="197" t="str">
        <x:v>Model total assets</x:v>
      </x:c>
      <x:c r="D16" s="207" t="n">
        <x:f>'Balance Sheet'!D22</x:f>
        <x:v>51934.9</x:v>
      </x:c>
      <x:c r="E16" s="207" t="n">
        <x:f>'Balance Sheet'!E22</x:f>
        <x:v>59173.100000000006</x:v>
      </x:c>
      <x:c r="F16" s="207" t="n">
        <x:f>'Balance Sheet'!F22</x:f>
        <x:v>65019.29999999999</x:v>
      </x:c>
      <x:c r="G16" s="218"/>
      <x:c r="H16" s="217"/>
      <x:c r="I16" s="217"/>
      <x:c r="J16" s="217"/>
      <x:c r="K16" s="217"/>
      <x:c r="L16" s="217"/>
      <x:c r="M16" s="217"/>
      <x:c r="N16" s="217"/>
      <x:c r="O16" s="217"/>
    </x:row>
    <x:row r="17" ht="19" customHeight="1">
      <x:c r="A17" s="117"/>
      <x:c r="B17" s="117"/>
      <x:c r="C17" s="210" t="str">
        <x:v>Difference</x:v>
      </x:c>
      <x:c r="D17" s="231" t="n">
        <x:f>D16-D15</x:f>
        <x:v>0</x:v>
      </x:c>
      <x:c r="E17" s="231" t="n">
        <x:f>E16-E15</x:f>
        <x:v>7.275957614183426e-12</x:v>
      </x:c>
      <x:c r="F17" s="231" t="n">
        <x:f>F16-F15</x:f>
        <x:v>-1.4551915228366852e-11</x:v>
      </x:c>
      <x:c r="G17" s="218"/>
      <x:c r="H17" s="217"/>
      <x:c r="I17" s="217"/>
      <x:c r="J17" s="217"/>
      <x:c r="K17" s="217"/>
      <x:c r="L17" s="217"/>
      <x:c r="M17" s="217"/>
      <x:c r="N17" s="217"/>
      <x:c r="O17" s="217"/>
    </x:row>
    <x:row r="18" ht="19" customHeight="1">
      <x:c r="A18" s="117"/>
      <x:c r="B18" s="117"/>
      <x:c r="C18" s="197"/>
      <x:c r="D18" s="217"/>
      <x:c r="E18" s="217"/>
      <x:c r="F18" s="217"/>
      <x:c r="G18" s="218"/>
      <x:c r="H18" s="217"/>
      <x:c r="I18" s="217"/>
      <x:c r="J18" s="217"/>
      <x:c r="K18" s="217"/>
      <x:c r="L18" s="217"/>
      <x:c r="M18" s="217"/>
      <x:c r="N18" s="217"/>
      <x:c r="O18" s="217"/>
    </x:row>
    <x:row r="19" ht="19" customHeight="1">
      <x:c r="A19" s="117"/>
      <x:c r="B19" s="117"/>
      <x:c r="C19" s="197" t="str">
        <x:v>Published equity and liabilities</x:v>
      </x:c>
      <x:c r="D19" s="209" t="n">
        <x:v>51934.9</x:v>
      </x:c>
      <x:c r="E19" s="209" t="n">
        <x:v>59173.1</x:v>
      </x:c>
      <x:c r="F19" s="209" t="n">
        <x:v>65019.3</x:v>
      </x:c>
      <x:c r="G19" s="218"/>
      <x:c r="H19" s="217"/>
      <x:c r="I19" s="217"/>
      <x:c r="J19" s="217"/>
      <x:c r="K19" s="217"/>
      <x:c r="L19" s="217"/>
      <x:c r="M19" s="217"/>
      <x:c r="N19" s="217"/>
      <x:c r="O19" s="217"/>
    </x:row>
    <x:row r="20" ht="19" customHeight="1">
      <x:c r="A20" s="117"/>
      <x:c r="B20" s="117"/>
      <x:c r="C20" s="197" t="str">
        <x:v>Model equity and liabilities</x:v>
      </x:c>
      <x:c r="D20" s="207" t="n">
        <x:f>'Balance Sheet'!D35</x:f>
        <x:v>51934.9</x:v>
      </x:c>
      <x:c r="E20" s="207" t="n">
        <x:f>'Balance Sheet'!E35</x:f>
        <x:v>59173.1</x:v>
      </x:c>
      <x:c r="F20" s="207" t="n">
        <x:f>'Balance Sheet'!F35</x:f>
        <x:v>65019.3</x:v>
      </x:c>
      <x:c r="G20" s="218"/>
      <x:c r="H20" s="217"/>
      <x:c r="I20" s="217"/>
      <x:c r="J20" s="217"/>
      <x:c r="K20" s="217"/>
      <x:c r="L20" s="217"/>
      <x:c r="M20" s="217"/>
      <x:c r="N20" s="217"/>
      <x:c r="O20" s="217"/>
    </x:row>
    <x:row r="21" ht="19" customHeight="1">
      <x:c r="A21" s="117"/>
      <x:c r="B21" s="117"/>
      <x:c r="C21" s="210" t="str">
        <x:v>Difference</x:v>
      </x:c>
      <x:c r="D21" s="231" t="n">
        <x:f>D20-D19</x:f>
        <x:v>0</x:v>
      </x:c>
      <x:c r="E21" s="231" t="n">
        <x:f>E20-E19</x:f>
        <x:v>0</x:v>
      </x:c>
      <x:c r="F21" s="231" t="n">
        <x:f>F20-F19</x:f>
        <x:v>0</x:v>
      </x:c>
      <x:c r="G21" s="218"/>
      <x:c r="H21" s="217"/>
      <x:c r="I21" s="217"/>
      <x:c r="J21" s="217"/>
      <x:c r="K21" s="217"/>
      <x:c r="L21" s="217"/>
      <x:c r="M21" s="217"/>
      <x:c r="N21" s="217"/>
      <x:c r="O21" s="217"/>
    </x:row>
    <x:row r="22" ht="19" customHeight="1">
      <x:c r="A22" s="117"/>
      <x:c r="B22" s="117"/>
      <x:c r="C22" s="197"/>
      <x:c r="D22" s="217"/>
      <x:c r="E22" s="217"/>
      <x:c r="F22" s="217"/>
      <x:c r="G22" s="218"/>
      <x:c r="H22" s="217"/>
      <x:c r="I22" s="217"/>
      <x:c r="J22" s="217"/>
      <x:c r="K22" s="217"/>
      <x:c r="L22" s="217"/>
      <x:c r="M22" s="217"/>
      <x:c r="N22" s="217"/>
      <x:c r="O22" s="217"/>
    </x:row>
    <x:row r="23" ht="19" customHeight="1">
      <x:c r="A23" s="117"/>
      <x:c r="B23" s="117"/>
      <x:c r="C23" s="210" t="str">
        <x:v>CFO difference</x:v>
      </x:c>
      <x:c r="D23" s="231" t="n">
        <x:f>'Cash Flow'!D17-12128.1</x:f>
        <x:v>-1.8189894035458565e-12</x:v>
      </x:c>
      <x:c r="E23" s="231" t="n">
        <x:f>'Cash Flow'!E17-10118.4</x:f>
        <x:v>0</x:v>
      </x:c>
      <x:c r="F23" s="231" t="n">
        <x:f>'Cash Flow'!F17-13192.4</x:f>
        <x:v>0</x:v>
      </x:c>
      <x:c r="G23" s="218"/>
      <x:c r="H23" s="217"/>
      <x:c r="I23" s="217"/>
      <x:c r="J23" s="217"/>
      <x:c r="K23" s="217"/>
      <x:c r="L23" s="217"/>
      <x:c r="M23" s="217"/>
      <x:c r="N23" s="217"/>
      <x:c r="O23" s="217"/>
    </x:row>
    <x:row r="24" ht="19" customHeight="1">
      <x:c r="A24" s="117"/>
      <x:c r="B24" s="117"/>
      <x:c r="C24" s="210" t="str">
        <x:v>CFI difference</x:v>
      </x:c>
      <x:c r="D24" s="231" t="n">
        <x:f>'Cash Flow'!D24--4160.3</x:f>
        <x:v>0</x:v>
      </x:c>
      <x:c r="E24" s="231" t="n">
        <x:f>'Cash Flow'!E24-1821.8</x:f>
        <x:v>0</x:v>
      </x:c>
      <x:c r="F24" s="231" t="n">
        <x:f>'Cash Flow'!F24--3713.8</x:f>
        <x:v>9.094947017729282e-13</x:v>
      </x:c>
      <x:c r="G24" s="218"/>
      <x:c r="H24" s="217"/>
      <x:c r="I24" s="217"/>
      <x:c r="J24" s="217"/>
      <x:c r="K24" s="217"/>
      <x:c r="L24" s="217"/>
      <x:c r="M24" s="217"/>
      <x:c r="N24" s="217"/>
      <x:c r="O24" s="217"/>
    </x:row>
    <x:row r="25" ht="19" customHeight="1">
      <x:c r="A25" s="117"/>
      <x:c r="B25" s="117"/>
      <x:c r="C25" s="210" t="str">
        <x:v>CFF difference</x:v>
      </x:c>
      <x:c r="D25" s="231" t="n">
        <x:f>'Cash Flow'!D30--7447.1</x:f>
        <x:v>9.094947017729282e-13</x:v>
      </x:c>
      <x:c r="E25" s="231" t="n">
        <x:f>'Cash Flow'!E30--9251.7</x:f>
        <x:v>0</x:v>
      </x:c>
      <x:c r="F25" s="231" t="n">
        <x:f>'Cash Flow'!F30--10661.2</x:f>
        <x:v>1.8189894035458565e-12</x:v>
      </x:c>
      <x:c r="G25" s="218"/>
      <x:c r="H25" s="217"/>
      <x:c r="I25" s="217"/>
      <x:c r="J25" s="217"/>
      <x:c r="K25" s="217"/>
      <x:c r="L25" s="217"/>
      <x:c r="M25" s="217"/>
      <x:c r="N25" s="217"/>
      <x:c r="O25" s="217"/>
    </x:row>
    <x:row r="26" ht="19" customHeight="1">
      <x:c r="A26" s="117"/>
      <x:c r="B26" s="117"/>
      <x:c r="C26" s="210" t="str">
        <x:v>Closing cash difference</x:v>
      </x:c>
      <x:c r="D26" s="231" t="n">
        <x:f>'Cash Flow'!D34-2917.4</x:f>
        <x:v>0</x:v>
      </x:c>
      <x:c r="E26" s="231" t="n">
        <x:f>'Cash Flow'!E34-5605.9</x:f>
        <x:v>0</x:v>
      </x:c>
      <x:c r="F26" s="231" t="n">
        <x:f>'Cash Flow'!F34-4423.3</x:f>
        <x:v>0</x:v>
      </x:c>
      <x:c r="G26" s="218"/>
      <x:c r="H26" s="217"/>
      <x:c r="I26" s="217"/>
      <x:c r="J26" s="217"/>
      <x:c r="K26" s="217"/>
      <x:c r="L26" s="217"/>
      <x:c r="M26" s="217"/>
      <x:c r="N26" s="217"/>
      <x:c r="O26" s="217"/>
    </x:row>
    <x:row r="27" ht="19" customHeight="1">
      <x:c r="A27" s="117"/>
      <x:c r="B27" s="117"/>
      <x:c r="C27" s="197"/>
      <x:c r="D27" s="217"/>
      <x:c r="E27" s="217"/>
      <x:c r="F27" s="217"/>
      <x:c r="G27" s="218"/>
      <x:c r="H27" s="217"/>
      <x:c r="I27" s="217"/>
      <x:c r="J27" s="217"/>
      <x:c r="K27" s="217"/>
      <x:c r="L27" s="217"/>
      <x:c r="M27" s="217"/>
      <x:c r="N27" s="217"/>
      <x:c r="O27" s="217"/>
    </x:row>
    <x:row r="28" ht="19" customHeight="1">
      <x:c r="A28" s="117"/>
      <x:c r="B28" s="117"/>
      <x:c r="C28" s="197"/>
      <x:c r="D28" s="217"/>
      <x:c r="E28" s="217"/>
      <x:c r="F28" s="217"/>
      <x:c r="G28" s="218"/>
      <x:c r="H28" s="217"/>
      <x:c r="I28" s="217"/>
      <x:c r="J28" s="217"/>
      <x:c r="K28" s="217"/>
      <x:c r="L28" s="217"/>
      <x:c r="M28" s="217"/>
      <x:c r="N28" s="217"/>
      <x:c r="O28" s="217"/>
    </x:row>
    <x:row r="29" ht="19" customHeight="1">
      <x:c r="A29" s="117"/>
      <x:c r="B29" s="117"/>
      <x:c r="C29" s="197"/>
      <x:c r="D29" s="217"/>
      <x:c r="E29" s="217"/>
      <x:c r="F29" s="217"/>
      <x:c r="G29" s="218"/>
      <x:c r="H29" s="217"/>
      <x:c r="I29" s="217"/>
      <x:c r="J29" s="217"/>
      <x:c r="K29" s="217"/>
      <x:c r="L29" s="217"/>
      <x:c r="M29" s="217"/>
      <x:c r="N29" s="217"/>
      <x:c r="O29" s="217"/>
    </x:row>
    <x:row r="30" ht="19" customHeight="1">
      <x:c r="A30" s="117"/>
      <x:c r="B30" s="117"/>
      <x:c r="C30" s="202" t="str">
        <x:v>Model checks</x:v>
      </x:c>
      <x:c r="D30" s="203"/>
      <x:c r="E30" s="203"/>
      <x:c r="F30" s="203"/>
      <x:c r="G30" s="204"/>
      <x:c r="H30" s="203"/>
      <x:c r="I30" s="203"/>
      <x:c r="J30" s="203"/>
      <x:c r="K30" s="203"/>
      <x:c r="L30" s="203"/>
      <x:c r="M30" s="203"/>
      <x:c r="N30" s="203"/>
      <x:c r="O30" s="203"/>
    </x:row>
    <x:row r="31" ht="19" customHeight="1">
      <x:c r="A31" s="117"/>
      <x:c r="B31" s="117"/>
      <x:c r="C31" s="197" t="str">
        <x:v>Financial year</x:v>
      </x:c>
      <x:c r="D31" s="217" t="str">
        <x:v>FY24A</x:v>
      </x:c>
      <x:c r="E31" s="217" t="str">
        <x:v>FY25A</x:v>
      </x:c>
      <x:c r="F31" s="217" t="str">
        <x:v>FY26A</x:v>
      </x:c>
      <x:c r="G31" s="218" t="str">
        <x:v>FY27E</x:v>
      </x:c>
      <x:c r="H31" s="217" t="str">
        <x:v>FY28E</x:v>
      </x:c>
      <x:c r="I31" s="217" t="str">
        <x:v>FY29E</x:v>
      </x:c>
      <x:c r="J31" s="217" t="str">
        <x:v>FY30E</x:v>
      </x:c>
      <x:c r="K31" s="217" t="str">
        <x:v>FY31E</x:v>
      </x:c>
      <x:c r="L31" s="217" t="str">
        <x:v>FY32E</x:v>
      </x:c>
      <x:c r="M31" s="217" t="str">
        <x:v>FY33E</x:v>
      </x:c>
      <x:c r="N31" s="217" t="str">
        <x:v>FY34E</x:v>
      </x:c>
      <x:c r="O31" s="217" t="str">
        <x:v>FY35E</x:v>
      </x:c>
    </x:row>
    <x:row r="32" ht="19" customHeight="1">
      <x:c r="A32" s="117"/>
      <x:c r="B32" s="117"/>
      <x:c r="C32" s="197" t="str">
        <x:v>Balance sheet: assets less liabilities and equity</x:v>
      </x:c>
      <x:c r="D32" s="232" t="n">
        <x:f>'Balance Sheet'!D22-'Balance Sheet'!D35</x:f>
        <x:v>0</x:v>
      </x:c>
      <x:c r="E32" s="232" t="n">
        <x:f>'Balance Sheet'!E22-'Balance Sheet'!E35</x:f>
        <x:v>7.275957614183426e-12</x:v>
      </x:c>
      <x:c r="F32" s="232" t="n">
        <x:f>'Balance Sheet'!F22-'Balance Sheet'!F35</x:f>
        <x:v>-1.4551915228366852e-11</x:v>
      </x:c>
      <x:c r="G32" s="233" t="n">
        <x:f>'Balance Sheet'!G22-'Balance Sheet'!G35</x:f>
        <x:v>0</x:v>
      </x:c>
      <x:c r="H32" s="232" t="n">
        <x:f>'Balance Sheet'!H22-'Balance Sheet'!H35</x:f>
        <x:v>1.4551915228366852e-11</x:v>
      </x:c>
      <x:c r="I32" s="232" t="n">
        <x:f>'Balance Sheet'!I22-'Balance Sheet'!I35</x:f>
        <x:v>2.9103830456733704e-11</x:v>
      </x:c>
      <x:c r="J32" s="232" t="n">
        <x:f>'Balance Sheet'!J22-'Balance Sheet'!J35</x:f>
        <x:v>1.4551915228366852e-11</x:v>
      </x:c>
      <x:c r="K32" s="232" t="n">
        <x:f>'Balance Sheet'!K22-'Balance Sheet'!K35</x:f>
        <x:v>1.4551915228366852e-11</x:v>
      </x:c>
      <x:c r="L32" s="232" t="n">
        <x:f>'Balance Sheet'!L22-'Balance Sheet'!L35</x:f>
        <x:v>1.4551915228366852e-11</x:v>
      </x:c>
      <x:c r="M32" s="232" t="n">
        <x:f>'Balance Sheet'!M22-'Balance Sheet'!M35</x:f>
        <x:v>0</x:v>
      </x:c>
      <x:c r="N32" s="232" t="n">
        <x:f>'Balance Sheet'!N22-'Balance Sheet'!N35</x:f>
        <x:v>0</x:v>
      </x:c>
      <x:c r="O32" s="232" t="n">
        <x:f>'Balance Sheet'!O22-'Balance Sheet'!O35</x:f>
        <x:v>0</x:v>
      </x:c>
    </x:row>
    <x:row r="33" ht="19" customHeight="1">
      <x:c r="A33" s="117"/>
      <x:c r="B33" s="117"/>
      <x:c r="C33" s="197" t="str">
        <x:v>Cash-flow closing cash less balance-sheet cash</x:v>
      </x:c>
      <x:c r="D33" s="232" t="n">
        <x:f>'Cash Flow'!D34-'Balance Sheet'!D17</x:f>
        <x:v>0</x:v>
      </x:c>
      <x:c r="E33" s="232" t="n">
        <x:f>'Cash Flow'!E34-'Balance Sheet'!E17</x:f>
        <x:v>0</x:v>
      </x:c>
      <x:c r="F33" s="232" t="n">
        <x:f>'Cash Flow'!F34-'Balance Sheet'!F17</x:f>
        <x:v>0</x:v>
      </x:c>
      <x:c r="G33" s="233" t="n">
        <x:f>'Cash Flow'!G34-'Balance Sheet'!G17</x:f>
        <x:v>0</x:v>
      </x:c>
      <x:c r="H33" s="232" t="n">
        <x:f>'Cash Flow'!H34-'Balance Sheet'!H17</x:f>
        <x:v>0</x:v>
      </x:c>
      <x:c r="I33" s="232" t="n">
        <x:f>'Cash Flow'!I34-'Balance Sheet'!I17</x:f>
        <x:v>0</x:v>
      </x:c>
      <x:c r="J33" s="232" t="n">
        <x:f>'Cash Flow'!J34-'Balance Sheet'!J17</x:f>
        <x:v>0</x:v>
      </x:c>
      <x:c r="K33" s="232" t="n">
        <x:f>'Cash Flow'!K34-'Balance Sheet'!K17</x:f>
        <x:v>0</x:v>
      </x:c>
      <x:c r="L33" s="232" t="n">
        <x:f>'Cash Flow'!L34-'Balance Sheet'!L17</x:f>
        <x:v>0</x:v>
      </x:c>
      <x:c r="M33" s="232" t="n">
        <x:f>'Cash Flow'!M34-'Balance Sheet'!M17</x:f>
        <x:v>0</x:v>
      </x:c>
      <x:c r="N33" s="232" t="n">
        <x:f>'Cash Flow'!N34-'Balance Sheet'!N17</x:f>
        <x:v>0</x:v>
      </x:c>
      <x:c r="O33" s="232" t="n">
        <x:f>'Cash Flow'!O34-'Balance Sheet'!O17</x:f>
        <x:v>0</x:v>
      </x:c>
    </x:row>
    <x:row r="34" ht="19" customHeight="1">
      <x:c r="A34" s="117"/>
      <x:c r="B34" s="117"/>
      <x:c r="C34" s="197" t="str">
        <x:v>Cash roll-forward</x:v>
      </x:c>
      <x:c r="D34" s="232" t="n">
        <x:f>'Schedules'!D142-'Schedules'!D137-'Schedules'!D143</x:f>
        <x:v>0</x:v>
      </x:c>
      <x:c r="E34" s="232" t="n">
        <x:f>'Schedules'!E142-'Schedules'!E137-'Schedules'!E143</x:f>
        <x:v>0</x:v>
      </x:c>
      <x:c r="F34" s="232" t="n">
        <x:f>'Schedules'!F142-'Schedules'!F137-'Schedules'!F143</x:f>
        <x:v>0</x:v>
      </x:c>
      <x:c r="G34" s="233" t="n">
        <x:f>'Schedules'!G142-'Schedules'!G137-'Schedules'!G143</x:f>
        <x:v>0</x:v>
      </x:c>
      <x:c r="H34" s="232" t="n">
        <x:f>'Schedules'!H142-'Schedules'!H137-'Schedules'!H143</x:f>
        <x:v>0</x:v>
      </x:c>
      <x:c r="I34" s="232" t="n">
        <x:f>'Schedules'!I142-'Schedules'!I137-'Schedules'!I143</x:f>
        <x:v>0</x:v>
      </x:c>
      <x:c r="J34" s="232" t="n">
        <x:f>'Schedules'!J142-'Schedules'!J137-'Schedules'!J143</x:f>
        <x:v>0</x:v>
      </x:c>
      <x:c r="K34" s="232" t="n">
        <x:f>'Schedules'!K142-'Schedules'!K137-'Schedules'!K143</x:f>
        <x:v>0</x:v>
      </x:c>
      <x:c r="L34" s="232" t="n">
        <x:f>'Schedules'!L142-'Schedules'!L137-'Schedules'!L143</x:f>
        <x:v>0</x:v>
      </x:c>
      <x:c r="M34" s="232" t="n">
        <x:f>'Schedules'!M142-'Schedules'!M137-'Schedules'!M143</x:f>
        <x:v>0</x:v>
      </x:c>
      <x:c r="N34" s="232" t="n">
        <x:f>'Schedules'!N142-'Schedules'!N137-'Schedules'!N143</x:f>
        <x:v>0</x:v>
      </x:c>
      <x:c r="O34" s="232" t="n">
        <x:f>'Schedules'!O142-'Schedules'!O137-'Schedules'!O143</x:f>
        <x:v>0</x:v>
      </x:c>
    </x:row>
    <x:row r="35" ht="19" customHeight="1">
      <x:c r="A35" s="117"/>
      <x:c r="B35" s="117"/>
      <x:c r="C35" s="197" t="str">
        <x:v>Deposit cash flow plus change in deposits</x:v>
      </x:c>
      <x:c r="D35" s="232"/>
      <x:c r="E35" s="232"/>
      <x:c r="F35" s="232"/>
      <x:c r="G35" s="233" t="n">
        <x:f>'Schedules'!G127+'Schedules'!G141-'Schedules'!G140</x:f>
        <x:v>0</x:v>
      </x:c>
      <x:c r="H35" s="232" t="n">
        <x:f>'Schedules'!H127+'Schedules'!H141-'Schedules'!H140</x:f>
        <x:v>0</x:v>
      </x:c>
      <x:c r="I35" s="232" t="n">
        <x:f>'Schedules'!I127+'Schedules'!I141-'Schedules'!I140</x:f>
        <x:v>0</x:v>
      </x:c>
      <x:c r="J35" s="232" t="n">
        <x:f>'Schedules'!J127+'Schedules'!J141-'Schedules'!J140</x:f>
        <x:v>0</x:v>
      </x:c>
      <x:c r="K35" s="232" t="n">
        <x:f>'Schedules'!K127+'Schedules'!K141-'Schedules'!K140</x:f>
        <x:v>0</x:v>
      </x:c>
      <x:c r="L35" s="232" t="n">
        <x:f>'Schedules'!L127+'Schedules'!L141-'Schedules'!L140</x:f>
        <x:v>0</x:v>
      </x:c>
      <x:c r="M35" s="232" t="n">
        <x:f>'Schedules'!M127+'Schedules'!M141-'Schedules'!M140</x:f>
        <x:v>0</x:v>
      </x:c>
      <x:c r="N35" s="232" t="n">
        <x:f>'Schedules'!N127+'Schedules'!N141-'Schedules'!N140</x:f>
        <x:v>0</x:v>
      </x:c>
      <x:c r="O35" s="232" t="n">
        <x:f>'Schedules'!O127+'Schedules'!O141-'Schedules'!O140</x:f>
        <x:v>0</x:v>
      </x:c>
    </x:row>
    <x:row r="36" ht="19" customHeight="1">
      <x:c r="A36" s="117"/>
      <x:c r="B36" s="117"/>
      <x:c r="C36" s="197" t="str">
        <x:v>Owned-asset roll-forward</x:v>
      </x:c>
      <x:c r="D36" s="232" t="n">
        <x:f>'Schedules'!D61-'Schedules'!D57-'Schedules'!D58+'Schedules'!D59-'Schedules'!D60</x:f>
        <x:v>-1.0658141036401503e-14</x:v>
      </x:c>
      <x:c r="E36" s="232" t="n">
        <x:f>'Schedules'!E61-'Schedules'!E57-'Schedules'!E58+'Schedules'!E59-'Schedules'!E60</x:f>
        <x:v>1.1368683772161603e-13</x:v>
      </x:c>
      <x:c r="F36" s="232" t="n">
        <x:f>'Schedules'!F61-'Schedules'!F57-'Schedules'!F58+'Schedules'!F59-'Schedules'!F60</x:f>
        <x:v>-1.4210854715202004e-14</x:v>
      </x:c>
      <x:c r="G36" s="233" t="n">
        <x:f>'Schedules'!G61-'Schedules'!G57-'Schedules'!G58+'Schedules'!G59-'Schedules'!G60</x:f>
        <x:v>-2.2737367544323206e-13</x:v>
      </x:c>
      <x:c r="H36" s="232" t="n">
        <x:f>'Schedules'!H61-'Schedules'!H57-'Schedules'!H58+'Schedules'!H59-'Schedules'!H60</x:f>
        <x:v>-2.8421709430404007e-13</x:v>
      </x:c>
      <x:c r="I36" s="232" t="n">
        <x:f>'Schedules'!I61-'Schedules'!I57-'Schedules'!I58+'Schedules'!I59-'Schedules'!I60</x:f>
        <x:v>5.684341886080802e-14</x:v>
      </x:c>
      <x:c r="J36" s="232" t="n">
        <x:f>'Schedules'!J61-'Schedules'!J57-'Schedules'!J58+'Schedules'!J59-'Schedules'!J60</x:f>
        <x:v>-1.7053025658242404e-13</x:v>
      </x:c>
      <x:c r="K36" s="232" t="n">
        <x:f>'Schedules'!K61-'Schedules'!K57-'Schedules'!K58+'Schedules'!K59-'Schedules'!K60</x:f>
        <x:v>-2.2737367544323206e-13</x:v>
      </x:c>
      <x:c r="L36" s="232" t="n">
        <x:f>'Schedules'!L61-'Schedules'!L57-'Schedules'!L58+'Schedules'!L59-'Schedules'!L60</x:f>
        <x:v>1.1368683772161603e-13</x:v>
      </x:c>
      <x:c r="M36" s="232" t="n">
        <x:f>'Schedules'!M61-'Schedules'!M57-'Schedules'!M58+'Schedules'!M59-'Schedules'!M60</x:f>
        <x:v>-2.2737367544323206e-13</x:v>
      </x:c>
      <x:c r="N36" s="232" t="n">
        <x:f>'Schedules'!N61-'Schedules'!N57-'Schedules'!N58+'Schedules'!N59-'Schedules'!N60</x:f>
        <x:v>1.1368683772161603e-13</x:v>
      </x:c>
      <x:c r="O36" s="232" t="n">
        <x:f>'Schedules'!O61-'Schedules'!O57-'Schedules'!O58+'Schedules'!O59-'Schedules'!O60</x:f>
        <x:v>-1.1368683772161603e-13</x:v>
      </x:c>
    </x:row>
    <x:row r="37" ht="19" customHeight="1">
      <x:c r="A37" s="117"/>
      <x:c r="B37" s="117"/>
      <x:c r="C37" s="197" t="str">
        <x:v>ROU-asset roll-forward</x:v>
      </x:c>
      <x:c r="D37" s="232" t="n">
        <x:f>'Schedules'!D67-'Schedules'!D63-'Schedules'!D64+'Schedules'!D65-'Schedules'!D66</x:f>
        <x:v>-4.263256414560601e-14</x:v>
      </x:c>
      <x:c r="E37" s="232" t="n">
        <x:f>'Schedules'!E67-'Schedules'!E63-'Schedules'!E64+'Schedules'!E65-'Schedules'!E66</x:f>
        <x:v>-1.1368683772161603e-13</x:v>
      </x:c>
      <x:c r="F37" s="232" t="n">
        <x:f>'Schedules'!F67-'Schedules'!F63-'Schedules'!F64+'Schedules'!F65-'Schedules'!F66</x:f>
        <x:v>3.375077994860476e-14</x:v>
      </x:c>
      <x:c r="G37" s="233" t="n">
        <x:f>'Schedules'!G67-'Schedules'!G63-'Schedules'!G64+'Schedules'!G65-'Schedules'!G66</x:f>
        <x:v>-5.684341886080802e-14</x:v>
      </x:c>
      <x:c r="H37" s="232" t="n">
        <x:f>'Schedules'!H67-'Schedules'!H63-'Schedules'!H64+'Schedules'!H65-'Schedules'!H66</x:f>
        <x:v>1.7053025658242404e-13</x:v>
      </x:c>
      <x:c r="I37" s="232" t="n">
        <x:f>'Schedules'!I67-'Schedules'!I63-'Schedules'!I64+'Schedules'!I65-'Schedules'!I66</x:f>
        <x:v>2.2737367544323206e-13</x:v>
      </x:c>
      <x:c r="J37" s="232" t="n">
        <x:f>'Schedules'!J67-'Schedules'!J63-'Schedules'!J64+'Schedules'!J65-'Schedules'!J66</x:f>
        <x:v>-1.1368683772161603e-13</x:v>
      </x:c>
      <x:c r="K37" s="232" t="n">
        <x:f>'Schedules'!K67-'Schedules'!K63-'Schedules'!K64+'Schedules'!K65-'Schedules'!K66</x:f>
        <x:v>-2.2737367544323206e-13</x:v>
      </x:c>
      <x:c r="L37" s="232" t="n">
        <x:f>'Schedules'!L67-'Schedules'!L63-'Schedules'!L64+'Schedules'!L65-'Schedules'!L66</x:f>
        <x:v>1.1368683772161603e-13</x:v>
      </x:c>
      <x:c r="M37" s="232" t="n">
        <x:f>'Schedules'!M67-'Schedules'!M63-'Schedules'!M64+'Schedules'!M65-'Schedules'!M66</x:f>
        <x:v>1.1368683772161603e-13</x:v>
      </x:c>
      <x:c r="N37" s="232" t="n">
        <x:f>'Schedules'!N67-'Schedules'!N63-'Schedules'!N64+'Schedules'!N65-'Schedules'!N66</x:f>
        <x:v>0</x:v>
      </x:c>
      <x:c r="O37" s="232" t="n">
        <x:f>'Schedules'!O67-'Schedules'!O63-'Schedules'!O64+'Schedules'!O65-'Schedules'!O66</x:f>
        <x:v>1.1368683772161603e-13</x:v>
      </x:c>
    </x:row>
    <x:row r="38" ht="19" customHeight="1">
      <x:c r="A38" s="117"/>
      <x:c r="B38" s="117"/>
      <x:c r="C38" s="197" t="str">
        <x:v>Lease-liability roll-forward</x:v>
      </x:c>
      <x:c r="D38" s="232" t="n">
        <x:f>'Schedules'!D75-'Schedules'!D71-'Schedules'!D72+'Schedules'!D73-'Schedules'!D74</x:f>
        <x:v>-9.237055564881302e-14</x:v>
      </x:c>
      <x:c r="E38" s="232" t="n">
        <x:f>'Schedules'!E75-'Schedules'!E71-'Schedules'!E72+'Schedules'!E73-'Schedules'!E74</x:f>
        <x:v>1.4210854715202004e-13</x:v>
      </x:c>
      <x:c r="F38" s="232" t="n">
        <x:f>'Schedules'!F75-'Schedules'!F71-'Schedules'!F72+'Schedules'!F73-'Schedules'!F74</x:f>
        <x:v>3.375077994860476e-14</x:v>
      </x:c>
      <x:c r="G38" s="233" t="n">
        <x:f>'Schedules'!G75-'Schedules'!G71-'Schedules'!G72+'Schedules'!G73-'Schedules'!G74</x:f>
        <x:v>-1.7053025658242404e-13</x:v>
      </x:c>
      <x:c r="H38" s="232" t="n">
        <x:f>'Schedules'!H75-'Schedules'!H71-'Schedules'!H72+'Schedules'!H73-'Schedules'!H74</x:f>
        <x:v>-5.684341886080802e-14</x:v>
      </x:c>
      <x:c r="I38" s="232" t="n">
        <x:f>'Schedules'!I75-'Schedules'!I71-'Schedules'!I72+'Schedules'!I73-'Schedules'!I74</x:f>
        <x:v>3.410605131648481e-13</x:v>
      </x:c>
      <x:c r="J38" s="232" t="n">
        <x:f>'Schedules'!J75-'Schedules'!J71-'Schedules'!J72+'Schedules'!J73-'Schedules'!J74</x:f>
        <x:v>-2.2737367544323206e-13</x:v>
      </x:c>
      <x:c r="K38" s="232" t="n">
        <x:f>'Schedules'!K75-'Schedules'!K71-'Schedules'!K72+'Schedules'!K73-'Schedules'!K74</x:f>
        <x:v>0</x:v>
      </x:c>
      <x:c r="L38" s="232" t="n">
        <x:f>'Schedules'!L75-'Schedules'!L71-'Schedules'!L72+'Schedules'!L73-'Schedules'!L74</x:f>
        <x:v>0</x:v>
      </x:c>
      <x:c r="M38" s="232" t="n">
        <x:f>'Schedules'!M75-'Schedules'!M71-'Schedules'!M72+'Schedules'!M73-'Schedules'!M74</x:f>
        <x:v>1.1368683772161603e-13</x:v>
      </x:c>
      <x:c r="N38" s="232" t="n">
        <x:f>'Schedules'!N75-'Schedules'!N71-'Schedules'!N72+'Schedules'!N73-'Schedules'!N74</x:f>
        <x:v>-2.2737367544323206e-13</x:v>
      </x:c>
      <x:c r="O38" s="232" t="n">
        <x:f>'Schedules'!O75-'Schedules'!O71-'Schedules'!O72+'Schedules'!O73-'Schedules'!O74</x:f>
        <x:v>1.1368683772161603e-13</x:v>
      </x:c>
    </x:row>
    <x:row r="39" ht="19" customHeight="1">
      <x:c r="A39" s="117"/>
      <x:c r="B39" s="117"/>
      <x:c r="C39" s="197" t="str">
        <x:v>Other-equity roll-forward</x:v>
      </x:c>
      <x:c r="D39" s="232" t="n">
        <x:f>'Schedules'!D102-'Schedules'!D96-'Schedules'!D97+'Schedules'!D98-'Schedules'!D99-'Schedules'!D100+'Schedules'!D101</x:f>
        <x:v>-7.105427357601002e-13</x:v>
      </x:c>
      <x:c r="E39" s="232" t="n">
        <x:f>'Schedules'!E102-'Schedules'!E96-'Schedules'!E97+'Schedules'!E98-'Schedules'!E99-'Schedules'!E100+'Schedules'!E101</x:f>
        <x:v>-3.410605131648481e-13</x:v>
      </x:c>
      <x:c r="F39" s="232" t="n">
        <x:f>'Schedules'!F102-'Schedules'!F96-'Schedules'!F97+'Schedules'!F98-'Schedules'!F99-'Schedules'!F100+'Schedules'!F101</x:f>
        <x:v>3.694822225952521e-13</x:v>
      </x:c>
      <x:c r="G39" s="233" t="n">
        <x:f>'Schedules'!G102-'Schedules'!G96-'Schedules'!G97+'Schedules'!G98-'Schedules'!G99-'Schedules'!G100+'Schedules'!G101</x:f>
        <x:v>0</x:v>
      </x:c>
      <x:c r="H39" s="232" t="n">
        <x:f>'Schedules'!H102-'Schedules'!H96-'Schedules'!H97+'Schedules'!H98-'Schedules'!H99-'Schedules'!H100+'Schedules'!H101</x:f>
        <x:v>-1.8189894035458565e-12</x:v>
      </x:c>
      <x:c r="I39" s="232" t="n">
        <x:f>'Schedules'!I102-'Schedules'!I96-'Schedules'!I97+'Schedules'!I98-'Schedules'!I99-'Schedules'!I100+'Schedules'!I101</x:f>
        <x:v>-3.637978807091713e-12</x:v>
      </x:c>
      <x:c r="J39" s="232" t="n">
        <x:f>'Schedules'!J102-'Schedules'!J96-'Schedules'!J97+'Schedules'!J98-'Schedules'!J99-'Schedules'!J100+'Schedules'!J101</x:f>
        <x:v>0</x:v>
      </x:c>
      <x:c r="K39" s="232" t="n">
        <x:f>'Schedules'!K102-'Schedules'!K96-'Schedules'!K97+'Schedules'!K98-'Schedules'!K99-'Schedules'!K100+'Schedules'!K101</x:f>
        <x:v>-1.8189894035458565e-12</x:v>
      </x:c>
      <x:c r="L39" s="232" t="n">
        <x:f>'Schedules'!L102-'Schedules'!L96-'Schedules'!L97+'Schedules'!L98-'Schedules'!L99-'Schedules'!L100+'Schedules'!L101</x:f>
        <x:v>0</x:v>
      </x:c>
      <x:c r="M39" s="232" t="n">
        <x:f>'Schedules'!M102-'Schedules'!M96-'Schedules'!M97+'Schedules'!M98-'Schedules'!M99-'Schedules'!M100+'Schedules'!M101</x:f>
        <x:v>3.637978807091713e-12</x:v>
      </x:c>
      <x:c r="N39" s="232" t="n">
        <x:f>'Schedules'!N102-'Schedules'!N96-'Schedules'!N97+'Schedules'!N98-'Schedules'!N99-'Schedules'!N100+'Schedules'!N101</x:f>
        <x:v>0</x:v>
      </x:c>
      <x:c r="O39" s="232" t="n">
        <x:f>'Schedules'!O102-'Schedules'!O96-'Schedules'!O97+'Schedules'!O98-'Schedules'!O99-'Schedules'!O100+'Schedules'!O101</x:f>
        <x:v>1.0913936421275139e-11</x:v>
      </x:c>
    </x:row>
    <x:row r="40" ht="19" customHeight="1">
      <x:c r="A40" s="117"/>
      <x:c r="B40" s="117"/>
      <x:c r="C40" s="197" t="str">
        <x:v>FY27 / FY28 annual revenue less quarters</x:v>
      </x:c>
      <x:c r="D40" s="232"/>
      <x:c r="E40" s="232"/>
      <x:c r="F40" s="232"/>
      <x:c r="G40" s="233" t="n">
        <x:f>'Schedules'!G23-SUM('Schedules'!D41:G41)</x:f>
        <x:v>1.4551915228366852e-11</x:v>
      </x:c>
      <x:c r="H40" s="232" t="n">
        <x:f>'Schedules'!H23-SUM('Schedules'!I41:L41)</x:f>
        <x:v>0</x:v>
      </x:c>
      <x:c r="I40" s="232"/>
      <x:c r="J40" s="232"/>
      <x:c r="K40" s="232"/>
      <x:c r="L40" s="232"/>
      <x:c r="M40" s="232"/>
      <x:c r="N40" s="232"/>
      <x:c r="O40" s="232"/>
    </x:row>
    <x:row r="41" ht="19" customHeight="1">
      <x:c r="A41" s="117"/>
      <x:c r="B41" s="117"/>
      <x:c r="C41" s="197" t="str">
        <x:v>FY27 / FY28 annual PBT less quarters</x:v>
      </x:c>
      <x:c r="D41" s="232"/>
      <x:c r="E41" s="232"/>
      <x:c r="F41" s="232"/>
      <x:c r="G41" s="233" t="n">
        <x:f>'Schedules'!G32-SUM('Schedules'!D48:G48)</x:f>
        <x:v>1.0913936421275139e-11</x:v>
      </x:c>
      <x:c r="H41" s="232" t="n">
        <x:f>'Schedules'!H32-SUM('Schedules'!I48:L48)</x:f>
        <x:v>0</x:v>
      </x:c>
      <x:c r="I41" s="232"/>
      <x:c r="J41" s="232"/>
      <x:c r="K41" s="232"/>
      <x:c r="L41" s="232"/>
      <x:c r="M41" s="232"/>
      <x:c r="N41" s="232"/>
      <x:c r="O41" s="232"/>
    </x:row>
    <x:row r="42" ht="19" customHeight="1">
      <x:c r="A42" s="117"/>
      <x:c r="B42" s="117"/>
      <x:c r="C42" s="197" t="str">
        <x:v>FY27 / FY28 annual PAT less quarters</x:v>
      </x:c>
      <x:c r="D42" s="232"/>
      <x:c r="E42" s="232"/>
      <x:c r="F42" s="232"/>
      <x:c r="G42" s="233" t="n">
        <x:f>'Schedules'!G34-SUM('Schedules'!D50:G50)</x:f>
        <x:v>0</x:v>
      </x:c>
      <x:c r="H42" s="232" t="n">
        <x:f>'Schedules'!H34-SUM('Schedules'!I50:L50)</x:f>
        <x:v>0</x:v>
      </x:c>
      <x:c r="I42" s="232"/>
      <x:c r="J42" s="232"/>
      <x:c r="K42" s="232"/>
      <x:c r="L42" s="232"/>
      <x:c r="M42" s="232"/>
      <x:c r="N42" s="232"/>
      <x:c r="O42" s="232"/>
    </x:row>
    <x:row r="43" ht="19" customHeight="1">
      <x:c r="A43" s="117"/>
      <x:c r="B43" s="117"/>
      <x:c r="C43" s="197" t="str">
        <x:v>Negative closing cash</x:v>
      </x:c>
      <x:c r="D43" s="232"/>
      <x:c r="E43" s="232"/>
      <x:c r="F43" s="232"/>
      <x:c r="G43" s="233" t="n">
        <x:f>MAX(0,-'Schedules'!G142)</x:f>
        <x:v>0</x:v>
      </x:c>
      <x:c r="H43" s="232" t="n">
        <x:f>MAX(0,-'Schedules'!H142)</x:f>
        <x:v>0</x:v>
      </x:c>
      <x:c r="I43" s="232" t="n">
        <x:f>MAX(0,-'Schedules'!I142)</x:f>
        <x:v>0</x:v>
      </x:c>
      <x:c r="J43" s="232" t="n">
        <x:f>MAX(0,-'Schedules'!J142)</x:f>
        <x:v>0</x:v>
      </x:c>
      <x:c r="K43" s="232" t="n">
        <x:f>MAX(0,-'Schedules'!K142)</x:f>
        <x:v>0</x:v>
      </x:c>
      <x:c r="L43" s="232" t="n">
        <x:f>MAX(0,-'Schedules'!L142)</x:f>
        <x:v>0</x:v>
      </x:c>
      <x:c r="M43" s="232" t="n">
        <x:f>MAX(0,-'Schedules'!M142)</x:f>
        <x:v>0</x:v>
      </x:c>
      <x:c r="N43" s="232" t="n">
        <x:f>MAX(0,-'Schedules'!N142)</x:f>
        <x:v>0</x:v>
      </x:c>
      <x:c r="O43" s="232" t="n">
        <x:f>MAX(0,-'Schedules'!O142)</x:f>
        <x:v>0</x:v>
      </x:c>
    </x:row>
    <x:row r="44" ht="19" customHeight="1">
      <x:c r="A44" s="117"/>
      <x:c r="B44" s="117"/>
      <x:c r="C44" s="197" t="str">
        <x:v>Negative closing deposits</x:v>
      </x:c>
      <x:c r="D44" s="232"/>
      <x:c r="E44" s="232"/>
      <x:c r="F44" s="232"/>
      <x:c r="G44" s="233" t="n">
        <x:f>MAX(0,-'Schedules'!G141)</x:f>
        <x:v>0</x:v>
      </x:c>
      <x:c r="H44" s="232" t="n">
        <x:f>MAX(0,-'Schedules'!H141)</x:f>
        <x:v>0</x:v>
      </x:c>
      <x:c r="I44" s="232" t="n">
        <x:f>MAX(0,-'Schedules'!I141)</x:f>
        <x:v>0</x:v>
      </x:c>
      <x:c r="J44" s="232" t="n">
        <x:f>MAX(0,-'Schedules'!J141)</x:f>
        <x:v>0</x:v>
      </x:c>
      <x:c r="K44" s="232" t="n">
        <x:f>MAX(0,-'Schedules'!K141)</x:f>
        <x:v>0</x:v>
      </x:c>
      <x:c r="L44" s="232" t="n">
        <x:f>MAX(0,-'Schedules'!L141)</x:f>
        <x:v>0</x:v>
      </x:c>
      <x:c r="M44" s="232" t="n">
        <x:f>MAX(0,-'Schedules'!M141)</x:f>
        <x:v>0</x:v>
      </x:c>
      <x:c r="N44" s="232" t="n">
        <x:f>MAX(0,-'Schedules'!N141)</x:f>
        <x:v>0</x:v>
      </x:c>
      <x:c r="O44" s="232" t="n">
        <x:f>MAX(0,-'Schedules'!O141)</x:f>
        <x:v>0</x:v>
      </x:c>
    </x:row>
    <x:row r="45" ht="19" customHeight="1">
      <x:c r="A45" s="117"/>
      <x:c r="B45" s="117"/>
      <x:c r="C45" s="197"/>
      <x:c r="D45" s="217"/>
      <x:c r="E45" s="217"/>
      <x:c r="F45" s="217"/>
      <x:c r="G45" s="218"/>
      <x:c r="H45" s="217"/>
      <x:c r="I45" s="217"/>
      <x:c r="J45" s="217"/>
      <x:c r="K45" s="217"/>
      <x:c r="L45" s="217"/>
      <x:c r="M45" s="217"/>
      <x:c r="N45" s="217"/>
      <x:c r="O45" s="217"/>
    </x:row>
    <x:row r="46" ht="19" customHeight="1">
      <x:c r="A46" s="117"/>
      <x:c r="B46" s="117"/>
      <x:c r="C46" s="197"/>
      <x:c r="D46" s="217"/>
      <x:c r="E46" s="217"/>
      <x:c r="F46" s="217"/>
      <x:c r="G46" s="218"/>
      <x:c r="H46" s="217"/>
      <x:c r="I46" s="217"/>
      <x:c r="J46" s="217"/>
      <x:c r="K46" s="217"/>
      <x:c r="L46" s="217"/>
      <x:c r="M46" s="217"/>
      <x:c r="N46" s="217"/>
      <x:c r="O46" s="217"/>
    </x:row>
    <x:row r="47" ht="19" customHeight="1">
      <x:c r="A47" s="117"/>
      <x:c r="B47" s="117"/>
      <x:c r="C47" s="197"/>
      <x:c r="D47" s="217"/>
      <x:c r="E47" s="217"/>
      <x:c r="F47" s="217"/>
      <x:c r="G47" s="218"/>
      <x:c r="H47" s="217"/>
      <x:c r="I47" s="217"/>
      <x:c r="J47" s="217"/>
      <x:c r="K47" s="217"/>
      <x:c r="L47" s="217"/>
      <x:c r="M47" s="217"/>
      <x:c r="N47" s="217"/>
      <x:c r="O47" s="217"/>
    </x:row>
    <x:row r="48" ht="19" customHeight="1">
      <x:c r="A48" s="117"/>
      <x:c r="B48" s="117"/>
      <x:c r="C48" s="202" t="str">
        <x:v>Sources and model notes</x:v>
      </x:c>
      <x:c r="D48" s="203"/>
      <x:c r="E48" s="203"/>
      <x:c r="F48" s="203"/>
      <x:c r="G48" s="204"/>
      <x:c r="H48" s="203"/>
      <x:c r="I48" s="203"/>
      <x:c r="J48" s="203"/>
      <x:c r="K48" s="203"/>
      <x:c r="L48" s="203"/>
      <x:c r="M48" s="203"/>
      <x:c r="N48" s="203"/>
      <x:c r="O48" s="203"/>
    </x:row>
    <x:row r="49" ht="19" customHeight="1">
      <x:c r="A49" s="117"/>
      <x:c r="B49" s="117"/>
      <x:c r="C49" s="197"/>
      <x:c r="D49" s="217"/>
      <x:c r="E49" s="217"/>
      <x:c r="F49" s="217"/>
      <x:c r="G49" s="218"/>
      <x:c r="H49" s="217"/>
      <x:c r="I49" s="217"/>
      <x:c r="J49" s="217"/>
      <x:c r="K49" s="217"/>
      <x:c r="L49" s="217"/>
      <x:c r="M49" s="217"/>
      <x:c r="N49" s="217"/>
      <x:c r="O49" s="217"/>
    </x:row>
    <x:row r="50" ht="19" customHeight="1">
      <x:c r="A50" s="117"/>
      <x:c r="B50" s="117"/>
      <x:c r="C50" s="219" t="str">
        <x:v>Source / note</x:v>
      </x:c>
      <x:c r="D50" s="220" t="str">
        <x:v>Use</x:v>
      </x:c>
      <x:c r="E50" s="220"/>
      <x:c r="F50" s="220"/>
      <x:c r="G50" s="221"/>
      <x:c r="H50" s="220"/>
      <x:c r="I50" s="220"/>
      <x:c r="J50" s="220"/>
      <x:c r="K50" s="220"/>
      <x:c r="L50" s="220"/>
      <x:c r="M50" s="220"/>
      <x:c r="N50" s="220" t="str">
        <x:v>Reference</x:v>
      </x:c>
      <x:c r="O50" s="220" t="str">
        <x:v>URL</x:v>
      </x:c>
    </x:row>
    <x:row r="51" ht="23" customHeight="1">
      <x:c r="A51" s="117"/>
      <x:c r="B51" s="117"/>
      <x:c r="C51" s="197" t="str">
        <x:v>FY25-26 annual report</x:v>
      </x:c>
      <x:c r="D51" s="217" t="str">
        <x:v>FY25-FY26 P&amp;L, balance sheet and cash flow; notes 5, 6, 11, 12, 16, 25, 29 and 30.</x:v>
      </x:c>
      <x:c r="E51" s="217"/>
      <x:c r="F51" s="217"/>
      <x:c r="G51" s="218"/>
      <x:c r="H51" s="217"/>
      <x:c r="I51" s="217"/>
      <x:c r="J51" s="217"/>
      <x:c r="K51" s="217"/>
      <x:c r="L51" s="217"/>
      <x:c r="M51" s="217"/>
      <x:c r="N51" s="217" t="str">
        <x:v>pp. 176-180 and notes</x:v>
      </x:c>
      <x:c r="O51" s="217" t="str">
        <x:v>https://www.abbott.co.in/content/dam/corp/abbott/en-ind/pdf/financials/2025-26-Annual-Report.pdf</x:v>
      </x:c>
    </x:row>
    <x:row r="52" ht="23" customHeight="1">
      <x:c r="A52" s="117"/>
      <x:c r="B52" s="117"/>
      <x:c r="C52" s="197" t="str">
        <x:v>FY24-25 annual report</x:v>
      </x:c>
      <x:c r="D52" s="217" t="str">
        <x:v>FY24 P&amp;L, balance sheet and cash flow; deposit and lease classifications.</x:v>
      </x:c>
      <x:c r="E52" s="217"/>
      <x:c r="F52" s="217"/>
      <x:c r="G52" s="218"/>
      <x:c r="H52" s="217"/>
      <x:c r="I52" s="217"/>
      <x:c r="J52" s="217"/>
      <x:c r="K52" s="217"/>
      <x:c r="L52" s="217"/>
      <x:c r="M52" s="217"/>
      <x:c r="N52" s="217" t="str">
        <x:v>pp. 168-172 and notes</x:v>
      </x:c>
      <x:c r="O52" s="217" t="str">
        <x:v>https://www.abbott.co.in/content/dam/corp/abbott/en-ind/pdf/financials/2024-25-Annual-Report.pdf</x:v>
      </x:c>
    </x:row>
    <x:row r="53" ht="23" customHeight="1">
      <x:c r="A53" s="117"/>
      <x:c r="B53" s="117"/>
      <x:c r="C53" s="197" t="str">
        <x:v>Q1 FY27 results</x:v>
      </x:c>
      <x:c r="D53" s="217" t="str">
        <x:v>Q1 FY27 actual P&amp;L.</x:v>
      </x:c>
      <x:c r="E53" s="217"/>
      <x:c r="F53" s="217"/>
      <x:c r="G53" s="218"/>
      <x:c r="H53" s="217"/>
      <x:c r="I53" s="217"/>
      <x:c r="J53" s="217"/>
      <x:c r="K53" s="217"/>
      <x:c r="L53" s="217"/>
      <x:c r="M53" s="217"/>
      <x:c r="N53" s="217" t="str">
        <x:v>p. 1</x:v>
      </x:c>
      <x:c r="O53" s="217" t="str">
        <x:v>https://www.abbott.co.in/content/dam/corp/abbott/en-ind/pdf/financials/Quarter-ended-June-30-2026.pdf</x:v>
      </x:c>
    </x:row>
    <x:row r="54" ht="23" customHeight="1">
      <x:c r="A54" s="117"/>
      <x:c r="B54" s="117"/>
      <x:c r="C54" s="197" t="str">
        <x:v>Revenue tabs</x:v>
      </x:c>
      <x:c r="D54" s="217" t="str">
        <x:v>Both supplied revenue tabs remain unchanged. The P&amp;L uses audited Q1 FY27 revenue; the INR 402.8m difference is isolated in Schedules.</x:v>
      </x:c>
      <x:c r="E54" s="217"/>
      <x:c r="F54" s="217"/>
      <x:c r="G54" s="218"/>
      <x:c r="H54" s="217"/>
      <x:c r="I54" s="217"/>
      <x:c r="J54" s="217"/>
      <x:c r="K54" s="217"/>
      <x:c r="L54" s="217"/>
      <x:c r="M54" s="217"/>
      <x:c r="N54" s="217" t="str"/>
      <x:c r="O54" s="217" t="str"/>
    </x:row>
    <x:row r="55" ht="23" customHeight="1">
      <x:c r="A55" s="117"/>
      <x:c r="B55" s="117"/>
      <x:c r="C55" s="197" t="str">
        <x:v>Deposit classification</x:v>
      </x:c>
      <x:c r="D55" s="217" t="str">
        <x:v>Term deposits are separated from cash equivalents and split between current and non-current balances using the annual-report notes.</x:v>
      </x:c>
      <x:c r="E55" s="217"/>
      <x:c r="F55" s="217"/>
      <x:c r="G55" s="218"/>
      <x:c r="H55" s="217"/>
      <x:c r="I55" s="217"/>
      <x:c r="J55" s="217"/>
      <x:c r="K55" s="217"/>
      <x:c r="L55" s="217"/>
      <x:c r="M55" s="217"/>
      <x:c r="N55" s="217" t="str"/>
      <x:c r="O55" s="217" t="str"/>
    </x:row>
    <x:row r="56" ht="23" customHeight="1">
      <x:c r="A56" s="117"/>
      <x:c r="B56" s="117"/>
      <x:c r="C56" s="197" t="str">
        <x:v>Forecast approach</x:v>
      </x:c>
      <x:c r="D56" s="217" t="str">
        <x:v>Interest income uses opening cash and deposits. Surplus cash is invested in deposits; deposits are redeemed before any unfunded cash shortfall.</x:v>
      </x:c>
      <x:c r="E56" s="217"/>
      <x:c r="F56" s="217"/>
      <x:c r="G56" s="218"/>
      <x:c r="H56" s="217"/>
      <x:c r="I56" s="217"/>
      <x:c r="J56" s="217"/>
      <x:c r="K56" s="217"/>
      <x:c r="L56" s="217"/>
      <x:c r="M56" s="217"/>
      <x:c r="N56" s="217" t="str"/>
      <x:c r="O56" s="217" t="str"/>
    </x:row>
    <x:row r="57" ht="23" customHeight="1">
      <x:c r="A57" s="117"/>
      <x:c r="B57" s="117"/>
      <x:c r="C57" s="197" t="str">
        <x:v>Quarterly P&amp;L</x:v>
      </x:c>
      <x:c r="D57" s="217" t="str">
        <x:v>Q1 FY27 is actual. FY27 Q2-Q4 and FY28 quarters use annual assumptions; D&amp;A, other income and finance costs reconcile to annual schedules.</x:v>
      </x:c>
      <x:c r="E57" s="217"/>
      <x:c r="F57" s="217"/>
      <x:c r="G57" s="218"/>
      <x:c r="H57" s="217"/>
      <x:c r="I57" s="217"/>
      <x:c r="J57" s="217"/>
      <x:c r="K57" s="217"/>
      <x:c r="L57" s="217"/>
      <x:c r="M57" s="217"/>
      <x:c r="N57" s="217" t="str"/>
      <x:c r="O57" s="217" t="str"/>
    </x:row>
    <x:row r="58" ht="19" customHeight="1">
      <x:c r="A58" s="117"/>
      <x:c r="B58" s="117"/>
      <x:c r="C58" s="197"/>
      <x:c r="D58" s="217"/>
      <x:c r="E58" s="217"/>
      <x:c r="F58" s="217"/>
      <x:c r="G58" s="218"/>
      <x:c r="H58" s="217"/>
      <x:c r="I58" s="217"/>
      <x:c r="J58" s="217"/>
      <x:c r="K58" s="217"/>
      <x:c r="L58" s="217"/>
      <x:c r="M58" s="217"/>
      <x:c r="N58" s="217"/>
      <x:c r="O58" s="217"/>
    </x:row>
    <x:row r="59" ht="19" customHeight="1">
      <x:c r="A59" s="117"/>
      <x:c r="B59" s="117"/>
      <x:c r="C59" s="197"/>
      <x:c r="D59" s="217"/>
      <x:c r="E59" s="217"/>
      <x:c r="F59" s="217"/>
      <x:c r="G59" s="218"/>
      <x:c r="H59" s="217"/>
      <x:c r="I59" s="217"/>
      <x:c r="J59" s="217"/>
      <x:c r="K59" s="217"/>
      <x:c r="L59" s="217"/>
      <x:c r="M59" s="217"/>
      <x:c r="N59" s="217"/>
      <x:c r="O59" s="217"/>
    </x:row>
    <x:row r="60" ht="19" customHeight="1">
      <x:c r="A60" s="117"/>
      <x:c r="B60" s="117"/>
      <x:c r="C60" s="197"/>
      <x:c r="D60" s="217"/>
      <x:c r="E60" s="217"/>
      <x:c r="F60" s="217"/>
      <x:c r="G60" s="218"/>
      <x:c r="H60" s="217"/>
      <x:c r="I60" s="217"/>
      <x:c r="J60" s="217"/>
      <x:c r="K60" s="217"/>
      <x:c r="L60" s="217"/>
      <x:c r="M60" s="217"/>
      <x:c r="N60" s="217"/>
      <x:c r="O60" s="217"/>
    </x:row>
    <x:row r="61" ht="19" customHeight="1">
      <x:c r="A61" s="117"/>
      <x:c r="B61" s="117"/>
      <x:c r="C61" s="197"/>
      <x:c r="D61" s="217"/>
      <x:c r="E61" s="217"/>
      <x:c r="F61" s="217"/>
      <x:c r="G61" s="218"/>
      <x:c r="H61" s="217"/>
      <x:c r="I61" s="217"/>
      <x:c r="J61" s="217"/>
      <x:c r="K61" s="217"/>
      <x:c r="L61" s="217"/>
      <x:c r="M61" s="217"/>
      <x:c r="N61" s="217"/>
      <x:c r="O61" s="217"/>
    </x:row>
    <x:row r="62" ht="19" customHeight="1">
      <x:c r="A62" s="117"/>
      <x:c r="B62" s="117"/>
      <x:c r="C62" s="197"/>
      <x:c r="D62" s="217"/>
      <x:c r="E62" s="217"/>
      <x:c r="F62" s="217"/>
      <x:c r="G62" s="218"/>
      <x:c r="H62" s="217"/>
      <x:c r="I62" s="217"/>
      <x:c r="J62" s="217"/>
      <x:c r="K62" s="217"/>
      <x:c r="L62" s="217"/>
      <x:c r="M62" s="217"/>
      <x:c r="N62" s="217"/>
      <x:c r="O62" s="217"/>
    </x:row>
    <x:row r="63" ht="19" customHeight="1">
      <x:c r="A63" s="117"/>
      <x:c r="B63" s="117"/>
      <x:c r="C63" s="197"/>
      <x:c r="D63" s="217"/>
      <x:c r="E63" s="217"/>
      <x:c r="F63" s="217"/>
      <x:c r="G63" s="218"/>
      <x:c r="H63" s="217"/>
      <x:c r="I63" s="217"/>
      <x:c r="J63" s="217"/>
      <x:c r="K63" s="217"/>
      <x:c r="L63" s="217"/>
      <x:c r="M63" s="217"/>
      <x:c r="N63" s="217"/>
      <x:c r="O63" s="217"/>
    </x:row>
    <x:row r="64" ht="19" customHeight="1">
      <x:c r="A64" s="117"/>
      <x:c r="B64" s="117"/>
      <x:c r="C64" s="197"/>
      <x:c r="D64" s="217"/>
      <x:c r="E64" s="217"/>
      <x:c r="F64" s="217"/>
      <x:c r="G64" s="218"/>
      <x:c r="H64" s="217"/>
      <x:c r="I64" s="217"/>
      <x:c r="J64" s="217"/>
      <x:c r="K64" s="217"/>
      <x:c r="L64" s="217"/>
      <x:c r="M64" s="217"/>
      <x:c r="N64" s="217"/>
      <x:c r="O64" s="217"/>
    </x:row>
    <x:row r="65" ht="19" customHeight="1">
      <x:c r="A65" s="117"/>
      <x:c r="B65" s="117"/>
      <x:c r="C65" s="197"/>
      <x:c r="D65" s="217"/>
      <x:c r="E65" s="217"/>
      <x:c r="F65" s="217"/>
      <x:c r="G65" s="218"/>
      <x:c r="H65" s="217"/>
      <x:c r="I65" s="217"/>
      <x:c r="J65" s="217"/>
      <x:c r="K65" s="217"/>
      <x:c r="L65" s="217"/>
      <x:c r="M65" s="217"/>
      <x:c r="N65" s="217"/>
      <x:c r="O65" s="217"/>
    </x:row>
    <x:row r="66" ht="19" customHeight="1">
      <x:c r="A66" s="117"/>
      <x:c r="B66" s="117"/>
      <x:c r="C66" s="197"/>
      <x:c r="D66" s="217"/>
      <x:c r="E66" s="217"/>
      <x:c r="F66" s="217"/>
      <x:c r="G66" s="218"/>
      <x:c r="H66" s="217"/>
      <x:c r="I66" s="217"/>
      <x:c r="J66" s="217"/>
      <x:c r="K66" s="217"/>
      <x:c r="L66" s="217"/>
      <x:c r="M66" s="217"/>
      <x:c r="N66" s="217"/>
      <x:c r="O66" s="217"/>
    </x:row>
    <x:row r="67" ht="19" customHeight="1">
      <x:c r="A67" s="117"/>
      <x:c r="B67" s="117"/>
      <x:c r="C67" s="197"/>
      <x:c r="D67" s="217"/>
      <x:c r="E67" s="217"/>
      <x:c r="F67" s="217"/>
      <x:c r="G67" s="218"/>
      <x:c r="H67" s="217"/>
      <x:c r="I67" s="217"/>
      <x:c r="J67" s="217"/>
      <x:c r="K67" s="217"/>
      <x:c r="L67" s="217"/>
      <x:c r="M67" s="217"/>
      <x:c r="N67" s="217"/>
      <x:c r="O67" s="217"/>
    </x:row>
    <x:row r="68" ht="19" customHeight="1">
      <x:c r="A68" s="117"/>
      <x:c r="B68" s="117"/>
      <x:c r="C68" s="197"/>
      <x:c r="D68" s="217"/>
      <x:c r="E68" s="217"/>
      <x:c r="F68" s="217"/>
      <x:c r="G68" s="218"/>
      <x:c r="H68" s="217"/>
      <x:c r="I68" s="217"/>
      <x:c r="J68" s="217"/>
      <x:c r="K68" s="217"/>
      <x:c r="L68" s="217"/>
      <x:c r="M68" s="217"/>
      <x:c r="N68" s="217"/>
      <x:c r="O68" s="217"/>
    </x:row>
    <x:row r="69" ht="19" customHeight="1">
      <x:c r="A69" s="117"/>
      <x:c r="B69" s="117"/>
      <x:c r="C69" s="197"/>
      <x:c r="D69" s="217"/>
      <x:c r="E69" s="217"/>
      <x:c r="F69" s="217"/>
      <x:c r="G69" s="218"/>
      <x:c r="H69" s="217"/>
      <x:c r="I69" s="217"/>
      <x:c r="J69" s="217"/>
      <x:c r="K69" s="217"/>
      <x:c r="L69" s="217"/>
      <x:c r="M69" s="217"/>
      <x:c r="N69" s="217"/>
      <x:c r="O69" s="217"/>
    </x:row>
    <x:row r="70" ht="19" customHeight="1">
      <x:c r="A70" s="117"/>
      <x:c r="B70" s="117"/>
      <x:c r="C70" s="197"/>
      <x:c r="D70" s="217"/>
      <x:c r="E70" s="217"/>
      <x:c r="F70" s="217"/>
      <x:c r="G70" s="218"/>
      <x:c r="H70" s="217"/>
      <x:c r="I70" s="217"/>
      <x:c r="J70" s="217"/>
      <x:c r="K70" s="217"/>
      <x:c r="L70" s="217"/>
      <x:c r="M70" s="217"/>
      <x:c r="N70" s="217"/>
      <x:c r="O70" s="217"/>
    </x:row>
    <x:row r="71">
      <x:c r="G71" s="181"/>
    </x:row>
    <x:row r="72">
      <x:c r="G72" s="181"/>
    </x:row>
    <x:row r="73">
      <x:c r="G73" s="181"/>
    </x:row>
    <x:row r="74">
      <x:c r="G74" s="181"/>
    </x:row>
    <x:row r="75">
      <x:c r="G75" s="181"/>
    </x:row>
    <x:row r="76">
      <x:c r="G76" s="181"/>
    </x:row>
    <x:row r="77">
      <x:c r="G77" s="181"/>
    </x:row>
    <x:row r="78">
      <x:c r="G78" s="181"/>
    </x:row>
    <x:row r="79">
      <x:c r="G79" s="181"/>
    </x:row>
    <x:row r="80">
      <x:c r="G80" s="181"/>
    </x:row>
    <x:row r="81">
      <x:c r="G81" s="181"/>
    </x:row>
    <x:row r="82">
      <x:c r="G82" s="181"/>
    </x:row>
    <x:row r="83">
      <x:c r="G83" s="181"/>
    </x:row>
    <x:row r="84">
      <x:c r="G84" s="181"/>
    </x:row>
    <x:row r="85">
      <x:c r="G85" s="181"/>
    </x:row>
    <x:row r="86">
      <x:c r="G86" s="181"/>
    </x:row>
    <x:row r="87">
      <x:c r="G87" s="181"/>
    </x:row>
    <x:row r="88">
      <x:c r="G88" s="181"/>
    </x:row>
    <x:row r="89">
      <x:c r="G89" s="181"/>
    </x:row>
    <x:row r="90">
      <x:c r="G90" s="181"/>
    </x:row>
    <x:row r="91">
      <x:c r="G91" s="181"/>
    </x:row>
    <x:row r="92">
      <x:c r="G92" s="181"/>
    </x:row>
    <x:row r="93">
      <x:c r="G93" s="181"/>
    </x:row>
    <x:row r="94">
      <x:c r="G94" s="181"/>
    </x:row>
    <x:row r="95">
      <x:c r="G95" s="181"/>
    </x:row>
    <x:row r="96">
      <x:c r="G96" s="181"/>
    </x:row>
    <x:row r="97">
      <x:c r="G97" s="181"/>
    </x:row>
    <x:row r="98">
      <x:c r="G98" s="181"/>
    </x:row>
    <x:row r="99">
      <x:c r="G99" s="181"/>
    </x:row>
    <x:row r="100">
      <x:c r="G100" s="181"/>
    </x:row>
    <x:row r="101">
      <x:c r="G101" s="181"/>
    </x:row>
    <x:row r="102">
      <x:c r="G102" s="181"/>
    </x:row>
    <x:row r="103">
      <x:c r="G103" s="181"/>
    </x:row>
    <x:row r="104">
      <x:c r="G104" s="181"/>
    </x:row>
    <x:row r="105">
      <x:c r="G105" s="181"/>
    </x:row>
    <x:row r="106">
      <x:c r="G106" s="181"/>
    </x:row>
    <x:row r="107">
      <x:c r="G107" s="181"/>
    </x:row>
    <x:row r="108">
      <x:c r="G108" s="181"/>
    </x:row>
    <x:row r="109">
      <x:c r="G109" s="181"/>
    </x:row>
    <x:row r="110">
      <x:c r="G110" s="181"/>
    </x:row>
    <x:row r="111">
      <x:c r="G111" s="181"/>
    </x:row>
    <x:row r="112">
      <x:c r="G112" s="181"/>
    </x:row>
    <x:row r="113">
      <x:c r="G113" s="181"/>
    </x:row>
    <x:row r="114">
      <x:c r="G114" s="181"/>
    </x:row>
    <x:row r="115">
      <x:c r="G115" s="181"/>
    </x:row>
    <x:row r="116">
      <x:c r="G116" s="181"/>
    </x:row>
    <x:row r="117">
      <x:c r="G117" s="181"/>
    </x:row>
    <x:row r="118">
      <x:c r="G118" s="181"/>
    </x:row>
    <x:row r="119">
      <x:c r="G119" s="181"/>
    </x:row>
    <x:row r="120">
      <x:c r="G120" s="181"/>
    </x:row>
    <x:row r="121">
      <x:c r="G121" s="181"/>
    </x:row>
    <x:row r="122">
      <x:c r="G122" s="181"/>
    </x:row>
    <x:row r="123">
      <x:c r="G123" s="181"/>
    </x:row>
    <x:row r="124">
      <x:c r="G124" s="181"/>
    </x:row>
    <x:row r="125">
      <x:c r="G125" s="181"/>
    </x:row>
    <x:row r="126">
      <x:c r="G126" s="181"/>
    </x:row>
    <x:row r="127">
      <x:c r="G127" s="181"/>
    </x:row>
    <x:row r="128">
      <x:c r="G128" s="181"/>
    </x:row>
    <x:row r="129">
      <x:c r="G129" s="181"/>
    </x:row>
    <x:row r="130">
      <x:c r="G130" s="181"/>
    </x:row>
    <x:row r="131">
      <x:c r="G131" s="181"/>
    </x:row>
    <x:row r="132">
      <x:c r="G132" s="181"/>
    </x:row>
    <x:row r="133">
      <x:c r="G133" s="181"/>
    </x:row>
    <x:row r="134">
      <x:c r="G134" s="181"/>
    </x:row>
    <x:row r="135">
      <x:c r="G135" s="181"/>
    </x:row>
    <x:row r="136">
      <x:c r="G136" s="181"/>
    </x:row>
    <x:row r="137">
      <x:c r="G137" s="181"/>
    </x:row>
    <x:row r="138">
      <x:c r="G138" s="181"/>
    </x:row>
    <x:row r="139">
      <x:c r="G139" s="181"/>
    </x:row>
    <x:row r="140">
      <x:c r="G140" s="181"/>
    </x:row>
    <x:row r="141">
      <x:c r="G141" s="181"/>
    </x:row>
    <x:row r="142">
      <x:c r="G142" s="181"/>
    </x:row>
    <x:row r="143">
      <x:c r="G143" s="181"/>
    </x:row>
    <x:row r="144">
      <x:c r="G144" s="181"/>
    </x:row>
    <x:row r="145">
      <x:c r="G145" s="181"/>
    </x:row>
    <x:row r="146">
      <x:c r="G146" s="181"/>
    </x:row>
    <x:row r="147">
      <x:c r="G147" s="181"/>
    </x:row>
    <x:row r="148">
      <x:c r="G148" s="181"/>
    </x:row>
  </x:sheetData>
  <x:conditionalFormatting sqref="D32:O32">
    <x:cfRule type="expression" dxfId="0" priority="1">
      <x:formula>AND(ISNUMBER(D32),ABS(D32)&gt;0.01)</x:formula>
    </x:cfRule>
  </x:conditionalFormatting>
  <x:conditionalFormatting sqref="D33:O33">
    <x:cfRule type="expression" dxfId="1" priority="2">
      <x:formula>AND(ISNUMBER(D33),ABS(D33)&gt;0.01)</x:formula>
    </x:cfRule>
  </x:conditionalFormatting>
  <x:conditionalFormatting sqref="D34:O34">
    <x:cfRule type="expression" dxfId="2" priority="3">
      <x:formula>AND(ISNUMBER(D34),ABS(D34)&gt;0.01)</x:formula>
    </x:cfRule>
  </x:conditionalFormatting>
  <x:conditionalFormatting sqref="D35:O35">
    <x:cfRule type="expression" dxfId="3" priority="4">
      <x:formula>AND(ISNUMBER(D35),ABS(D35)&gt;0.01)</x:formula>
    </x:cfRule>
  </x:conditionalFormatting>
  <x:conditionalFormatting sqref="D36:O36">
    <x:cfRule type="expression" dxfId="4" priority="5">
      <x:formula>AND(ISNUMBER(D36),ABS(D36)&gt;0.01)</x:formula>
    </x:cfRule>
  </x:conditionalFormatting>
  <x:conditionalFormatting sqref="D37:O37">
    <x:cfRule type="expression" dxfId="5" priority="6">
      <x:formula>AND(ISNUMBER(D37),ABS(D37)&gt;0.01)</x:formula>
    </x:cfRule>
  </x:conditionalFormatting>
  <x:conditionalFormatting sqref="D38:O38">
    <x:cfRule type="expression" dxfId="6" priority="7">
      <x:formula>AND(ISNUMBER(D38),ABS(D38)&gt;0.01)</x:formula>
    </x:cfRule>
  </x:conditionalFormatting>
  <x:conditionalFormatting sqref="D39:O39">
    <x:cfRule type="expression" dxfId="7" priority="8">
      <x:formula>AND(ISNUMBER(D39),ABS(D39)&gt;0.01)</x:formula>
    </x:cfRule>
  </x:conditionalFormatting>
  <x:conditionalFormatting sqref="D40:O40">
    <x:cfRule type="expression" dxfId="8" priority="9">
      <x:formula>AND(ISNUMBER(D40),ABS(D40)&gt;0.01)</x:formula>
    </x:cfRule>
  </x:conditionalFormatting>
  <x:conditionalFormatting sqref="D41:O41">
    <x:cfRule type="expression" dxfId="9" priority="10">
      <x:formula>AND(ISNUMBER(D41),ABS(D41)&gt;0.01)</x:formula>
    </x:cfRule>
  </x:conditionalFormatting>
  <x:conditionalFormatting sqref="D42:O42">
    <x:cfRule type="expression" dxfId="10" priority="11">
      <x:formula>AND(ISNUMBER(D42),ABS(D42)&gt;0.01)</x:formula>
    </x:cfRule>
  </x:conditionalFormatting>
  <x:conditionalFormatting sqref="D43:O43">
    <x:cfRule type="expression" dxfId="11" priority="12">
      <x:formula>AND(ISNUMBER(D43),ABS(D43)&gt;0.01)</x:formula>
    </x:cfRule>
  </x:conditionalFormatting>
  <x:conditionalFormatting sqref="D44:O44">
    <x:cfRule type="expression" dxfId="12" priority="13">
      <x:formula>AND(ISNUMBER(D44),ABS(D44)&gt;0.01)</x:formula>
    </x:cfRule>
  </x:conditionalFormatting>
  <x:conditionalFormatting sqref="D10:F10">
    <x:cfRule type="expression" dxfId="13" priority="14">
      <x:formula>AND(ISNUMBER(D10),ABS(D10)&gt;0.01)</x:formula>
    </x:cfRule>
  </x:conditionalFormatting>
  <x:conditionalFormatting sqref="D12:F12">
    <x:cfRule type="expression" dxfId="14" priority="15">
      <x:formula>AND(ISNUMBER(D12),ABS(D12)&gt;0.01)</x:formula>
    </x:cfRule>
  </x:conditionalFormatting>
  <x:conditionalFormatting sqref="D13:F13">
    <x:cfRule type="expression" dxfId="15" priority="16">
      <x:formula>AND(ISNUMBER(D13),ABS(D13)&gt;0.01)</x:formula>
    </x:cfRule>
  </x:conditionalFormatting>
  <x:conditionalFormatting sqref="D17:F17">
    <x:cfRule type="expression" dxfId="16" priority="17">
      <x:formula>AND(ISNUMBER(D17),ABS(D17)&gt;0.01)</x:formula>
    </x:cfRule>
  </x:conditionalFormatting>
  <x:conditionalFormatting sqref="D21:F21">
    <x:cfRule type="expression" dxfId="17" priority="18">
      <x:formula>AND(ISNUMBER(D21),ABS(D21)&gt;0.01)</x:formula>
    </x:cfRule>
  </x:conditionalFormatting>
  <x:conditionalFormatting sqref="D23:F23">
    <x:cfRule type="expression" dxfId="18" priority="19">
      <x:formula>AND(ISNUMBER(D23),ABS(D23)&gt;0.01)</x:formula>
    </x:cfRule>
  </x:conditionalFormatting>
  <x:conditionalFormatting sqref="D24:F24">
    <x:cfRule type="expression" dxfId="19" priority="20">
      <x:formula>AND(ISNUMBER(D24),ABS(D24)&gt;0.01)</x:formula>
    </x:cfRule>
  </x:conditionalFormatting>
  <x:conditionalFormatting sqref="D25:F25">
    <x:cfRule type="expression" dxfId="20" priority="21">
      <x:formula>AND(ISNUMBER(D25),ABS(D25)&gt;0.01)</x:formula>
    </x:cfRule>
  </x:conditionalFormatting>
  <x:conditionalFormatting sqref="D26:F26">
    <x:cfRule type="expression" dxfId="21" priority="22">
      <x:formula>AND(ISNUMBER(D26),ABS(D26)&gt;0.01)</x:formula>
    </x:cfRule>
  </x:conditionalFormatting>
  <x:pageMargins left="0.7" right="0.7" top="0.75" bottom="0.75" header="0.3" footer="0.3"/>
</x:worksheet>
</file>