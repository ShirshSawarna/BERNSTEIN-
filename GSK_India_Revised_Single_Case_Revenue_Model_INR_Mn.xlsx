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hirshsawarna/Desktop/"/>
    </mc:Choice>
  </mc:AlternateContent>
  <xr:revisionPtr revIDLastSave="0" documentId="13_ncr:1_{7549558C-E52A-0B4F-8854-EC117DC0E5C1}" xr6:coauthVersionLast="47" xr6:coauthVersionMax="47" xr10:uidLastSave="{00000000-0000-0000-0000-000000000000}"/>
  <bookViews>
    <workbookView xWindow="0" yWindow="600" windowWidth="28800" windowHeight="15620" xr2:uid="{00000000-000D-0000-FFFF-FFFF00000000}"/>
  </bookViews>
  <sheets>
    <sheet name="Revenue_Model" sheetId="1" r:id="rId1"/>
    <sheet name="Assumptions_Sourc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2" l="1"/>
  <c r="F41" i="2"/>
  <c r="F40" i="2"/>
  <c r="F39" i="2"/>
  <c r="F38" i="2"/>
  <c r="F37" i="2"/>
  <c r="F55" i="1"/>
  <c r="O53" i="1"/>
  <c r="N53" i="1"/>
  <c r="M53" i="1"/>
  <c r="L53" i="1"/>
  <c r="K53" i="1"/>
  <c r="J53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F52" i="1"/>
  <c r="E52" i="1"/>
  <c r="D52" i="1"/>
  <c r="C52" i="1"/>
  <c r="B52" i="1"/>
  <c r="Y51" i="1"/>
  <c r="X51" i="1"/>
  <c r="H51" i="1"/>
  <c r="H52" i="1" s="1"/>
  <c r="G51" i="1"/>
  <c r="G52" i="1" s="1"/>
  <c r="Y47" i="1"/>
  <c r="X47" i="1"/>
  <c r="W47" i="1"/>
  <c r="V47" i="1"/>
  <c r="U47" i="1"/>
  <c r="T47" i="1"/>
  <c r="S47" i="1"/>
  <c r="R47" i="1"/>
  <c r="Q47" i="1"/>
  <c r="P47" i="1"/>
  <c r="O47" i="1"/>
  <c r="M47" i="1" s="1"/>
  <c r="J47" i="1"/>
  <c r="G47" i="1" s="1"/>
  <c r="Y46" i="1"/>
  <c r="X46" i="1"/>
  <c r="W46" i="1"/>
  <c r="V46" i="1"/>
  <c r="U46" i="1"/>
  <c r="T46" i="1"/>
  <c r="S46" i="1"/>
  <c r="R46" i="1"/>
  <c r="Q46" i="1"/>
  <c r="P46" i="1"/>
  <c r="O46" i="1"/>
  <c r="M46" i="1" s="1"/>
  <c r="J46" i="1"/>
  <c r="G46" i="1" s="1"/>
  <c r="Y45" i="1"/>
  <c r="X45" i="1"/>
  <c r="W45" i="1"/>
  <c r="V45" i="1"/>
  <c r="U45" i="1"/>
  <c r="T45" i="1"/>
  <c r="S45" i="1"/>
  <c r="R45" i="1"/>
  <c r="Q45" i="1"/>
  <c r="P45" i="1"/>
  <c r="O45" i="1"/>
  <c r="L45" i="1" s="1"/>
  <c r="J45" i="1"/>
  <c r="H45" i="1" s="1"/>
  <c r="Y43" i="1"/>
  <c r="X43" i="1"/>
  <c r="W43" i="1"/>
  <c r="V43" i="1"/>
  <c r="U43" i="1"/>
  <c r="T43" i="1"/>
  <c r="S43" i="1"/>
  <c r="R43" i="1"/>
  <c r="Q43" i="1"/>
  <c r="P43" i="1"/>
  <c r="Y42" i="1"/>
  <c r="X42" i="1"/>
  <c r="W42" i="1"/>
  <c r="V42" i="1"/>
  <c r="U42" i="1"/>
  <c r="T42" i="1"/>
  <c r="S42" i="1"/>
  <c r="R42" i="1"/>
  <c r="Q42" i="1"/>
  <c r="P42" i="1"/>
  <c r="Y41" i="1"/>
  <c r="X41" i="1"/>
  <c r="O41" i="1"/>
  <c r="J41" i="1"/>
  <c r="Y40" i="1"/>
  <c r="X40" i="1"/>
  <c r="O40" i="1"/>
  <c r="J40" i="1"/>
  <c r="F39" i="1"/>
  <c r="F44" i="1" s="1"/>
  <c r="E39" i="1"/>
  <c r="Y39" i="1" s="1"/>
  <c r="D39" i="1"/>
  <c r="D44" i="1" s="1"/>
  <c r="D48" i="1" s="1"/>
  <c r="C39" i="1"/>
  <c r="C44" i="1" s="1"/>
  <c r="C48" i="1" s="1"/>
  <c r="B39" i="1"/>
  <c r="B44" i="1" s="1"/>
  <c r="B48" i="1" s="1"/>
  <c r="Y38" i="1"/>
  <c r="X38" i="1"/>
  <c r="W38" i="1"/>
  <c r="W39" i="1" s="1"/>
  <c r="V38" i="1"/>
  <c r="V39" i="1" s="1"/>
  <c r="U38" i="1"/>
  <c r="U39" i="1" s="1"/>
  <c r="T38" i="1"/>
  <c r="T39" i="1" s="1"/>
  <c r="S38" i="1"/>
  <c r="S39" i="1" s="1"/>
  <c r="R38" i="1"/>
  <c r="R39" i="1" s="1"/>
  <c r="Q38" i="1"/>
  <c r="Q39" i="1" s="1"/>
  <c r="P38" i="1"/>
  <c r="P39" i="1" s="1"/>
  <c r="Y37" i="1"/>
  <c r="X37" i="1"/>
  <c r="O37" i="1"/>
  <c r="J37" i="1"/>
  <c r="O34" i="1"/>
  <c r="L34" i="1" s="1"/>
  <c r="J34" i="1"/>
  <c r="F34" i="1"/>
  <c r="E34" i="1"/>
  <c r="Y34" i="1" s="1"/>
  <c r="D34" i="1"/>
  <c r="D35" i="1" s="1"/>
  <c r="C34" i="1"/>
  <c r="B34" i="1"/>
  <c r="Y33" i="1"/>
  <c r="X33" i="1"/>
  <c r="W33" i="1"/>
  <c r="V33" i="1"/>
  <c r="U33" i="1"/>
  <c r="T33" i="1"/>
  <c r="S33" i="1"/>
  <c r="R33" i="1"/>
  <c r="Q33" i="1"/>
  <c r="P33" i="1"/>
  <c r="O33" i="1"/>
  <c r="L33" i="1" s="1"/>
  <c r="J33" i="1"/>
  <c r="H33" i="1" s="1"/>
  <c r="G33" i="1"/>
  <c r="J32" i="1"/>
  <c r="G32" i="1" s="1"/>
  <c r="J31" i="1"/>
  <c r="F28" i="1"/>
  <c r="E28" i="1"/>
  <c r="D28" i="1"/>
  <c r="C28" i="1"/>
  <c r="B28" i="1"/>
  <c r="J27" i="1"/>
  <c r="H27" i="1" s="1"/>
  <c r="J26" i="1"/>
  <c r="H26" i="1" s="1"/>
  <c r="G26" i="1"/>
  <c r="I26" i="1" s="1"/>
  <c r="J25" i="1"/>
  <c r="F22" i="1"/>
  <c r="E22" i="1"/>
  <c r="D22" i="1"/>
  <c r="C22" i="1"/>
  <c r="B22" i="1"/>
  <c r="Y21" i="1"/>
  <c r="X21" i="1"/>
  <c r="W21" i="1"/>
  <c r="V21" i="1"/>
  <c r="U21" i="1"/>
  <c r="T21" i="1"/>
  <c r="S21" i="1"/>
  <c r="R21" i="1"/>
  <c r="Q21" i="1"/>
  <c r="P21" i="1"/>
  <c r="M21" i="1"/>
  <c r="L21" i="1"/>
  <c r="K21" i="1"/>
  <c r="H21" i="1"/>
  <c r="G21" i="1"/>
  <c r="P20" i="1"/>
  <c r="Q20" i="1" s="1"/>
  <c r="R20" i="1" s="1"/>
  <c r="X20" i="1" s="1"/>
  <c r="M20" i="1"/>
  <c r="L20" i="1"/>
  <c r="K20" i="1"/>
  <c r="H20" i="1"/>
  <c r="G20" i="1"/>
  <c r="P19" i="1"/>
  <c r="Q19" i="1" s="1"/>
  <c r="R19" i="1" s="1"/>
  <c r="M19" i="1"/>
  <c r="L19" i="1"/>
  <c r="K19" i="1"/>
  <c r="H19" i="1"/>
  <c r="G19" i="1"/>
  <c r="P18" i="1"/>
  <c r="M18" i="1"/>
  <c r="L18" i="1"/>
  <c r="K18" i="1"/>
  <c r="H18" i="1"/>
  <c r="G18" i="1"/>
  <c r="P17" i="1"/>
  <c r="Q17" i="1" s="1"/>
  <c r="M17" i="1"/>
  <c r="L17" i="1"/>
  <c r="K17" i="1"/>
  <c r="H17" i="1"/>
  <c r="G17" i="1"/>
  <c r="F14" i="1"/>
  <c r="E14" i="1"/>
  <c r="D14" i="1"/>
  <c r="C14" i="1"/>
  <c r="B14" i="1"/>
  <c r="P13" i="1"/>
  <c r="Q13" i="1" s="1"/>
  <c r="R13" i="1" s="1"/>
  <c r="S13" i="1" s="1"/>
  <c r="T13" i="1" s="1"/>
  <c r="U13" i="1" s="1"/>
  <c r="V13" i="1" s="1"/>
  <c r="W13" i="1" s="1"/>
  <c r="Y13" i="1" s="1"/>
  <c r="M13" i="1"/>
  <c r="L13" i="1"/>
  <c r="K13" i="1"/>
  <c r="H13" i="1"/>
  <c r="G13" i="1"/>
  <c r="P12" i="1"/>
  <c r="Q12" i="1" s="1"/>
  <c r="R12" i="1" s="1"/>
  <c r="M12" i="1"/>
  <c r="L12" i="1"/>
  <c r="K12" i="1"/>
  <c r="H12" i="1"/>
  <c r="G12" i="1"/>
  <c r="P11" i="1"/>
  <c r="Q11" i="1" s="1"/>
  <c r="R11" i="1" s="1"/>
  <c r="M11" i="1"/>
  <c r="L11" i="1"/>
  <c r="K11" i="1"/>
  <c r="H11" i="1"/>
  <c r="G11" i="1"/>
  <c r="P10" i="1"/>
  <c r="M10" i="1"/>
  <c r="L10" i="1"/>
  <c r="K10" i="1"/>
  <c r="H10" i="1"/>
  <c r="G10" i="1"/>
  <c r="P9" i="1"/>
  <c r="Q9" i="1" s="1"/>
  <c r="R9" i="1" s="1"/>
  <c r="M9" i="1"/>
  <c r="L9" i="1"/>
  <c r="K9" i="1"/>
  <c r="H9" i="1"/>
  <c r="G9" i="1"/>
  <c r="P8" i="1"/>
  <c r="Q8" i="1" s="1"/>
  <c r="R8" i="1" s="1"/>
  <c r="M8" i="1"/>
  <c r="L8" i="1"/>
  <c r="K8" i="1"/>
  <c r="H8" i="1"/>
  <c r="G8" i="1"/>
  <c r="I10" i="1" l="1"/>
  <c r="I18" i="1"/>
  <c r="I20" i="1"/>
  <c r="O27" i="1"/>
  <c r="K27" i="1" s="1"/>
  <c r="I11" i="1"/>
  <c r="N10" i="1"/>
  <c r="N20" i="1"/>
  <c r="N11" i="1"/>
  <c r="U48" i="1"/>
  <c r="U56" i="1" s="1"/>
  <c r="I9" i="1"/>
  <c r="K22" i="1"/>
  <c r="N12" i="1"/>
  <c r="O26" i="1"/>
  <c r="L26" i="1" s="1"/>
  <c r="R48" i="1"/>
  <c r="R56" i="1" s="1"/>
  <c r="H3" i="1" s="1"/>
  <c r="N18" i="1"/>
  <c r="G27" i="1"/>
  <c r="I27" i="1" s="1"/>
  <c r="X8" i="1"/>
  <c r="S8" i="1"/>
  <c r="T8" i="1" s="1"/>
  <c r="S11" i="1"/>
  <c r="T11" i="1" s="1"/>
  <c r="U11" i="1" s="1"/>
  <c r="V11" i="1" s="1"/>
  <c r="W11" i="1" s="1"/>
  <c r="Y11" i="1" s="1"/>
  <c r="X11" i="1"/>
  <c r="H14" i="1"/>
  <c r="P48" i="1"/>
  <c r="P56" i="1" s="1"/>
  <c r="K14" i="1"/>
  <c r="L14" i="1"/>
  <c r="N9" i="1"/>
  <c r="H22" i="1"/>
  <c r="H47" i="1"/>
  <c r="I47" i="1" s="1"/>
  <c r="B50" i="1"/>
  <c r="B53" i="1" s="1"/>
  <c r="P14" i="1"/>
  <c r="X39" i="1"/>
  <c r="V48" i="1"/>
  <c r="V56" i="1" s="1"/>
  <c r="K47" i="1"/>
  <c r="D56" i="1"/>
  <c r="N19" i="1"/>
  <c r="E44" i="1"/>
  <c r="S48" i="1"/>
  <c r="S56" i="1" s="1"/>
  <c r="W48" i="1"/>
  <c r="W56" i="1" s="1"/>
  <c r="K3" i="1" s="1"/>
  <c r="G45" i="1"/>
  <c r="I45" i="1" s="1"/>
  <c r="K46" i="1"/>
  <c r="L47" i="1"/>
  <c r="I33" i="1"/>
  <c r="I12" i="1"/>
  <c r="I13" i="1"/>
  <c r="I19" i="1"/>
  <c r="N21" i="1"/>
  <c r="L46" i="1"/>
  <c r="S9" i="1"/>
  <c r="T9" i="1" s="1"/>
  <c r="U9" i="1" s="1"/>
  <c r="V9" i="1" s="1"/>
  <c r="W9" i="1" s="1"/>
  <c r="Y9" i="1" s="1"/>
  <c r="X9" i="1"/>
  <c r="J35" i="1"/>
  <c r="H31" i="1"/>
  <c r="O31" i="1"/>
  <c r="G31" i="1"/>
  <c r="I8" i="1"/>
  <c r="I21" i="1"/>
  <c r="M14" i="1"/>
  <c r="M22" i="1"/>
  <c r="G22" i="1"/>
  <c r="I17" i="1"/>
  <c r="C50" i="1"/>
  <c r="C53" i="1" s="1"/>
  <c r="B56" i="1"/>
  <c r="X19" i="1"/>
  <c r="S19" i="1"/>
  <c r="T19" i="1" s="1"/>
  <c r="U19" i="1" s="1"/>
  <c r="V19" i="1" s="1"/>
  <c r="W19" i="1" s="1"/>
  <c r="Y19" i="1" s="1"/>
  <c r="C56" i="1"/>
  <c r="Q10" i="1"/>
  <c r="R10" i="1" s="1"/>
  <c r="R14" i="1" s="1"/>
  <c r="T48" i="1"/>
  <c r="T56" i="1" s="1"/>
  <c r="N17" i="1"/>
  <c r="S20" i="1"/>
  <c r="T20" i="1" s="1"/>
  <c r="U20" i="1" s="1"/>
  <c r="V20" i="1" s="1"/>
  <c r="W20" i="1" s="1"/>
  <c r="Y20" i="1" s="1"/>
  <c r="F48" i="1"/>
  <c r="F56" i="1" s="1"/>
  <c r="Q48" i="1"/>
  <c r="Q56" i="1" s="1"/>
  <c r="S12" i="1"/>
  <c r="T12" i="1" s="1"/>
  <c r="U12" i="1" s="1"/>
  <c r="V12" i="1" s="1"/>
  <c r="W12" i="1" s="1"/>
  <c r="Y12" i="1" s="1"/>
  <c r="X12" i="1"/>
  <c r="P22" i="1"/>
  <c r="Q18" i="1"/>
  <c r="R18" i="1" s="1"/>
  <c r="M34" i="1"/>
  <c r="K34" i="1"/>
  <c r="X13" i="1"/>
  <c r="O25" i="1"/>
  <c r="G25" i="1"/>
  <c r="J28" i="1"/>
  <c r="H25" i="1"/>
  <c r="H28" i="1" s="1"/>
  <c r="L22" i="1"/>
  <c r="H32" i="1"/>
  <c r="I32" i="1" s="1"/>
  <c r="M33" i="1"/>
  <c r="K33" i="1"/>
  <c r="G14" i="1"/>
  <c r="N13" i="1"/>
  <c r="D54" i="1"/>
  <c r="R17" i="1"/>
  <c r="O32" i="1"/>
  <c r="X34" i="1"/>
  <c r="C35" i="1"/>
  <c r="C54" i="1" s="1"/>
  <c r="M45" i="1"/>
  <c r="E35" i="1"/>
  <c r="F35" i="1"/>
  <c r="D50" i="1"/>
  <c r="D53" i="1" s="1"/>
  <c r="I51" i="1"/>
  <c r="I52" i="1" s="1"/>
  <c r="N8" i="1"/>
  <c r="K45" i="1"/>
  <c r="H46" i="1"/>
  <c r="I46" i="1" s="1"/>
  <c r="B35" i="1"/>
  <c r="B54" i="1" s="1"/>
  <c r="M27" i="1" l="1"/>
  <c r="P27" i="1"/>
  <c r="Q27" i="1" s="1"/>
  <c r="R27" i="1" s="1"/>
  <c r="L27" i="1"/>
  <c r="N27" i="1" s="1"/>
  <c r="Q22" i="1"/>
  <c r="N34" i="1"/>
  <c r="P26" i="1"/>
  <c r="Q26" i="1" s="1"/>
  <c r="R26" i="1" s="1"/>
  <c r="S26" i="1" s="1"/>
  <c r="T26" i="1" s="1"/>
  <c r="U26" i="1" s="1"/>
  <c r="V26" i="1" s="1"/>
  <c r="W26" i="1" s="1"/>
  <c r="Y26" i="1" s="1"/>
  <c r="N45" i="1"/>
  <c r="I31" i="1"/>
  <c r="M26" i="1"/>
  <c r="K26" i="1"/>
  <c r="N26" i="1" s="1"/>
  <c r="F50" i="1"/>
  <c r="F53" i="1" s="1"/>
  <c r="N14" i="1"/>
  <c r="E48" i="1"/>
  <c r="Y44" i="1"/>
  <c r="X44" i="1"/>
  <c r="N22" i="1"/>
  <c r="N33" i="1"/>
  <c r="I14" i="1"/>
  <c r="I22" i="1"/>
  <c r="N46" i="1"/>
  <c r="N47" i="1"/>
  <c r="R22" i="1"/>
  <c r="X22" i="1" s="1"/>
  <c r="S17" i="1"/>
  <c r="X17" i="1"/>
  <c r="O28" i="1"/>
  <c r="K25" i="1"/>
  <c r="K28" i="1" s="1"/>
  <c r="P25" i="1"/>
  <c r="M25" i="1"/>
  <c r="L25" i="1"/>
  <c r="L28" i="1" s="1"/>
  <c r="X10" i="1"/>
  <c r="S10" i="1"/>
  <c r="I34" i="1"/>
  <c r="Q14" i="1"/>
  <c r="P31" i="1"/>
  <c r="L31" i="1"/>
  <c r="O35" i="1"/>
  <c r="M31" i="1"/>
  <c r="K31" i="1"/>
  <c r="S18" i="1"/>
  <c r="T18" i="1" s="1"/>
  <c r="U18" i="1" s="1"/>
  <c r="V18" i="1" s="1"/>
  <c r="W18" i="1" s="1"/>
  <c r="Y18" i="1" s="1"/>
  <c r="X18" i="1"/>
  <c r="B66" i="1"/>
  <c r="D57" i="1"/>
  <c r="D60" i="1"/>
  <c r="D55" i="1"/>
  <c r="F54" i="1"/>
  <c r="H34" i="1"/>
  <c r="H35" i="1" s="1"/>
  <c r="B57" i="1"/>
  <c r="B60" i="1"/>
  <c r="X14" i="1"/>
  <c r="C57" i="1"/>
  <c r="C60" i="1"/>
  <c r="C55" i="1"/>
  <c r="G34" i="1"/>
  <c r="G35" i="1" s="1"/>
  <c r="M32" i="1"/>
  <c r="K32" i="1"/>
  <c r="L32" i="1"/>
  <c r="P32" i="1"/>
  <c r="Q32" i="1" s="1"/>
  <c r="R32" i="1" s="1"/>
  <c r="G28" i="1"/>
  <c r="I25" i="1"/>
  <c r="I28" i="1" s="1"/>
  <c r="U8" i="1"/>
  <c r="X27" i="1" l="1"/>
  <c r="S27" i="1"/>
  <c r="T27" i="1" s="1"/>
  <c r="U27" i="1" s="1"/>
  <c r="V27" i="1" s="1"/>
  <c r="W27" i="1" s="1"/>
  <c r="Y27" i="1" s="1"/>
  <c r="X26" i="1"/>
  <c r="M28" i="1"/>
  <c r="N25" i="1"/>
  <c r="N28" i="1" s="1"/>
  <c r="N32" i="1"/>
  <c r="E50" i="1"/>
  <c r="E53" i="1" s="1"/>
  <c r="E56" i="1"/>
  <c r="L35" i="1"/>
  <c r="K35" i="1"/>
  <c r="E54" i="1"/>
  <c r="E3" i="1"/>
  <c r="F66" i="1"/>
  <c r="F57" i="1"/>
  <c r="M35" i="1"/>
  <c r="V8" i="1"/>
  <c r="P35" i="1"/>
  <c r="Q31" i="1"/>
  <c r="I35" i="1"/>
  <c r="T10" i="1"/>
  <c r="S14" i="1"/>
  <c r="N31" i="1"/>
  <c r="N35" i="1" s="1"/>
  <c r="S32" i="1"/>
  <c r="T32" i="1" s="1"/>
  <c r="U32" i="1" s="1"/>
  <c r="V32" i="1" s="1"/>
  <c r="W32" i="1" s="1"/>
  <c r="Y32" i="1" s="1"/>
  <c r="X32" i="1"/>
  <c r="P28" i="1"/>
  <c r="Q25" i="1"/>
  <c r="T17" i="1"/>
  <c r="S22" i="1"/>
  <c r="E57" i="1" l="1"/>
  <c r="E2" i="1"/>
  <c r="E60" i="1"/>
  <c r="E55" i="1"/>
  <c r="D66" i="1"/>
  <c r="Q28" i="1"/>
  <c r="R25" i="1"/>
  <c r="Q35" i="1"/>
  <c r="R31" i="1"/>
  <c r="P54" i="1"/>
  <c r="P50" i="1"/>
  <c r="P53" i="1" s="1"/>
  <c r="U17" i="1"/>
  <c r="T22" i="1"/>
  <c r="W8" i="1"/>
  <c r="U10" i="1"/>
  <c r="T14" i="1"/>
  <c r="Y8" i="1" l="1"/>
  <c r="V10" i="1"/>
  <c r="U14" i="1"/>
  <c r="R35" i="1"/>
  <c r="X31" i="1"/>
  <c r="S31" i="1"/>
  <c r="S25" i="1"/>
  <c r="R28" i="1"/>
  <c r="X25" i="1"/>
  <c r="U22" i="1"/>
  <c r="V17" i="1"/>
  <c r="Q54" i="1"/>
  <c r="Q50" i="1"/>
  <c r="Q53" i="1" s="1"/>
  <c r="P57" i="1"/>
  <c r="W10" i="1" l="1"/>
  <c r="V14" i="1"/>
  <c r="Q57" i="1"/>
  <c r="Q55" i="1"/>
  <c r="V22" i="1"/>
  <c r="W17" i="1"/>
  <c r="R54" i="1"/>
  <c r="R50" i="1"/>
  <c r="R53" i="1" s="1"/>
  <c r="S28" i="1"/>
  <c r="T25" i="1"/>
  <c r="T31" i="1"/>
  <c r="S35" i="1"/>
  <c r="Y17" i="1" l="1"/>
  <c r="W22" i="1"/>
  <c r="Y22" i="1" s="1"/>
  <c r="T35" i="1"/>
  <c r="U31" i="1"/>
  <c r="U25" i="1"/>
  <c r="T28" i="1"/>
  <c r="S54" i="1"/>
  <c r="S50" i="1"/>
  <c r="S53" i="1" s="1"/>
  <c r="Y10" i="1"/>
  <c r="W14" i="1"/>
  <c r="R57" i="1"/>
  <c r="R55" i="1"/>
  <c r="X54" i="1"/>
  <c r="N2" i="1"/>
  <c r="Y14" i="1" l="1"/>
  <c r="T50" i="1"/>
  <c r="T53" i="1" s="1"/>
  <c r="T54" i="1"/>
  <c r="V25" i="1"/>
  <c r="U28" i="1"/>
  <c r="V31" i="1"/>
  <c r="U35" i="1"/>
  <c r="S57" i="1"/>
  <c r="S55" i="1"/>
  <c r="U50" i="1" l="1"/>
  <c r="U53" i="1" s="1"/>
  <c r="U54" i="1"/>
  <c r="W31" i="1"/>
  <c r="V35" i="1"/>
  <c r="W25" i="1"/>
  <c r="V28" i="1"/>
  <c r="T57" i="1"/>
  <c r="T55" i="1"/>
  <c r="V54" i="1" l="1"/>
  <c r="V50" i="1"/>
  <c r="V53" i="1" s="1"/>
  <c r="W28" i="1"/>
  <c r="Y25" i="1"/>
  <c r="Y31" i="1"/>
  <c r="W35" i="1"/>
  <c r="U55" i="1"/>
  <c r="U57" i="1"/>
  <c r="W54" i="1" l="1"/>
  <c r="W50" i="1"/>
  <c r="W53" i="1" s="1"/>
  <c r="V55" i="1"/>
  <c r="V57" i="1"/>
  <c r="W55" i="1" l="1"/>
  <c r="R2" i="1"/>
  <c r="W57" i="1"/>
  <c r="Y54" i="1"/>
  <c r="V2" i="1" s="1"/>
  <c r="I53" i="1"/>
  <c r="I50" i="1"/>
  <c r="I44" i="1"/>
  <c r="I48" i="1"/>
  <c r="I42" i="1"/>
  <c r="M48" i="1"/>
  <c r="M42" i="1"/>
  <c r="I57" i="1"/>
  <c r="I39" i="1"/>
  <c r="I54" i="1"/>
  <c r="I55" i="1"/>
  <c r="K48" i="1"/>
  <c r="H48" i="1"/>
  <c r="H42" i="1"/>
  <c r="N56" i="1"/>
  <c r="K57" i="1"/>
  <c r="K54" i="1"/>
  <c r="K55" i="1"/>
  <c r="O55" i="1"/>
  <c r="K2" i="1"/>
  <c r="P55" i="1"/>
  <c r="K39" i="1"/>
  <c r="O39" i="1"/>
  <c r="O54" i="1"/>
  <c r="O57" i="1"/>
  <c r="H53" i="1"/>
  <c r="H50" i="1"/>
  <c r="H44" i="1"/>
  <c r="K56" i="1"/>
  <c r="L48" i="1"/>
  <c r="L42" i="1"/>
  <c r="M43" i="1"/>
  <c r="N43" i="1"/>
  <c r="K43" i="1"/>
  <c r="O43" i="1"/>
  <c r="L43" i="1"/>
  <c r="M56" i="1"/>
  <c r="L57" i="1"/>
  <c r="L39" i="1"/>
  <c r="L54" i="1"/>
  <c r="L55" i="1"/>
  <c r="O48" i="1"/>
  <c r="G55" i="1"/>
  <c r="G54" i="1"/>
  <c r="G57" i="1"/>
  <c r="J57" i="1"/>
  <c r="J55" i="1"/>
  <c r="G39" i="1"/>
  <c r="J39" i="1"/>
  <c r="J54" i="1"/>
  <c r="H2" i="1"/>
  <c r="H56" i="1"/>
  <c r="K42" i="1"/>
  <c r="O42" i="1"/>
  <c r="N42" i="1"/>
  <c r="N48" i="1"/>
  <c r="N55" i="1"/>
  <c r="N38" i="1"/>
  <c r="N39" i="1"/>
  <c r="N54" i="1"/>
  <c r="N57" i="1"/>
  <c r="L38" i="1"/>
  <c r="L56" i="1"/>
  <c r="G56" i="1"/>
  <c r="I43" i="1"/>
  <c r="G43" i="1"/>
  <c r="J43" i="1"/>
  <c r="H43" i="1"/>
  <c r="O56" i="1"/>
  <c r="M55" i="1"/>
  <c r="K38" i="1"/>
  <c r="O38" i="1"/>
  <c r="M38" i="1"/>
  <c r="M39" i="1"/>
  <c r="M54" i="1"/>
  <c r="M57" i="1"/>
  <c r="J56" i="1"/>
  <c r="J44" i="1"/>
  <c r="L44" i="1"/>
  <c r="M44" i="1"/>
  <c r="K44" i="1"/>
  <c r="O44" i="1"/>
  <c r="N44" i="1"/>
  <c r="J48" i="1"/>
  <c r="I38" i="1"/>
  <c r="I56" i="1"/>
  <c r="G44" i="1"/>
  <c r="G50" i="1"/>
  <c r="G53" i="1"/>
  <c r="J42" i="1"/>
  <c r="G42" i="1"/>
  <c r="G48" i="1"/>
  <c r="H57" i="1"/>
  <c r="G38" i="1"/>
  <c r="J38" i="1"/>
  <c r="H38" i="1"/>
  <c r="H39" i="1"/>
  <c r="H54" i="1"/>
  <c r="H5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8" authorId="0" shapeId="0" xr:uid="{00000000-0006-0000-0000-000001000000}">
      <text>
        <r>
          <rPr>
            <sz val="11"/>
            <color rgb="FF000000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C8" authorId="0" shapeId="0" xr:uid="{00000000-0006-0000-0000-000002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D8" authorId="0" shapeId="0" xr:uid="{00000000-0006-0000-0000-000003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E8" authorId="0" shapeId="0" xr:uid="{00000000-0006-0000-0000-000004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C9" authorId="0" shapeId="0" xr:uid="{00000000-0006-0000-0000-000006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D9" authorId="0" shapeId="0" xr:uid="{00000000-0006-0000-0000-000007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E9" authorId="0" shapeId="0" xr:uid="{00000000-0006-0000-0000-000008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B10" authorId="0" shapeId="0" xr:uid="{00000000-0006-0000-0000-000009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C10" authorId="0" shapeId="0" xr:uid="{00000000-0006-0000-0000-00000A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D10" authorId="0" shapeId="0" xr:uid="{00000000-0006-0000-0000-00000B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E10" authorId="0" shapeId="0" xr:uid="{00000000-0006-0000-0000-00000C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B11" authorId="0" shapeId="0" xr:uid="{00000000-0006-0000-0000-00000D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C11" authorId="0" shapeId="0" xr:uid="{00000000-0006-0000-0000-00000E000000}">
      <text>
        <r>
          <rPr>
            <sz val="11"/>
            <color rgb="FF000000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D11" authorId="0" shapeId="0" xr:uid="{00000000-0006-0000-0000-00000F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E11" authorId="0" shapeId="0" xr:uid="{00000000-0006-0000-0000-000010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B12" authorId="0" shapeId="0" xr:uid="{00000000-0006-0000-0000-000011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C12" authorId="0" shapeId="0" xr:uid="{00000000-0006-0000-0000-000012000000}">
      <text>
        <r>
          <rPr>
            <sz val="11"/>
            <color rgb="FF000000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D12" authorId="0" shapeId="0" xr:uid="{00000000-0006-0000-0000-000013000000}">
      <text>
        <r>
          <rPr>
            <sz val="11"/>
            <color rgb="FF000000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E12" authorId="0" shapeId="0" xr:uid="{00000000-0006-0000-0000-000014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B13" authorId="0" shapeId="0" xr:uid="{00000000-0006-0000-0000-000015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C13" authorId="0" shapeId="0" xr:uid="{00000000-0006-0000-0000-000016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D13" authorId="0" shapeId="0" xr:uid="{00000000-0006-0000-0000-000017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E13" authorId="0" shapeId="0" xr:uid="{00000000-0006-0000-0000-000018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B17" authorId="0" shapeId="0" xr:uid="{00000000-0006-0000-0000-000019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C17" authorId="0" shapeId="0" xr:uid="{00000000-0006-0000-0000-00001A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D17" authorId="0" shapeId="0" xr:uid="{00000000-0006-0000-0000-00001B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E17" authorId="0" shapeId="0" xr:uid="{00000000-0006-0000-0000-00001C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B18" authorId="0" shapeId="0" xr:uid="{00000000-0006-0000-0000-00001D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C18" authorId="0" shapeId="0" xr:uid="{00000000-0006-0000-0000-00001E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D18" authorId="0" shapeId="0" xr:uid="{00000000-0006-0000-0000-00001F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E18" authorId="0" shapeId="0" xr:uid="{00000000-0006-0000-0000-000020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B19" authorId="0" shapeId="0" xr:uid="{00000000-0006-0000-0000-000021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C19" authorId="0" shapeId="0" xr:uid="{00000000-0006-0000-0000-000022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D19" authorId="0" shapeId="0" xr:uid="{00000000-0006-0000-0000-000023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E19" authorId="0" shapeId="0" xr:uid="{00000000-0006-0000-0000-000024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B20" authorId="0" shapeId="0" xr:uid="{00000000-0006-0000-0000-000025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C20" authorId="0" shapeId="0" xr:uid="{00000000-0006-0000-0000-000026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D20" authorId="0" shapeId="0" xr:uid="{00000000-0006-0000-0000-000027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E20" authorId="0" shapeId="0" xr:uid="{00000000-0006-0000-0000-000028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B21" authorId="0" shapeId="0" xr:uid="{00000000-0006-0000-0000-000029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C21" authorId="0" shapeId="0" xr:uid="{00000000-0006-0000-0000-00002A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D21" authorId="0" shapeId="0" xr:uid="{00000000-0006-0000-0000-00002B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E21" authorId="0" shapeId="0" xr:uid="{00000000-0006-0000-0000-00002C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B25" authorId="0" shapeId="0" xr:uid="{00000000-0006-0000-0000-00002D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C25" authorId="0" shapeId="0" xr:uid="{00000000-0006-0000-0000-00002E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D25" authorId="0" shapeId="0" xr:uid="{00000000-0006-0000-0000-00002F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E25" authorId="0" shapeId="0" xr:uid="{00000000-0006-0000-0000-000030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B26" authorId="0" shapeId="0" xr:uid="{00000000-0006-0000-0000-000031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C26" authorId="0" shapeId="0" xr:uid="{00000000-0006-0000-0000-000032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D26" authorId="0" shapeId="0" xr:uid="{00000000-0006-0000-0000-000033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E26" authorId="0" shapeId="0" xr:uid="{00000000-0006-0000-0000-000034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B27" authorId="0" shapeId="0" xr:uid="{00000000-0006-0000-0000-000035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C27" authorId="0" shapeId="0" xr:uid="{00000000-0006-0000-0000-000036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D27" authorId="0" shapeId="0" xr:uid="{00000000-0006-0000-0000-000037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E27" authorId="0" shapeId="0" xr:uid="{00000000-0006-0000-0000-000038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B31" authorId="0" shapeId="0" xr:uid="{00000000-0006-0000-0000-000039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C31" authorId="0" shapeId="0" xr:uid="{00000000-0006-0000-0000-00003A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D31" authorId="0" shapeId="0" xr:uid="{00000000-0006-0000-0000-00003B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E31" authorId="0" shapeId="0" xr:uid="{00000000-0006-0000-0000-00003C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B32" authorId="0" shapeId="0" xr:uid="{00000000-0006-0000-0000-00003D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C32" authorId="0" shapeId="0" xr:uid="{00000000-0006-0000-0000-00003E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D32" authorId="0" shapeId="0" xr:uid="{00000000-0006-0000-0000-00003F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E32" authorId="0" shapeId="0" xr:uid="{00000000-0006-0000-0000-000040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B33" authorId="0" shapeId="0" xr:uid="{00000000-0006-0000-0000-000041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C33" authorId="0" shapeId="0" xr:uid="{00000000-0006-0000-0000-000042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D33" authorId="0" shapeId="0" xr:uid="{00000000-0006-0000-0000-000043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E33" authorId="0" shapeId="0" xr:uid="{00000000-0006-0000-0000-000044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B47" authorId="0" shapeId="0" xr:uid="{00000000-0006-0000-0000-000045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C47" authorId="0" shapeId="0" xr:uid="{00000000-0006-0000-0000-000046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D47" authorId="0" shapeId="0" xr:uid="{00000000-0006-0000-0000-000047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E47" authorId="0" shapeId="0" xr:uid="{00000000-0006-0000-0000-000048000000}">
      <text>
        <r>
          <rPr>
            <sz val="11"/>
            <color theme="1"/>
            <rFont val="Calibri"/>
            <family val="2"/>
          </rPr>
          <t>Analyst-estimated product/franchise revenue, calibrated to reported consolidated revenue. Replace with IQVIA / company product sales if available.</t>
        </r>
      </text>
    </comment>
    <comment ref="A55" authorId="0" shapeId="0" xr:uid="{00000000-0006-0000-0000-000049000000}">
      <text>
        <r>
          <rPr>
            <sz val="11"/>
            <color theme="1"/>
            <rFont val="Calibri"/>
            <family val="2"/>
          </rPr>
          <t>Reported consolidated revenue is the control total. Product/franchise history above is an analyst reconstruction, not company-reported brand sales.</t>
        </r>
      </text>
    </comment>
    <comment ref="B55" authorId="0" shapeId="0" xr:uid="{00000000-0006-0000-0000-00004A000000}">
      <text>
        <r>
          <rPr>
            <sz val="11"/>
            <color theme="1"/>
            <rFont val="Calibri"/>
            <family val="2"/>
          </rPr>
          <t>Reported consolidated revenue from GSK India primary source: https://india-pharma.gsk.com/media/7478/cfr-31st-march-2023.pdf</t>
        </r>
      </text>
    </comment>
    <comment ref="C55" authorId="0" shapeId="0" xr:uid="{00000000-0006-0000-0000-00004B000000}">
      <text>
        <r>
          <rPr>
            <sz val="11"/>
            <color theme="1"/>
            <rFont val="Calibri"/>
            <family val="2"/>
          </rPr>
          <t>Reported consolidated revenue from GSK India primary source: https://india-pharma.gsk.com/media/7680/standalone-and-consolidated-results-q4-23-24.pdf</t>
        </r>
      </text>
    </comment>
    <comment ref="D55" authorId="0" shapeId="0" xr:uid="{00000000-0006-0000-0000-00004C000000}">
      <text>
        <r>
          <rPr>
            <sz val="11"/>
            <color theme="1"/>
            <rFont val="Calibri"/>
            <family val="2"/>
          </rPr>
          <t>Reported consolidated revenue from GSK India primary source: https://india-pharma.gsk.com/media/7913/annual-report-2024-25.pdf</t>
        </r>
      </text>
    </comment>
    <comment ref="E55" authorId="0" shapeId="0" xr:uid="{00000000-0006-0000-0000-00004D000000}">
      <text>
        <r>
          <rPr>
            <sz val="11"/>
            <color theme="1"/>
            <rFont val="Calibri"/>
            <family val="2"/>
          </rPr>
          <t>Reported consolidated revenue from GSK India primary source: https://india-pharma.gsk.com/media/scfg3eux/annual-report-2025-26.pdf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G24" authorId="0" shapeId="0" xr:uid="{00000000-0006-0000-0100-000001000000}">
      <text>
        <r>
          <rPr>
            <sz val="11"/>
            <color theme="1"/>
            <rFont val="Calibri"/>
            <family val="2"/>
          </rPr>
          <t>Base peak is an analyst India sales assumption in INR mn; update as initial Blenrep patient volumes/pricing become available.</t>
        </r>
      </text>
    </comment>
    <comment ref="G25" authorId="0" shapeId="0" xr:uid="{00000000-0006-0000-0100-000002000000}">
      <text>
        <r>
          <rPr>
            <sz val="11"/>
            <color theme="1"/>
            <rFont val="Calibri"/>
            <family val="2"/>
          </rPr>
          <t>Base peak is an analyst India sales assumption in INR mn; update after Arexvy commercial launch, dose pricing and uptake data.</t>
        </r>
      </text>
    </comment>
    <comment ref="C44" authorId="0" shapeId="0" xr:uid="{00000000-0006-0000-0100-000003000000}">
      <text>
        <r>
          <rPr>
            <sz val="11"/>
            <color theme="1"/>
            <rFont val="Calibri"/>
            <family val="2"/>
          </rPr>
          <t>Sources: GSK phase III B-Well results (Jan/May 2026); FDA priority review (Apr 2026); CDSCO CT/106/22. Peak India sales and India launch year are analyst estimates.</t>
        </r>
      </text>
    </comment>
    <comment ref="F44" authorId="0" shapeId="0" xr:uid="{00000000-0006-0000-0100-000004000000}">
      <text>
        <r>
          <rPr>
            <sz val="11"/>
            <color theme="1"/>
            <rFont val="Calibri"/>
            <family val="2"/>
          </rPr>
          <t>Sources: GSK phase III B-Well results (Jan/May 2026); FDA priority review (Apr 2026); CDSCO CT/106/22. Peak India sales and India launch year are analyst estimates.</t>
        </r>
      </text>
    </comment>
    <comment ref="C45" authorId="0" shapeId="0" xr:uid="{00000000-0006-0000-0100-000005000000}">
      <text>
        <r>
          <rPr>
            <sz val="11"/>
            <color theme="1"/>
            <rFont val="Calibri"/>
            <family val="2"/>
          </rPr>
          <t>Sources: CDSCO SEC 09-Jun-2026 (protocol 306293); GSK 2026 oncology pipeline. Peak sales / launch timing are analyst estimates.</t>
        </r>
      </text>
    </comment>
    <comment ref="F45" authorId="0" shapeId="0" xr:uid="{00000000-0006-0000-0100-000006000000}">
      <text>
        <r>
          <rPr>
            <sz val="11"/>
            <color theme="1"/>
            <rFont val="Calibri"/>
            <family val="2"/>
          </rPr>
          <t>Sources: CDSCO SEC 09-Jun-2026 (protocol 306293); GSK 2026 oncology pipeline. Peak sales / launch timing are analyst estimates.</t>
        </r>
      </text>
    </comment>
    <comment ref="C46" authorId="0" shapeId="0" xr:uid="{00000000-0006-0000-0100-000007000000}">
      <text>
        <r>
          <rPr>
            <sz val="11"/>
            <color theme="1"/>
            <rFont val="Calibri"/>
            <family val="2"/>
          </rPr>
          <t>Sources: GSK 12-Apr-2026 Mo-Rez data and 2026 pivotal-program disclosure. Peak sales / India launch are analyst estimates.</t>
        </r>
      </text>
    </comment>
    <comment ref="F46" authorId="0" shapeId="0" xr:uid="{00000000-0006-0000-0100-000008000000}">
      <text>
        <r>
          <rPr>
            <sz val="11"/>
            <color theme="1"/>
            <rFont val="Calibri"/>
            <family val="2"/>
          </rPr>
          <t>Sources: GSK 12-Apr-2026 Mo-Rez data and 2026 pivotal-program disclosure. Peak sales / India launch are analyst estimates.</t>
        </r>
      </text>
    </comment>
    <comment ref="C47" authorId="0" shapeId="0" xr:uid="{00000000-0006-0000-0100-000009000000}">
      <text>
        <r>
          <rPr>
            <sz val="11"/>
            <color theme="1"/>
            <rFont val="Calibri"/>
            <family val="2"/>
          </rPr>
          <t>Sources: GSK efimosfermin acquisition / Phase III disclosures; GSK cited potential first global launch 2029. India launch/peak are analyst estimates.</t>
        </r>
      </text>
    </comment>
    <comment ref="F47" authorId="0" shapeId="0" xr:uid="{00000000-0006-0000-0100-00000A000000}">
      <text>
        <r>
          <rPr>
            <sz val="11"/>
            <color theme="1"/>
            <rFont val="Calibri"/>
            <family val="2"/>
          </rPr>
          <t>Sources: GSK efimosfermin acquisition / Phase III disclosures; GSK cited potential first global launch 2029. India launch/peak are analyst estimates.</t>
        </r>
      </text>
    </comment>
    <comment ref="C48" authorId="0" shapeId="0" xr:uid="{00000000-0006-0000-0100-00000B000000}">
      <text>
        <r>
          <rPr>
            <sz val="11"/>
            <color theme="1"/>
            <rFont val="Calibri"/>
            <family val="2"/>
          </rPr>
          <t>Sources: ClinicalTrials.gov NCT06748053; GSK India May-2026 trial disclosure. Launch/peak are analyst estimates.</t>
        </r>
      </text>
    </comment>
    <comment ref="F48" authorId="0" shapeId="0" xr:uid="{00000000-0006-0000-0100-00000C000000}">
      <text>
        <r>
          <rPr>
            <sz val="11"/>
            <color theme="1"/>
            <rFont val="Calibri"/>
            <family val="2"/>
          </rPr>
          <t>Sources: ClinicalTrials.gov NCT06748053; GSK India May-2026 trial disclosure. Launch/peak are analyst estimates.</t>
        </r>
      </text>
    </comment>
    <comment ref="C49" authorId="0" shapeId="0" xr:uid="{00000000-0006-0000-0100-00000D000000}">
      <text>
        <r>
          <rPr>
            <sz val="11"/>
            <color theme="1"/>
            <rFont val="Calibri"/>
            <family val="2"/>
          </rPr>
          <t>Sources: CDSCO CT/132/22; ClinicalTrials.gov NCT05583344; GSK India May-2026 disclosure. Launch/peak are analyst estimates.</t>
        </r>
      </text>
    </comment>
    <comment ref="F49" authorId="0" shapeId="0" xr:uid="{00000000-0006-0000-0100-00000E000000}">
      <text>
        <r>
          <rPr>
            <sz val="11"/>
            <color theme="1"/>
            <rFont val="Calibri"/>
            <family val="2"/>
          </rPr>
          <t>Sources: CDSCO CT/132/22; ClinicalTrials.gov NCT05583344; GSK India May-2026 disclosure. Launch/peak are analyst estimates.</t>
        </r>
      </text>
    </comment>
    <comment ref="C50" authorId="0" shapeId="0" xr:uid="{00000000-0006-0000-0100-00000F000000}">
      <text>
        <r>
          <rPr>
            <sz val="11"/>
            <color theme="1"/>
            <rFont val="Calibri"/>
            <family val="2"/>
          </rPr>
          <t>Source: GSK 17-Jul-2026 - no further development in refractory chronic cough; revenue set to zero.</t>
        </r>
      </text>
    </comment>
    <comment ref="F50" authorId="0" shapeId="0" xr:uid="{00000000-0006-0000-0100-000010000000}">
      <text>
        <r>
          <rPr>
            <sz val="11"/>
            <color theme="1"/>
            <rFont val="Calibri"/>
            <family val="2"/>
          </rPr>
          <t>Source: GSK 17-Jul-2026 - no further development in refractory chronic cough; revenue set to zero.</t>
        </r>
      </text>
    </comment>
  </commentList>
</comments>
</file>

<file path=xl/sharedStrings.xml><?xml version="1.0" encoding="utf-8"?>
<sst xmlns="http://schemas.openxmlformats.org/spreadsheetml/2006/main" count="464" uniqueCount="343">
  <si>
    <t>GSK India - Product-Level Revenue Model</t>
  </si>
  <si>
    <t>Underwriting case</t>
  </si>
  <si>
    <t>Single case</t>
  </si>
  <si>
    <t>FY26A Revenue</t>
  </si>
  <si>
    <t>FY27E Revenue</t>
  </si>
  <si>
    <t>FY28E Revenue</t>
  </si>
  <si>
    <t>FY31E Revenue</t>
  </si>
  <si>
    <t>FY36E Revenue</t>
  </si>
  <si>
    <t>10Y CAGR</t>
  </si>
  <si>
    <t>FY27 Q1A consolidated</t>
  </si>
  <si>
    <t>FY31 new launches + pipeline</t>
  </si>
  <si>
    <t>FY36 new launches + pipeline</t>
  </si>
  <si>
    <t>Model basis</t>
  </si>
  <si>
    <t>Consolidated GSK India; product history estimated within reported totals</t>
  </si>
  <si>
    <t>INR mn. Annual and quarterly consolidated totals are reported. Product-level history and Q1 FY27 allocations are analyst estimates calibrated to company disclosures and public market data. Forecasts use one underwriting case.</t>
  </si>
  <si>
    <t>Revenue line</t>
  </si>
  <si>
    <t>FY2023A</t>
  </si>
  <si>
    <t>FY2024A</t>
  </si>
  <si>
    <t>FY2025A</t>
  </si>
  <si>
    <t>FY2026A</t>
  </si>
  <si>
    <t>Q1 FY27A*</t>
  </si>
  <si>
    <t>Q2 FY27E</t>
  </si>
  <si>
    <t>Q3 FY27E</t>
  </si>
  <si>
    <t>Q4 FY27E</t>
  </si>
  <si>
    <t>FY2027E</t>
  </si>
  <si>
    <t>Q1 FY28E</t>
  </si>
  <si>
    <t>Q2 FY28E</t>
  </si>
  <si>
    <t>Q3 FY28E</t>
  </si>
  <si>
    <t>Q4 FY28E</t>
  </si>
  <si>
    <t>FY2028E</t>
  </si>
  <si>
    <t>FY2029E</t>
  </si>
  <si>
    <t>FY2030E</t>
  </si>
  <si>
    <t>FY2031E</t>
  </si>
  <si>
    <t>FY2032E</t>
  </si>
  <si>
    <t>FY2033E</t>
  </si>
  <si>
    <t>FY2034E</t>
  </si>
  <si>
    <t>FY2035E</t>
  </si>
  <si>
    <t>FY2036E</t>
  </si>
  <si>
    <t>5Y CAGR</t>
  </si>
  <si>
    <t>GENERAL MEDICINES</t>
  </si>
  <si>
    <t>Augmentin</t>
  </si>
  <si>
    <t>Ceftum</t>
  </si>
  <si>
    <t>Calpol</t>
  </si>
  <si>
    <t>Eltroxin</t>
  </si>
  <si>
    <t>Dermatology franchise</t>
  </si>
  <si>
    <t>Vitamins &amp; other general medicines</t>
  </si>
  <si>
    <t>General Medicines</t>
  </si>
  <si>
    <t>VACCINES</t>
  </si>
  <si>
    <t>Core paediatric vaccines</t>
  </si>
  <si>
    <t>Seasonal &amp; travel vaccines</t>
  </si>
  <si>
    <t>Shingrix</t>
  </si>
  <si>
    <t>Other adult vaccines</t>
  </si>
  <si>
    <t>Arexvy</t>
  </si>
  <si>
    <t>Vaccines</t>
  </si>
  <si>
    <t>SPECIALTY RESPIRATORY</t>
  </si>
  <si>
    <t>Trelegy Ellipta</t>
  </si>
  <si>
    <t>Nucala</t>
  </si>
  <si>
    <t>Other respiratory</t>
  </si>
  <si>
    <t>Specialty Respiratory</t>
  </si>
  <si>
    <t>ONCOLOGY</t>
  </si>
  <si>
    <t>Jemperli</t>
  </si>
  <si>
    <t>Zejula</t>
  </si>
  <si>
    <t>Blenrep</t>
  </si>
  <si>
    <t>Ojjaara</t>
  </si>
  <si>
    <t>Oncology</t>
  </si>
  <si>
    <t>INFECTIOUS DISEASE</t>
  </si>
  <si>
    <t>Hibsago / Bepirovirsen</t>
  </si>
  <si>
    <t>Infectious Disease</t>
  </si>
  <si>
    <t>FUTURE PIPELINE (RISK-ADJUSTED)</t>
  </si>
  <si>
    <t>Velzatinib</t>
  </si>
  <si>
    <t>Mocertatug rezetecan (B7-H4)</t>
  </si>
  <si>
    <t>Efimosfermin</t>
  </si>
  <si>
    <t>TSLP (GSK5784283)</t>
  </si>
  <si>
    <t>Gatuzosiran / GSK4532990</t>
  </si>
  <si>
    <t>Camlipixant - RCC</t>
  </si>
  <si>
    <t>Future Pipeline</t>
  </si>
  <si>
    <t>CONSOLIDATION</t>
  </si>
  <si>
    <t>Biddle / consolidation revenue</t>
  </si>
  <si>
    <t>Consolidation revenue</t>
  </si>
  <si>
    <t>Consolidated revenue</t>
  </si>
  <si>
    <t>YoY growth</t>
  </si>
  <si>
    <t>Post-FY26 launches + future pipeline</t>
  </si>
  <si>
    <t>Innovation + launches as % of revenue</t>
  </si>
  <si>
    <t>Reported consolidated revenue</t>
  </si>
  <si>
    <t>Historical reconciliation difference</t>
  </si>
  <si>
    <t>RECENT QUARTERLY CONSOLIDATED REVENUE</t>
  </si>
  <si>
    <t>INR mn</t>
  </si>
  <si>
    <t>Q1 FY25</t>
  </si>
  <si>
    <t>Q2 FY25</t>
  </si>
  <si>
    <t>Q3 FY25</t>
  </si>
  <si>
    <t>Q4 FY25</t>
  </si>
  <si>
    <t>Q1 FY26</t>
  </si>
  <si>
    <t>Q2 FY26</t>
  </si>
  <si>
    <t>Q3 FY26</t>
  </si>
  <si>
    <t>Q4 FY26</t>
  </si>
  <si>
    <t>Q1 FY27</t>
  </si>
  <si>
    <t>Revenue</t>
  </si>
  <si>
    <t>FY25 quarters difference</t>
  </si>
  <si>
    <t>FY26 quarters difference</t>
  </si>
  <si>
    <t>FY27 Q1 link difference</t>
  </si>
  <si>
    <t>GSK India - Single-Case Assumptions, Historical Calibration &amp; Pipeline</t>
  </si>
  <si>
    <t>As of 14 September 2026. Blue cells are editable analyst assumptions. No bull/base/bear cases are used.</t>
  </si>
  <si>
    <t>EXISTING PORTFOLIO GROWTH ASSUMPTIONS</t>
  </si>
  <si>
    <t>FY27E</t>
  </si>
  <si>
    <t>FY28E</t>
  </si>
  <si>
    <t>FY29E</t>
  </si>
  <si>
    <t>FY30-31E</t>
  </si>
  <si>
    <t>FY32-36E</t>
  </si>
  <si>
    <t>FY26A basis</t>
  </si>
  <si>
    <t>Key driver / rationale</t>
  </si>
  <si>
    <t>Estimated at ₹900cr in FY26</t>
  </si>
  <si>
    <t>₹75-80cr monthly secondary sales reference; price controls and mature volumes cap long-term growth</t>
  </si>
  <si>
    <t>Estimated within General Medicines</t>
  </si>
  <si>
    <t>32.7% represented-market share in Q1 FY27; mature anti-infective</t>
  </si>
  <si>
    <t>Estimated at ₹310cr in FY26</t>
  </si>
  <si>
    <t>Q1 FY27 market growth 8.1%; FY27 allows for supply normalisation</t>
  </si>
  <si>
    <t>Chronic replacement therapy with recurring demand</t>
  </si>
  <si>
    <t>Includes T-Bact, Betnovate, Tenovate, Neosporin</t>
  </si>
  <si>
    <t>T-Bact 57.5% represented-market share; category growth and pricing</t>
  </si>
  <si>
    <t>Residual within reported pharmaceuticals total</t>
  </si>
  <si>
    <t>Large mature tail; growth below promoted brands</t>
  </si>
  <si>
    <t>Estimated within reported vaccine mix</t>
  </si>
  <si>
    <t>Private-market leadership; volume-led growth and supply phasing</t>
  </si>
  <si>
    <t>Influenza/travel seasonality and private immunisation</t>
  </si>
  <si>
    <t>FY26 estimated at ₹110cr; crossed ₹100cr MAT by Q1 FY27</t>
  </si>
  <si>
    <t>Q1 FY27 growth 65%; adult-vaccination category creation fades over time</t>
  </si>
  <si>
    <t>Residual within reported vaccine mix</t>
  </si>
  <si>
    <t>Low base; adult immunisation adoption</t>
  </si>
  <si>
    <t>FY26 estimated at ₹62cr</t>
  </si>
  <si>
    <t>12% FUV share applied to disclosed ₹513cr SITT market; share and market growth</t>
  </si>
  <si>
    <t>FY26 estimated at ₹25cr</t>
  </si>
  <si>
    <t>100-120 new patients per month; severe-asthma diagnosis and affordability</t>
  </si>
  <si>
    <t>Residual respiratory portfolio</t>
  </si>
  <si>
    <t>Mature Seretide/other inhaled portfolio</t>
  </si>
  <si>
    <t>MARKETED ONCOLOGY AND CONSOLIDATION</t>
  </si>
  <si>
    <t>FY27E revenue</t>
  </si>
  <si>
    <t>FY28E growth</t>
  </si>
  <si>
    <t>FY29E growth</t>
  </si>
  <si>
    <t>Basis</t>
  </si>
  <si>
    <t>Rationale</t>
  </si>
  <si>
    <t>Q1 FY27 oncology run-rate and patient uptake</t>
  </si>
  <si>
    <t>First-line endometrial cancer; expansion not separately double-counted</t>
  </si>
  <si>
    <t>Ovarian maintenance; PARP competition limits long-term growth</t>
  </si>
  <si>
    <t>FY27E annualised from Q1 consolidated less standalone revenue</t>
  </si>
  <si>
    <t>Keeps subsidiary/consolidation bridge separate from product sales</t>
  </si>
  <si>
    <t>APPROVED / MANAGEMENT-IDENTIFIED LAUNCHES</t>
  </si>
  <si>
    <t>Asset</t>
  </si>
  <si>
    <t>Therapy</t>
  </si>
  <si>
    <t>Launch FY</t>
  </si>
  <si>
    <t>Peak India revenue (INR mn)</t>
  </si>
  <si>
    <t>Ramp years</t>
  </si>
  <si>
    <t>Post-ramp growth</t>
  </si>
  <si>
    <t>Launch-year fraction</t>
  </si>
  <si>
    <t>Q2 share</t>
  </si>
  <si>
    <t>Q3 share</t>
  </si>
  <si>
    <t>Basis / status</t>
  </si>
  <si>
    <t>Adult vaccines</t>
  </si>
  <si>
    <t>Marketing authorisation received; management indicated launch in coming months</t>
  </si>
  <si>
    <t>CDSCO approved; management guided Q2/Q3 FY27 launch; 7-8k second-line patients</t>
  </si>
  <si>
    <t>Infectious disease</t>
  </si>
  <si>
    <t>Positive Phase III; India launch targeted within three quarters, subject to approvals</t>
  </si>
  <si>
    <t>Management-identified upcoming launch over the next 18-24 months</t>
  </si>
  <si>
    <t>FUTURE PIPELINE - RISK-ADJUSTED REVENUE</t>
  </si>
  <si>
    <t>Unrisked peak (INR mn)</t>
  </si>
  <si>
    <t>PoS incl. India rights</t>
  </si>
  <si>
    <t>Risk-adjusted peak</t>
  </si>
  <si>
    <t>GIST</t>
  </si>
  <si>
    <t>Phase III; India trial permission supports local development</t>
  </si>
  <si>
    <t>Mocertatug rezetecan</t>
  </si>
  <si>
    <t>Ovarian/endometrial cancer</t>
  </si>
  <si>
    <t>Pivotal program initiated; no India approval</t>
  </si>
  <si>
    <t>MASH / liver disease</t>
  </si>
  <si>
    <t>Phase III; potential global launch from 2029, India lag assumed</t>
  </si>
  <si>
    <t>Uncontrolled asthma</t>
  </si>
  <si>
    <t>Phase II; substantial clinical and timing risk</t>
  </si>
  <si>
    <t>Liver disease</t>
  </si>
  <si>
    <t>Phase II; indication strategy evolving</t>
  </si>
  <si>
    <t>Camlipixant</t>
  </si>
  <si>
    <t>Refractory chronic cough</t>
  </si>
  <si>
    <t>Development discontinued after Phase III miss; zero revenue</t>
  </si>
  <si>
    <t>QUARTERLY PHASING</t>
  </si>
  <si>
    <t>Mature portfolio seasonality (Q1 / Q2 / Q3 / Q4)</t>
  </si>
  <si>
    <t>Average FY25/FY26 quarterly mix; FY27 Q1 product allocations are estimates constrained to reported totals</t>
  </si>
  <si>
    <t>FY26 HISTORICAL PRODUCT CALIBRATION</t>
  </si>
  <si>
    <t>FY26A estimate (INR mn)</t>
  </si>
  <si>
    <t>Status</t>
  </si>
  <si>
    <t>Calibration evidence</t>
  </si>
  <si>
    <t>Reported control</t>
  </si>
  <si>
    <t>Comment</t>
  </si>
  <si>
    <t>Estimated</t>
  </si>
  <si>
    <t>Public secondary-sales commentary of ₹75-80cr per month</t>
  </si>
  <si>
    <t>Reported company total</t>
  </si>
  <si>
    <t>Secondary sales and company revenue are not identical; estimate normalised</t>
  </si>
  <si>
    <t>Q1 FY27 represented-market value share 32.7%</t>
  </si>
  <si>
    <t>General Medicines total</t>
  </si>
  <si>
    <t>No audited brand sales disclosed</t>
  </si>
  <si>
    <t>Public monthly market-sales reference and Q1 FY27 market growth</t>
  </si>
  <si>
    <t>Chronic brand within promoted portfolio</t>
  </si>
  <si>
    <t>T-Bact 57.5% represented-market value share plus other dermatology brands</t>
  </si>
  <si>
    <t>Includes T-Bact, Betnovate, Tenovate, Neosporin and related brands</t>
  </si>
  <si>
    <t>Residual estimate</t>
  </si>
  <si>
    <t>Balances the reported pharmaceutical mix after named products</t>
  </si>
  <si>
    <t>Transparent residual, not described as reported brand sales</t>
  </si>
  <si>
    <t>Private paediatric leadership and portfolio growth disclosures</t>
  </si>
  <si>
    <t>FY26 vaccines ₹731.5cr</t>
  </si>
  <si>
    <t>No audited antigen sales disclosed</t>
  </si>
  <si>
    <t>Fluarix / Havrix / Menveo portfolio</t>
  </si>
  <si>
    <t>Management confirmed &gt;₹100cr MAT by Q1 FY27</t>
  </si>
  <si>
    <t>Conservative estimate within management floor</t>
  </si>
  <si>
    <t>Balances reported vaccine mix</t>
  </si>
  <si>
    <t>Market-based estimate</t>
  </si>
  <si>
    <t>12% FUV share × disclosed ₹513cr SITT market</t>
  </si>
  <si>
    <t>FY26 pharmaceuticals</t>
  </si>
  <si>
    <t>Replaces prior ₹170cr overstatement</t>
  </si>
  <si>
    <t>Patient-based estimate</t>
  </si>
  <si>
    <t>100-120 monthly patient additions and 3.5k+ cumulative patients</t>
  </si>
  <si>
    <t>Treatment persistence and net pricing remain estimated</t>
  </si>
  <si>
    <t>Balances specialty respiratory after Trelegy and Nucala</t>
  </si>
  <si>
    <t>Primarily mature respiratory portfolio</t>
  </si>
  <si>
    <t>Estimated allocation</t>
  </si>
  <si>
    <t>Launched Sep-2025; oncology was 0.3% of FY26 standalone sales</t>
  </si>
  <si>
    <t>FY26 oncology ₹11.4cr</t>
  </si>
  <si>
    <t>Allocation between Jemperli and Zejula is estimated</t>
  </si>
  <si>
    <t>Calculated bridge</t>
  </si>
  <si>
    <t>Consolidated revenue less standalone revenue</t>
  </si>
  <si>
    <t>FY26 consolidated ₹3,821.7cr</t>
  </si>
  <si>
    <t>Not other operating revenue and not a balancing product</t>
  </si>
  <si>
    <t>CLINICAL PIPELINE / CTRI CROSS-CHECK</t>
  </si>
  <si>
    <t>Brand / code</t>
  </si>
  <si>
    <t>India indication</t>
  </si>
  <si>
    <t>Stage / status</t>
  </si>
  <si>
    <t>India evidence</t>
  </si>
  <si>
    <t>Expected model launch</t>
  </si>
  <si>
    <t>Revenue treatment</t>
  </si>
  <si>
    <t>Key issue</t>
  </si>
  <si>
    <t>Primary source</t>
  </si>
  <si>
    <t>Belantamab mafodotin</t>
  </si>
  <si>
    <t>Multiple myeloma</t>
  </si>
  <si>
    <t>Approved in India</t>
  </si>
  <si>
    <t>CDSCO approval; company launch preparation</t>
  </si>
  <si>
    <t>Approved launch build</t>
  </si>
  <si>
    <t>Ocular monitoring and affordability</t>
  </si>
  <si>
    <t>GSK India Q1 FY27 transcript</t>
  </si>
  <si>
    <t>Dostarlimab</t>
  </si>
  <si>
    <t>Endometrial cancer</t>
  </si>
  <si>
    <t>Marketed; expansion trials</t>
  </si>
  <si>
    <t>India launch and trial permissions</t>
  </si>
  <si>
    <t>Marketed product</t>
  </si>
  <si>
    <t>Biomarker testing and access</t>
  </si>
  <si>
    <t>GSK India</t>
  </si>
  <si>
    <t>Niraparib</t>
  </si>
  <si>
    <t>Ovarian maintenance</t>
  </si>
  <si>
    <t>Marketed</t>
  </si>
  <si>
    <t>India launch / post-marketing evidence</t>
  </si>
  <si>
    <t>PARP competition</t>
  </si>
  <si>
    <t>Momelotinib</t>
  </si>
  <si>
    <t>Myelofibrosis</t>
  </si>
  <si>
    <t>Management-identified launch</t>
  </si>
  <si>
    <t>Upcoming India launch program</t>
  </si>
  <si>
    <t>Approved/late-stage launch build</t>
  </si>
  <si>
    <t>India timing and pricing</t>
  </si>
  <si>
    <t>Bepirovirsen</t>
  </si>
  <si>
    <t>Hibsago / GSK3228836</t>
  </si>
  <si>
    <t>Chronic hepatitis B</t>
  </si>
  <si>
    <t>Phase III positive; filings</t>
  </si>
  <si>
    <t>Four India trials and company launch roadmap</t>
  </si>
  <si>
    <t>Late-stage launch build</t>
  </si>
  <si>
    <t>Approval and functional-cure uptake</t>
  </si>
  <si>
    <t>GSK / CDSCO</t>
  </si>
  <si>
    <t>IDRX-42</t>
  </si>
  <si>
    <t>Phase III</t>
  </si>
  <si>
    <t>CDSCO India trial recommendation</t>
  </si>
  <si>
    <t>Risk-adjusted</t>
  </si>
  <si>
    <t>Clinical success and India rights</t>
  </si>
  <si>
    <t>CDSCO / GSK</t>
  </si>
  <si>
    <t>B7-H4 ADC</t>
  </si>
  <si>
    <t>Pivotal program</t>
  </si>
  <si>
    <t>India relevance in disclosed oncology trial bucket</t>
  </si>
  <si>
    <t>Early efficacy must confirm</t>
  </si>
  <si>
    <t>GSK</t>
  </si>
  <si>
    <t>GSK6519754</t>
  </si>
  <si>
    <t>MASH</t>
  </si>
  <si>
    <t>India-relevant global development</t>
  </si>
  <si>
    <t>Large market but affordability</t>
  </si>
  <si>
    <t>GSK5784283</t>
  </si>
  <si>
    <t>Anti-TSLP</t>
  </si>
  <si>
    <t>Respiratory</t>
  </si>
  <si>
    <t>Phase II</t>
  </si>
  <si>
    <t>Global trial / India pipeline disclosure</t>
  </si>
  <si>
    <t>Early stage and competition</t>
  </si>
  <si>
    <t>GSK / ClinicalTrials.gov</t>
  </si>
  <si>
    <t>Gatuzosiran</t>
  </si>
  <si>
    <t>GSK4532990</t>
  </si>
  <si>
    <t>MASH / ALD</t>
  </si>
  <si>
    <t>India NASH trial permission</t>
  </si>
  <si>
    <t>Indication strategy evolving</t>
  </si>
  <si>
    <t>KEY SOURCES</t>
  </si>
  <si>
    <t>Data item</t>
  </si>
  <si>
    <t>Value / conclusion</t>
  </si>
  <si>
    <t>Source</t>
  </si>
  <si>
    <t>URL</t>
  </si>
  <si>
    <t>Class</t>
  </si>
  <si>
    <t>FY23-FY26 consolidated revenue</t>
  </si>
  <si>
    <t>Reported annual totals</t>
  </si>
  <si>
    <t>GSK India annual reports</t>
  </si>
  <si>
    <t>https://india-pharma.gsk.com/en-in/investors/annual-reports/</t>
  </si>
  <si>
    <t>Reported</t>
  </si>
  <si>
    <t>Q1 FY27 consolidated revenue</t>
  </si>
  <si>
    <t>₹938.44cr</t>
  </si>
  <si>
    <t>GSK India consolidated filing / public release</t>
  </si>
  <si>
    <t>https://india-pharma.gsk.com/en-in/investors/quarterly-results/</t>
  </si>
  <si>
    <t>Q1 FY27 standalone revenue and innovation mix</t>
  </si>
  <si>
    <t>₹924cr; innovation 7%</t>
  </si>
  <si>
    <t>GSK India Q1 FY27 analyst presentation</t>
  </si>
  <si>
    <t>https://india-pharma.gsk.com/media/kdghfyzr/analyst-meet-q1-2026-27.pdf</t>
  </si>
  <si>
    <t>Launch timing and product commentary</t>
  </si>
  <si>
    <t>Blenrep, Arexvy, Hibsago, Ojjaara</t>
  </si>
  <si>
    <t>GSK India Q1 FY27 analyst transcript</t>
  </si>
  <si>
    <t>https://india-pharma.gsk.com/media/asmha1vh/gsk-q1-fy27-analyst-meet-transcript.pdf</t>
  </si>
  <si>
    <t>FY26 mix and 26-trial disclosure</t>
  </si>
  <si>
    <t>Pharma / vaccines / oncology; trial buckets</t>
  </si>
  <si>
    <t>GSK India FY26 annual report and May analyst meet</t>
  </si>
  <si>
    <t>https://india-pharma.gsk.com/media/inhdnswz/analyst-meet-may-2026.pdf</t>
  </si>
  <si>
    <t>Augmentin market sales</t>
  </si>
  <si>
    <t>₹75-80cr monthly public market-data reference</t>
  </si>
  <si>
    <t>Economic Times reporting citing market data</t>
  </si>
  <si>
    <t>https://m.economictimes.com/industry/healthcare/biotech/pharmaceuticals/gsks-antibiotic-drug-augmentin-is-indias-highest-selling-drug/articleshow/118333583.cms</t>
  </si>
  <si>
    <t>Market data / estimate basis</t>
  </si>
  <si>
    <t>CTRI access</t>
  </si>
  <si>
    <t>Registry requires search validation</t>
  </si>
  <si>
    <t>Clinical Trials Registry - India</t>
  </si>
  <si>
    <t>https://ctri.nic.in/Clinicaltrials/advancesearchmain.php</t>
  </si>
  <si>
    <t>Reported limitation</t>
  </si>
  <si>
    <t>Pipeline revenue</t>
  </si>
  <si>
    <t>Launch, peak and PoS assumptions</t>
  </si>
  <si>
    <t>Analyst estimates constrained by company pipeline disclosures</t>
  </si>
  <si>
    <t>N/A</t>
  </si>
  <si>
    <t>MODEL LIMITATIONS AND UPDATE ITEMS</t>
  </si>
  <si>
    <t>• Historical brand revenue remains estimated because GSK India does not disclose audited brand sales. Reported consolidated totals and disclosed business mix are the hard controls.</t>
  </si>
  <si>
    <t>• Q1 FY27 product values are estimates constrained to reported standalone revenue, 7% innovation mix and disclosed market/patient indicators; the consolidated total is reported.</t>
  </si>
  <si>
    <t>• Secondary-market sales do not equal company-recognised revenue. Replace estimates with IQVIA/PharmaTrac brand sales and channel adjustments when available.</t>
  </si>
  <si>
    <t>• Approved and management-identified launches are modeled separately from early pipeline. Early pipeline uses probability-adjusted India revenue and should be refreshed after pivotal data, filing, approval, pricing or rights changes.</t>
  </si>
  <si>
    <t>• The 26-company-disclosed figure is a trial count, not a molecule count. CTRI validation is cross-checked with GSK, CDSCO and global registries where direct record extraction is restricted.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</si>
</sst>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;[Red]\(#,##0.0\);\-"/>
    <numFmt numFmtId="165" formatCode="0.0%;[Red]\(0.0%\);\-"/>
    <numFmt numFmtId="166" formatCode="0.0%"/>
    <numFmt numFmtId="167" formatCode="0.0;[Red]\(0.0\);\-"/>
  </numFmts>
  <fonts count="14" x14ac:knownFonts="1">
    <font>
      <sz val="11"/>
      <color theme="1"/>
      <name val="Calibri"/>
    </font>
    <font>
      <sz val="10"/>
      <color rgb="FF000000"/>
      <name val="Arial"/>
      <family val="2"/>
    </font>
    <font>
      <b/>
      <sz val="15"/>
      <color rgb="FF183A61"/>
      <name val="Arial"/>
      <family val="2"/>
    </font>
    <font>
      <b/>
      <sz val="10"/>
      <color rgb="FF183A61"/>
      <name val="Arial"/>
      <family val="2"/>
    </font>
    <font>
      <i/>
      <sz val="9"/>
      <color rgb="FF666666"/>
      <name val="Arial"/>
      <family val="2"/>
    </font>
    <font>
      <b/>
      <sz val="9"/>
      <color rgb="FF183A61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i/>
      <sz val="10"/>
      <color rgb="FF666666"/>
      <name val="Arial"/>
      <family val="2"/>
    </font>
    <font>
      <sz val="9"/>
      <color rgb="FF666666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83A61"/>
      </patternFill>
    </fill>
    <fill>
      <patternFill patternType="solid">
        <fgColor rgb="FFF2F2F2"/>
      </patternFill>
    </fill>
    <fill>
      <patternFill patternType="solid">
        <fgColor rgb="FFDCEAF5"/>
      </patternFill>
    </fill>
    <fill>
      <patternFill patternType="solid">
        <fgColor rgb="FFE2F0D9"/>
      </patternFill>
    </fill>
    <fill>
      <patternFill patternType="solid">
        <fgColor rgb="FFD9E2F3"/>
      </patternFill>
    </fill>
    <fill>
      <patternFill patternType="solid">
        <fgColor rgb="FFBDD7EE"/>
      </patternFill>
    </fill>
    <fill>
      <patternFill patternType="solid">
        <fgColor rgb="FFEAF3F8"/>
      </patternFill>
    </fill>
  </fills>
  <borders count="3">
    <border>
      <left/>
      <right/>
      <top/>
      <bottom/>
      <diagonal/>
    </border>
    <border>
      <left/>
      <right/>
      <top/>
      <bottom style="thin">
        <color rgb="FF183A61"/>
      </bottom>
      <diagonal/>
    </border>
    <border>
      <left/>
      <right/>
      <top style="medium">
        <color rgb="FF183A61"/>
      </top>
      <bottom style="double">
        <color rgb="FF183A6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left" wrapText="1"/>
    </xf>
    <xf numFmtId="0" fontId="7" fillId="0" borderId="0" xfId="0" applyFont="1"/>
    <xf numFmtId="0" fontId="8" fillId="3" borderId="0" xfId="0" applyFont="1" applyFill="1"/>
    <xf numFmtId="0" fontId="9" fillId="4" borderId="1" xfId="0" applyFont="1" applyFill="1" applyBorder="1"/>
    <xf numFmtId="0" fontId="9" fillId="5" borderId="2" xfId="0" applyFont="1" applyFill="1" applyBorder="1"/>
    <xf numFmtId="0" fontId="10" fillId="0" borderId="0" xfId="0" applyFont="1"/>
    <xf numFmtId="0" fontId="1" fillId="6" borderId="0" xfId="0" applyFont="1" applyFill="1"/>
    <xf numFmtId="164" fontId="7" fillId="4" borderId="0" xfId="0" applyNumberFormat="1" applyFont="1" applyFill="1"/>
    <xf numFmtId="164" fontId="7" fillId="7" borderId="0" xfId="0" applyNumberFormat="1" applyFont="1" applyFill="1"/>
    <xf numFmtId="164" fontId="1" fillId="7" borderId="0" xfId="0" applyNumberFormat="1" applyFont="1" applyFill="1"/>
    <xf numFmtId="164" fontId="1" fillId="8" borderId="0" xfId="0" applyNumberFormat="1" applyFont="1" applyFill="1"/>
    <xf numFmtId="164" fontId="1" fillId="9" borderId="0" xfId="0" applyNumberFormat="1" applyFont="1" applyFill="1"/>
    <xf numFmtId="164" fontId="9" fillId="4" borderId="1" xfId="0" applyNumberFormat="1" applyFont="1" applyFill="1" applyBorder="1"/>
    <xf numFmtId="164" fontId="1" fillId="4" borderId="0" xfId="0" applyNumberFormat="1" applyFont="1" applyFill="1"/>
    <xf numFmtId="164" fontId="8" fillId="3" borderId="0" xfId="0" applyNumberFormat="1" applyFont="1" applyFill="1"/>
    <xf numFmtId="164" fontId="9" fillId="4" borderId="2" xfId="0" applyNumberFormat="1" applyFont="1" applyFill="1" applyBorder="1"/>
    <xf numFmtId="164" fontId="9" fillId="7" borderId="2" xfId="0" applyNumberFormat="1" applyFont="1" applyFill="1" applyBorder="1"/>
    <xf numFmtId="164" fontId="9" fillId="8" borderId="2" xfId="0" applyNumberFormat="1" applyFont="1" applyFill="1" applyBorder="1"/>
    <xf numFmtId="164" fontId="9" fillId="9" borderId="2" xfId="0" applyNumberFormat="1" applyFont="1" applyFill="1" applyBorder="1"/>
    <xf numFmtId="164" fontId="10" fillId="4" borderId="0" xfId="0" applyNumberFormat="1" applyFont="1" applyFill="1"/>
    <xf numFmtId="164" fontId="10" fillId="7" borderId="0" xfId="0" applyNumberFormat="1" applyFont="1" applyFill="1"/>
    <xf numFmtId="164" fontId="10" fillId="8" borderId="0" xfId="0" applyNumberFormat="1" applyFont="1" applyFill="1"/>
    <xf numFmtId="164" fontId="10" fillId="9" borderId="0" xfId="0" applyNumberFormat="1" applyFont="1" applyFill="1"/>
    <xf numFmtId="165" fontId="1" fillId="0" borderId="0" xfId="0" applyNumberFormat="1" applyFont="1"/>
    <xf numFmtId="165" fontId="8" fillId="3" borderId="0" xfId="0" applyNumberFormat="1" applyFont="1" applyFill="1"/>
    <xf numFmtId="165" fontId="9" fillId="5" borderId="2" xfId="0" applyNumberFormat="1" applyFont="1" applyFill="1" applyBorder="1"/>
    <xf numFmtId="165" fontId="10" fillId="4" borderId="0" xfId="0" applyNumberFormat="1" applyFont="1" applyFill="1"/>
    <xf numFmtId="165" fontId="10" fillId="7" borderId="0" xfId="0" applyNumberFormat="1" applyFont="1" applyFill="1"/>
    <xf numFmtId="165" fontId="10" fillId="8" borderId="0" xfId="0" applyNumberFormat="1" applyFont="1" applyFill="1"/>
    <xf numFmtId="165" fontId="10" fillId="9" borderId="0" xfId="0" applyNumberFormat="1" applyFont="1" applyFill="1"/>
    <xf numFmtId="167" fontId="1" fillId="4" borderId="0" xfId="0" applyNumberFormat="1" applyFont="1" applyFill="1"/>
    <xf numFmtId="167" fontId="1" fillId="7" borderId="0" xfId="0" applyNumberFormat="1" applyFont="1" applyFill="1"/>
    <xf numFmtId="167" fontId="1" fillId="0" borderId="0" xfId="0" applyNumberFormat="1" applyFont="1"/>
    <xf numFmtId="167" fontId="8" fillId="3" borderId="0" xfId="0" applyNumberFormat="1" applyFont="1" applyFill="1"/>
    <xf numFmtId="167" fontId="6" fillId="3" borderId="0" xfId="0" applyNumberFormat="1" applyFont="1" applyFill="1" applyAlignment="1">
      <alignment horizontal="center"/>
    </xf>
    <xf numFmtId="167" fontId="7" fillId="0" borderId="0" xfId="0" applyNumberFormat="1" applyFont="1"/>
    <xf numFmtId="167" fontId="1" fillId="6" borderId="0" xfId="0" applyNumberFormat="1" applyFont="1" applyFill="1"/>
    <xf numFmtId="0" fontId="1" fillId="0" borderId="0" xfId="0" applyFont="1" applyAlignment="1">
      <alignment wrapText="1"/>
    </xf>
    <xf numFmtId="164" fontId="3" fillId="0" borderId="0" xfId="0" applyNumberFormat="1" applyFont="1"/>
    <xf numFmtId="164" fontId="1" fillId="0" borderId="0" xfId="0" applyNumberFormat="1" applyFont="1"/>
    <xf numFmtId="164" fontId="1" fillId="0" borderId="0" xfId="0" applyNumberFormat="1" applyFont="1" applyAlignment="1">
      <alignment wrapText="1"/>
    </xf>
    <xf numFmtId="166" fontId="3" fillId="0" borderId="0" xfId="0" applyNumberFormat="1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166" fontId="7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4"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1F2"/>
      <rgbColor rgb="FF808080"/>
      <rgbColor rgb="FF5B9BD5"/>
      <rgbColor rgb="FF7030A0"/>
      <rgbColor rgb="FFFFF2CC"/>
      <rgbColor rgb="FFD9EA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E7E6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d22f313be51242a3" Type="http://schemas.microsoft.com/office/2017/10/relationships/person" Target="persons/person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279400</xdr:colOff>
      <xdr:row>55</xdr:row>
      <xdr:rowOff>101600</xdr:rowOff>
    </xdr:to>
    <xdr:sp macro="" textlink="">
      <xdr:nvSpPr>
        <xdr:cNvPr id="1102" name="Text Box 78" hidden="1">
          <a:extLst>
            <a:ext uri="{FF2B5EF4-FFF2-40B4-BE49-F238E27FC236}">
              <a16:creationId xmlns:a16="http://schemas.microsoft.com/office/drawing/2014/main" id="{F50F6B05-0686-9B4D-9051-F02A20E434A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279400</xdr:colOff>
      <xdr:row>55</xdr:row>
      <xdr:rowOff>101600</xdr:rowOff>
    </xdr:to>
    <xdr:sp macro="" textlink="">
      <xdr:nvSpPr>
        <xdr:cNvPr id="2" name="AutoShape 78">
          <a:extLst>
            <a:ext uri="{FF2B5EF4-FFF2-40B4-BE49-F238E27FC236}">
              <a16:creationId xmlns:a16="http://schemas.microsoft.com/office/drawing/2014/main" id="{5643D0CD-A3D4-C023-270C-C3CDB3BD062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812800</xdr:colOff>
      <xdr:row>37</xdr:row>
      <xdr:rowOff>711200</xdr:rowOff>
    </xdr:to>
    <xdr:sp macro="" textlink="">
      <xdr:nvSpPr>
        <xdr:cNvPr id="2065" name="Text Box 17" hidden="1">
          <a:extLst>
            <a:ext uri="{FF2B5EF4-FFF2-40B4-BE49-F238E27FC236}">
              <a16:creationId xmlns:a16="http://schemas.microsoft.com/office/drawing/2014/main" id="{C810DA61-EB5D-42F7-7C63-72D1813AD22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812800</xdr:colOff>
      <xdr:row>37</xdr:row>
      <xdr:rowOff>711200</xdr:rowOff>
    </xdr:to>
    <xdr:sp macro="" textlink="">
      <xdr:nvSpPr>
        <xdr:cNvPr id="2" name="AutoShape 17">
          <a:extLst>
            <a:ext uri="{FF2B5EF4-FFF2-40B4-BE49-F238E27FC236}">
              <a16:creationId xmlns:a16="http://schemas.microsoft.com/office/drawing/2014/main" id="{DB5E1954-C6F1-47EB-F125-A152D2BD083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22034DEE-DDB1-A1E0-9B96-409A8D852784}"/>
  <xltc:person displayName="OpenAI" id="{202CCDFD-FDB5-ECBB-0165-3EB36B9703F0}"/>
</xltc: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0"/>
  <sheetViews>
    <sheetView showGridLines="0" tabSelected="1" workbookViewId="0">
      <pane xSplit="1" ySplit="6" topLeftCell="I18" activePane="bottomRight" state="frozen"/>
      <selection pane="topRight"/>
      <selection pane="bottomLeft"/>
      <selection pane="bottomRight" activeCell="Z54" sqref="Z54"/>
    </sheetView>
  </sheetViews>
  <sheetFormatPr baseColWidth="10" defaultColWidth="8.6640625" defaultRowHeight="15" x14ac:dyDescent="0.2"/>
  <cols>
    <col min="1" max="1" width="31" customWidth="1"/>
    <col min="2" max="23" width="12" customWidth="1"/>
    <col min="24" max="25" width="11" customWidth="1"/>
  </cols>
  <sheetData>
    <row r="1" spans="1:25" ht="24.75" customHeight="1" x14ac:dyDescent="0.2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" customHeight="1" x14ac:dyDescent="0.2">
      <c r="A2" s="1" t="s">
        <v>1</v>
      </c>
      <c r="B2" s="3" t="s">
        <v>2</v>
      </c>
      <c r="C2" s="1"/>
      <c r="D2" s="1" t="s">
        <v>3</v>
      </c>
      <c r="E2" s="45">
        <f>E54</f>
        <v>38330.699999999997</v>
      </c>
      <c r="F2" s="46"/>
      <c r="G2" s="46" t="s">
        <v>4</v>
      </c>
      <c r="H2" s="45">
        <f ca="1">J54</f>
        <v>43354.735000000001</v>
      </c>
      <c r="I2" s="46"/>
      <c r="J2" s="46" t="s">
        <v>5</v>
      </c>
      <c r="K2" s="45">
        <f ca="1">O54</f>
        <v>48158.314750000005</v>
      </c>
      <c r="L2" s="46"/>
      <c r="M2" s="46" t="s">
        <v>6</v>
      </c>
      <c r="N2" s="45">
        <f>R54</f>
        <v>62428.966664216416</v>
      </c>
      <c r="O2" s="46"/>
      <c r="P2" s="46"/>
      <c r="Q2" s="46" t="s">
        <v>7</v>
      </c>
      <c r="R2" s="45">
        <f>W54</f>
        <v>83397.532254610414</v>
      </c>
      <c r="S2" s="1"/>
      <c r="T2" s="1"/>
      <c r="U2" s="1" t="s">
        <v>8</v>
      </c>
      <c r="V2" s="48">
        <f>Y54</f>
        <v>8.0838099015439147E-2</v>
      </c>
      <c r="W2" s="1"/>
      <c r="X2" s="1"/>
      <c r="Y2" s="1"/>
    </row>
    <row r="3" spans="1:25" ht="18" customHeight="1" x14ac:dyDescent="0.2">
      <c r="A3" s="1"/>
      <c r="B3" s="1"/>
      <c r="C3" s="1"/>
      <c r="D3" s="1" t="s">
        <v>9</v>
      </c>
      <c r="E3" s="46">
        <f>F54</f>
        <v>9634.4</v>
      </c>
      <c r="F3" s="46"/>
      <c r="G3" s="46" t="s">
        <v>10</v>
      </c>
      <c r="H3" s="46">
        <f>R56</f>
        <v>6341.666666666667</v>
      </c>
      <c r="I3" s="46"/>
      <c r="J3" s="46" t="s">
        <v>11</v>
      </c>
      <c r="K3" s="46">
        <f>W56</f>
        <v>12131.716833333334</v>
      </c>
      <c r="L3" s="46"/>
      <c r="M3" s="46" t="s">
        <v>12</v>
      </c>
      <c r="N3" s="47" t="s">
        <v>13</v>
      </c>
      <c r="O3" s="47"/>
      <c r="P3" s="47"/>
      <c r="Q3" s="47"/>
      <c r="R3" s="47"/>
      <c r="S3" s="44"/>
      <c r="T3" s="44"/>
      <c r="U3" s="44"/>
      <c r="V3" s="44"/>
      <c r="W3" s="44"/>
      <c r="X3" s="44"/>
      <c r="Y3" s="44"/>
    </row>
    <row r="4" spans="1:25" ht="28" customHeight="1" x14ac:dyDescent="0.2">
      <c r="A4" s="58" t="s">
        <v>14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</row>
    <row r="5" spans="1:25" ht="18" hidden="1" customHeight="1" x14ac:dyDescent="0.2">
      <c r="A5" s="4"/>
      <c r="B5" s="4">
        <v>2023</v>
      </c>
      <c r="C5" s="4">
        <v>2024</v>
      </c>
      <c r="D5" s="4">
        <v>2025</v>
      </c>
      <c r="E5" s="4">
        <v>2026</v>
      </c>
      <c r="F5" s="4">
        <v>2027</v>
      </c>
      <c r="G5" s="4">
        <v>2027</v>
      </c>
      <c r="H5" s="4">
        <v>2027</v>
      </c>
      <c r="I5" s="4">
        <v>2027</v>
      </c>
      <c r="J5" s="4">
        <v>2027</v>
      </c>
      <c r="K5" s="4">
        <v>2028</v>
      </c>
      <c r="L5" s="4">
        <v>2028</v>
      </c>
      <c r="M5" s="4">
        <v>2028</v>
      </c>
      <c r="N5" s="4">
        <v>2028</v>
      </c>
      <c r="O5" s="4">
        <v>2028</v>
      </c>
      <c r="P5" s="4">
        <v>2029</v>
      </c>
      <c r="Q5" s="4">
        <v>2030</v>
      </c>
      <c r="R5" s="4">
        <v>2031</v>
      </c>
      <c r="S5" s="4">
        <v>2032</v>
      </c>
      <c r="T5" s="4">
        <v>2033</v>
      </c>
      <c r="U5" s="4">
        <v>2034</v>
      </c>
      <c r="V5" s="4">
        <v>2035</v>
      </c>
      <c r="W5" s="4">
        <v>2036</v>
      </c>
      <c r="X5" s="4"/>
      <c r="Y5" s="4"/>
    </row>
    <row r="6" spans="1:25" ht="28" customHeight="1" x14ac:dyDescent="0.2">
      <c r="A6" s="7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6" t="s">
        <v>24</v>
      </c>
      <c r="K6" s="6" t="s">
        <v>25</v>
      </c>
      <c r="L6" s="6" t="s">
        <v>26</v>
      </c>
      <c r="M6" s="6" t="s">
        <v>27</v>
      </c>
      <c r="N6" s="6" t="s">
        <v>28</v>
      </c>
      <c r="O6" s="6" t="s">
        <v>29</v>
      </c>
      <c r="P6" s="6" t="s">
        <v>30</v>
      </c>
      <c r="Q6" s="6" t="s">
        <v>31</v>
      </c>
      <c r="R6" s="6" t="s">
        <v>32</v>
      </c>
      <c r="S6" s="6" t="s">
        <v>33</v>
      </c>
      <c r="T6" s="6" t="s">
        <v>34</v>
      </c>
      <c r="U6" s="6" t="s">
        <v>35</v>
      </c>
      <c r="V6" s="6" t="s">
        <v>36</v>
      </c>
      <c r="W6" s="6" t="s">
        <v>37</v>
      </c>
      <c r="X6" s="6" t="s">
        <v>38</v>
      </c>
      <c r="Y6" s="6" t="s">
        <v>8</v>
      </c>
    </row>
    <row r="7" spans="1:25" ht="18" customHeight="1" x14ac:dyDescent="0.2">
      <c r="A7" s="9" t="s">
        <v>39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ht="18" customHeight="1" x14ac:dyDescent="0.2">
      <c r="A8" s="1" t="s">
        <v>40</v>
      </c>
      <c r="B8" s="14">
        <v>7200</v>
      </c>
      <c r="C8" s="14">
        <v>7800</v>
      </c>
      <c r="D8" s="14">
        <v>8500</v>
      </c>
      <c r="E8" s="14">
        <v>9000</v>
      </c>
      <c r="F8" s="15">
        <v>2200</v>
      </c>
      <c r="G8" s="16">
        <f>(J8-F8)*Assumptions_Sources!$C$45/SUM(Assumptions_Sources!$C$45:$E$45)</f>
        <v>2516.234096692112</v>
      </c>
      <c r="H8" s="16">
        <f>(J8-F8)*Assumptions_Sources!$D$45/SUM(Assumptions_Sources!$C$45:$E$45)</f>
        <v>2516.234096692112</v>
      </c>
      <c r="I8" s="16">
        <f t="shared" ref="I8:I13" si="0">J8-F8-G8-H8</f>
        <v>2487.5318066157761</v>
      </c>
      <c r="J8" s="16">
        <v>9720</v>
      </c>
      <c r="K8" s="17">
        <f>O8*Assumptions_Sources!$B$45</f>
        <v>2225.6856000000002</v>
      </c>
      <c r="L8" s="17">
        <f>O8*Assumptions_Sources!$C$45</f>
        <v>2735.3052000000007</v>
      </c>
      <c r="M8" s="17">
        <f>O8*Assumptions_Sources!$D$45</f>
        <v>2735.3052000000007</v>
      </c>
      <c r="N8" s="17">
        <f t="shared" ref="N8:N13" si="1">O8-K8-L8-M8</f>
        <v>2704.1039999999994</v>
      </c>
      <c r="O8" s="17">
        <v>10400.400000000001</v>
      </c>
      <c r="P8" s="18">
        <f>O8*(1+Assumptions_Sources!$D$6)</f>
        <v>11024.424000000003</v>
      </c>
      <c r="Q8" s="18">
        <f>P8*(1+Assumptions_Sources!$E$6)</f>
        <v>11630.767320000003</v>
      </c>
      <c r="R8" s="18">
        <f>Q8*(1+Assumptions_Sources!$E$6)</f>
        <v>12270.459522600002</v>
      </c>
      <c r="S8" s="18">
        <f>R8*(1+Assumptions_Sources!$F$6)</f>
        <v>12822.630201117001</v>
      </c>
      <c r="T8" s="18">
        <f>S8*(1+Assumptions_Sources!$F$6)</f>
        <v>13399.648560167265</v>
      </c>
      <c r="U8" s="18">
        <f>T8*(1+Assumptions_Sources!$F$6)</f>
        <v>14002.632745374791</v>
      </c>
      <c r="V8" s="18">
        <f>U8*(1+Assumptions_Sources!$F$6)</f>
        <v>14632.751218916655</v>
      </c>
      <c r="W8" s="18">
        <f>V8*(1+Assumptions_Sources!$F$6)</f>
        <v>15291.225023767904</v>
      </c>
      <c r="X8" s="30">
        <f t="shared" ref="X8:X14" si="2">IF(E8&gt;0,(R8/E8)^(1/5)-1,0)</f>
        <v>6.3955988974305322E-2</v>
      </c>
      <c r="Y8" s="30">
        <f t="shared" ref="Y8:Y14" si="3">IF(E8&gt;0,(W8/E8)^(1/10)-1,0)</f>
        <v>5.4435397963359833E-2</v>
      </c>
    </row>
    <row r="9" spans="1:25" ht="18" customHeight="1" x14ac:dyDescent="0.2">
      <c r="A9" s="1" t="s">
        <v>41</v>
      </c>
      <c r="B9" s="14">
        <v>2150</v>
      </c>
      <c r="C9" s="14">
        <v>2200</v>
      </c>
      <c r="D9" s="14">
        <v>2250</v>
      </c>
      <c r="E9" s="14">
        <v>2300</v>
      </c>
      <c r="F9" s="15">
        <v>600</v>
      </c>
      <c r="G9" s="16">
        <f>(J9-F9)*Assumptions_Sources!$C$45/SUM(Assumptions_Sources!$C$45:$E$45)</f>
        <v>615.00508905852416</v>
      </c>
      <c r="H9" s="16">
        <f>(J9-F9)*Assumptions_Sources!$D$45/SUM(Assumptions_Sources!$C$45:$E$45)</f>
        <v>615.00508905852416</v>
      </c>
      <c r="I9" s="16">
        <f t="shared" si="0"/>
        <v>607.98982188295167</v>
      </c>
      <c r="J9" s="16">
        <v>2438</v>
      </c>
      <c r="K9" s="17">
        <f>O9*Assumptions_Sources!$B$45</f>
        <v>553.03592000000003</v>
      </c>
      <c r="L9" s="17">
        <f>O9*Assumptions_Sources!$C$45</f>
        <v>679.66564000000005</v>
      </c>
      <c r="M9" s="17">
        <f>O9*Assumptions_Sources!$D$45</f>
        <v>679.66564000000005</v>
      </c>
      <c r="N9" s="17">
        <f t="shared" si="1"/>
        <v>671.91280000000017</v>
      </c>
      <c r="O9" s="17">
        <v>2584.2800000000002</v>
      </c>
      <c r="P9" s="18">
        <f>O9*(1+Assumptions_Sources!$D$7)</f>
        <v>2713.4940000000001</v>
      </c>
      <c r="Q9" s="18">
        <f>P9*(1+Assumptions_Sources!$E$7)</f>
        <v>2835.6012299999998</v>
      </c>
      <c r="R9" s="18">
        <f>Q9*(1+Assumptions_Sources!$E$7)</f>
        <v>2963.2032853499995</v>
      </c>
      <c r="S9" s="18">
        <f>R9*(1+Assumptions_Sources!$F$7)</f>
        <v>3066.9154003372491</v>
      </c>
      <c r="T9" s="18">
        <f>S9*(1+Assumptions_Sources!$F$7)</f>
        <v>3174.2574393490527</v>
      </c>
      <c r="U9" s="18">
        <f>T9*(1+Assumptions_Sources!$F$7)</f>
        <v>3285.3564497262691</v>
      </c>
      <c r="V9" s="18">
        <f>U9*(1+Assumptions_Sources!$F$7)</f>
        <v>3400.3439254666882</v>
      </c>
      <c r="W9" s="18">
        <f>V9*(1+Assumptions_Sources!$F$7)</f>
        <v>3519.3559628580219</v>
      </c>
      <c r="X9" s="30">
        <f t="shared" si="2"/>
        <v>5.1978156430052547E-2</v>
      </c>
      <c r="Y9" s="30">
        <f t="shared" si="3"/>
        <v>4.3454547119856191E-2</v>
      </c>
    </row>
    <row r="10" spans="1:25" ht="18" customHeight="1" x14ac:dyDescent="0.2">
      <c r="A10" s="1" t="s">
        <v>42</v>
      </c>
      <c r="B10" s="14">
        <v>2800</v>
      </c>
      <c r="C10" s="14">
        <v>2900</v>
      </c>
      <c r="D10" s="14">
        <v>3000</v>
      </c>
      <c r="E10" s="14">
        <v>3100</v>
      </c>
      <c r="F10" s="15">
        <v>750</v>
      </c>
      <c r="G10" s="16">
        <f>(J10-F10)*Assumptions_Sources!$C$45/SUM(Assumptions_Sources!$C$45:$E$45)</f>
        <v>838.1870229007634</v>
      </c>
      <c r="H10" s="16">
        <f>(J10-F10)*Assumptions_Sources!$D$45/SUM(Assumptions_Sources!$C$45:$E$45)</f>
        <v>838.1870229007634</v>
      </c>
      <c r="I10" s="16">
        <f t="shared" si="0"/>
        <v>828.62595419847321</v>
      </c>
      <c r="J10" s="16">
        <v>3255</v>
      </c>
      <c r="K10" s="17">
        <f>O10*Assumptions_Sources!$B$45</f>
        <v>745.32990000000007</v>
      </c>
      <c r="L10" s="17">
        <f>O10*Assumptions_Sources!$C$45</f>
        <v>915.98955000000012</v>
      </c>
      <c r="M10" s="17">
        <f>O10*Assumptions_Sources!$D$45</f>
        <v>915.98955000000012</v>
      </c>
      <c r="N10" s="17">
        <f t="shared" si="1"/>
        <v>905.54099999999983</v>
      </c>
      <c r="O10" s="17">
        <v>3482.8500000000004</v>
      </c>
      <c r="P10" s="18">
        <f>O10*(1+Assumptions_Sources!$D$8)</f>
        <v>3691.8210000000004</v>
      </c>
      <c r="Q10" s="18">
        <f>P10*(1+Assumptions_Sources!$E$8)</f>
        <v>3876.4120500000004</v>
      </c>
      <c r="R10" s="18">
        <f>Q10*(1+Assumptions_Sources!$E$8)</f>
        <v>4070.2326525000008</v>
      </c>
      <c r="S10" s="18">
        <f>R10*(1+Assumptions_Sources!$F$8)</f>
        <v>4233.0419586000007</v>
      </c>
      <c r="T10" s="18">
        <f>S10*(1+Assumptions_Sources!$F$8)</f>
        <v>4402.363636944001</v>
      </c>
      <c r="U10" s="18">
        <f>T10*(1+Assumptions_Sources!$F$8)</f>
        <v>4578.4581824217612</v>
      </c>
      <c r="V10" s="18">
        <f>U10*(1+Assumptions_Sources!$F$8)</f>
        <v>4761.5965097186318</v>
      </c>
      <c r="W10" s="18">
        <f>V10*(1+Assumptions_Sources!$F$8)</f>
        <v>4952.0603701073769</v>
      </c>
      <c r="X10" s="30">
        <f t="shared" si="2"/>
        <v>5.5969824742365892E-2</v>
      </c>
      <c r="Y10" s="30">
        <f t="shared" si="3"/>
        <v>4.795449220472392E-2</v>
      </c>
    </row>
    <row r="11" spans="1:25" ht="18" customHeight="1" x14ac:dyDescent="0.2">
      <c r="A11" s="1" t="s">
        <v>43</v>
      </c>
      <c r="B11" s="14">
        <v>1550</v>
      </c>
      <c r="C11" s="14">
        <v>1600</v>
      </c>
      <c r="D11" s="14">
        <v>1650</v>
      </c>
      <c r="E11" s="14">
        <v>1700</v>
      </c>
      <c r="F11" s="15">
        <v>430</v>
      </c>
      <c r="G11" s="16">
        <f>(J11-F11)*Assumptions_Sources!$C$45/SUM(Assumptions_Sources!$C$45:$E$45)</f>
        <v>453.39058524173026</v>
      </c>
      <c r="H11" s="16">
        <f>(J11-F11)*Assumptions_Sources!$D$45/SUM(Assumptions_Sources!$C$45:$E$45)</f>
        <v>453.39058524173026</v>
      </c>
      <c r="I11" s="16">
        <f t="shared" si="0"/>
        <v>448.21882951653947</v>
      </c>
      <c r="J11" s="16">
        <v>1785</v>
      </c>
      <c r="K11" s="17">
        <f>O11*Assumptions_Sources!$B$45</f>
        <v>402.99944999999997</v>
      </c>
      <c r="L11" s="17">
        <f>O11*Assumptions_Sources!$C$45</f>
        <v>495.27502500000003</v>
      </c>
      <c r="M11" s="17">
        <f>O11*Assumptions_Sources!$D$45</f>
        <v>495.27502500000003</v>
      </c>
      <c r="N11" s="17">
        <f t="shared" si="1"/>
        <v>489.62549999999987</v>
      </c>
      <c r="O11" s="17">
        <v>1883.175</v>
      </c>
      <c r="P11" s="18">
        <f>O11*(1+Assumptions_Sources!$D$9)</f>
        <v>1977.33375</v>
      </c>
      <c r="Q11" s="18">
        <f>P11*(1+Assumptions_Sources!$E$9)</f>
        <v>2066.3137687499998</v>
      </c>
      <c r="R11" s="18">
        <f>Q11*(1+Assumptions_Sources!$E$9)</f>
        <v>2159.2978883437495</v>
      </c>
      <c r="S11" s="18">
        <f>R11*(1+Assumptions_Sources!$F$9)</f>
        <v>2245.6698038774994</v>
      </c>
      <c r="T11" s="18">
        <f>S11*(1+Assumptions_Sources!$F$9)</f>
        <v>2335.4965960325994</v>
      </c>
      <c r="U11" s="18">
        <f>T11*(1+Assumptions_Sources!$F$9)</f>
        <v>2428.9164598739035</v>
      </c>
      <c r="V11" s="18">
        <f>U11*(1+Assumptions_Sources!$F$9)</f>
        <v>2526.0731182688596</v>
      </c>
      <c r="W11" s="18">
        <f>V11*(1+Assumptions_Sources!$F$9)</f>
        <v>2627.1160429996139</v>
      </c>
      <c r="X11" s="30">
        <f t="shared" si="2"/>
        <v>4.8993332373609144E-2</v>
      </c>
      <c r="Y11" s="30">
        <f t="shared" si="3"/>
        <v>4.4486986835428954E-2</v>
      </c>
    </row>
    <row r="12" spans="1:25" ht="18" customHeight="1" x14ac:dyDescent="0.2">
      <c r="A12" s="1" t="s">
        <v>44</v>
      </c>
      <c r="B12" s="14">
        <v>3600</v>
      </c>
      <c r="C12" s="14">
        <v>3900</v>
      </c>
      <c r="D12" s="14">
        <v>4200</v>
      </c>
      <c r="E12" s="14">
        <v>4500</v>
      </c>
      <c r="F12" s="15">
        <v>1100</v>
      </c>
      <c r="G12" s="16">
        <f>(J12-F12)*Assumptions_Sources!$C$45/SUM(Assumptions_Sources!$C$45:$E$45)</f>
        <v>1258.117048346056</v>
      </c>
      <c r="H12" s="16">
        <f>(J12-F12)*Assumptions_Sources!$D$45/SUM(Assumptions_Sources!$C$45:$E$45)</f>
        <v>1258.117048346056</v>
      </c>
      <c r="I12" s="16">
        <f t="shared" si="0"/>
        <v>1243.765903307888</v>
      </c>
      <c r="J12" s="16">
        <v>4860</v>
      </c>
      <c r="K12" s="17">
        <f>O12*Assumptions_Sources!$B$45</f>
        <v>1112.8428000000001</v>
      </c>
      <c r="L12" s="17">
        <f>O12*Assumptions_Sources!$C$45</f>
        <v>1367.6526000000003</v>
      </c>
      <c r="M12" s="17">
        <f>O12*Assumptions_Sources!$D$45</f>
        <v>1367.6526000000003</v>
      </c>
      <c r="N12" s="17">
        <f t="shared" si="1"/>
        <v>1352.0519999999997</v>
      </c>
      <c r="O12" s="17">
        <v>5200.2000000000007</v>
      </c>
      <c r="P12" s="18">
        <f>O12*(1+Assumptions_Sources!$D$10)</f>
        <v>5512.2120000000014</v>
      </c>
      <c r="Q12" s="18">
        <f>P12*(1+Assumptions_Sources!$E$10)</f>
        <v>5815.3836600000013</v>
      </c>
      <c r="R12" s="18">
        <f>Q12*(1+Assumptions_Sources!$E$10)</f>
        <v>6135.229761300001</v>
      </c>
      <c r="S12" s="18">
        <f>R12*(1+Assumptions_Sources!$F$10)</f>
        <v>6411.3151005585005</v>
      </c>
      <c r="T12" s="18">
        <f>S12*(1+Assumptions_Sources!$F$10)</f>
        <v>6699.8242800836324</v>
      </c>
      <c r="U12" s="18">
        <f>T12*(1+Assumptions_Sources!$F$10)</f>
        <v>7001.3163726873954</v>
      </c>
      <c r="V12" s="18">
        <f>U12*(1+Assumptions_Sources!$F$10)</f>
        <v>7316.3756094583277</v>
      </c>
      <c r="W12" s="18">
        <f>V12*(1+Assumptions_Sources!$F$10)</f>
        <v>7645.6125118839518</v>
      </c>
      <c r="X12" s="30">
        <f t="shared" si="2"/>
        <v>6.3955988974305322E-2</v>
      </c>
      <c r="Y12" s="30">
        <f t="shared" si="3"/>
        <v>5.4435397963359833E-2</v>
      </c>
    </row>
    <row r="13" spans="1:25" ht="18" customHeight="1" x14ac:dyDescent="0.2">
      <c r="A13" s="1" t="s">
        <v>45</v>
      </c>
      <c r="B13" s="14">
        <v>9017.2000000000007</v>
      </c>
      <c r="C13" s="14">
        <v>8787.1</v>
      </c>
      <c r="D13" s="14">
        <v>9430</v>
      </c>
      <c r="E13" s="14">
        <v>8072.7</v>
      </c>
      <c r="F13" s="15">
        <v>1553</v>
      </c>
      <c r="G13" s="16">
        <f>(J13-F13)*Assumptions_Sources!$C$45/SUM(Assumptions_Sources!$C$45:$E$45)</f>
        <v>2316.5866475826974</v>
      </c>
      <c r="H13" s="16">
        <f>(J13-F13)*Assumptions_Sources!$D$45/SUM(Assumptions_Sources!$C$45:$E$45)</f>
        <v>2316.5866475826974</v>
      </c>
      <c r="I13" s="16">
        <f t="shared" si="0"/>
        <v>2290.1617048346066</v>
      </c>
      <c r="J13" s="16">
        <v>8476.3350000000009</v>
      </c>
      <c r="K13" s="17">
        <f>O13*Assumptions_Sources!$B$45</f>
        <v>1904.6324745000002</v>
      </c>
      <c r="L13" s="17">
        <f>O13*Assumptions_Sources!$C$45</f>
        <v>2340.7399102500003</v>
      </c>
      <c r="M13" s="17">
        <f>O13*Assumptions_Sources!$D$45</f>
        <v>2340.7399102500003</v>
      </c>
      <c r="N13" s="17">
        <f t="shared" si="1"/>
        <v>2314.0394550000001</v>
      </c>
      <c r="O13" s="17">
        <v>8900.1517500000009</v>
      </c>
      <c r="P13" s="18">
        <f>O13*(1+Assumptions_Sources!$D$11)</f>
        <v>9300.6585787500007</v>
      </c>
      <c r="Q13" s="18">
        <f>P13*(1+Assumptions_Sources!$E$11)</f>
        <v>9672.6849219000014</v>
      </c>
      <c r="R13" s="18">
        <f>Q13*(1+Assumptions_Sources!$E$11)</f>
        <v>10059.592318776002</v>
      </c>
      <c r="S13" s="18">
        <f>R13*(1+Assumptions_Sources!$F$11)</f>
        <v>10411.678049933162</v>
      </c>
      <c r="T13" s="18">
        <f>S13*(1+Assumptions_Sources!$F$11)</f>
        <v>10776.086781680822</v>
      </c>
      <c r="U13" s="18">
        <f>T13*(1+Assumptions_Sources!$F$11)</f>
        <v>11153.249819039651</v>
      </c>
      <c r="V13" s="18">
        <f>U13*(1+Assumptions_Sources!$F$11)</f>
        <v>11543.613562706038</v>
      </c>
      <c r="W13" s="18">
        <f>V13*(1+Assumptions_Sources!$F$11)</f>
        <v>11947.640037400748</v>
      </c>
      <c r="X13" s="30">
        <f t="shared" si="2"/>
        <v>4.4990430556286487E-2</v>
      </c>
      <c r="Y13" s="30">
        <f t="shared" si="3"/>
        <v>3.9983218915457641E-2</v>
      </c>
    </row>
    <row r="14" spans="1:25" ht="18" customHeight="1" x14ac:dyDescent="0.2">
      <c r="A14" s="10" t="s">
        <v>46</v>
      </c>
      <c r="B14" s="19">
        <f t="shared" ref="B14:I14" si="4">SUM(B8:B13)</f>
        <v>26317.200000000001</v>
      </c>
      <c r="C14" s="19">
        <f t="shared" si="4"/>
        <v>27187.1</v>
      </c>
      <c r="D14" s="19">
        <f t="shared" si="4"/>
        <v>29030</v>
      </c>
      <c r="E14" s="19">
        <f t="shared" si="4"/>
        <v>28672.7</v>
      </c>
      <c r="F14" s="19">
        <f t="shared" si="4"/>
        <v>6633</v>
      </c>
      <c r="G14" s="19">
        <f t="shared" si="4"/>
        <v>7997.5204898218835</v>
      </c>
      <c r="H14" s="19">
        <f t="shared" si="4"/>
        <v>7997.5204898218835</v>
      </c>
      <c r="I14" s="19">
        <f t="shared" si="4"/>
        <v>7906.2940203562357</v>
      </c>
      <c r="J14" s="19">
        <v>30534.334999999999</v>
      </c>
      <c r="K14" s="19">
        <f>SUM(K8:K13)</f>
        <v>6944.5261445000006</v>
      </c>
      <c r="L14" s="19">
        <f>SUM(L8:L13)</f>
        <v>8534.6279252500026</v>
      </c>
      <c r="M14" s="19">
        <f>SUM(M8:M13)</f>
        <v>8534.6279252500026</v>
      </c>
      <c r="N14" s="19">
        <f>SUM(N8:N13)</f>
        <v>8437.2747549999985</v>
      </c>
      <c r="O14" s="19">
        <v>32451.056750000003</v>
      </c>
      <c r="P14" s="19">
        <f t="shared" ref="P14:W14" si="5">SUM(P8:P13)</f>
        <v>34219.943328750007</v>
      </c>
      <c r="Q14" s="19">
        <f t="shared" si="5"/>
        <v>35897.162950650003</v>
      </c>
      <c r="R14" s="19">
        <f t="shared" si="5"/>
        <v>37658.015428869752</v>
      </c>
      <c r="S14" s="19">
        <f t="shared" si="5"/>
        <v>39191.250514423416</v>
      </c>
      <c r="T14" s="19">
        <f t="shared" si="5"/>
        <v>40787.677294257373</v>
      </c>
      <c r="U14" s="19">
        <f t="shared" si="5"/>
        <v>42449.930029123774</v>
      </c>
      <c r="V14" s="19">
        <f t="shared" si="5"/>
        <v>44180.753944535201</v>
      </c>
      <c r="W14" s="19">
        <f t="shared" si="5"/>
        <v>45983.009949017622</v>
      </c>
      <c r="X14" s="30">
        <f t="shared" si="2"/>
        <v>5.6033675913808256E-2</v>
      </c>
      <c r="Y14" s="30">
        <f t="shared" si="3"/>
        <v>4.836588604891956E-2</v>
      </c>
    </row>
    <row r="15" spans="1:25" ht="18" customHeight="1" x14ac:dyDescent="0.2">
      <c r="A15" s="1"/>
      <c r="B15" s="20"/>
      <c r="C15" s="20"/>
      <c r="D15" s="20"/>
      <c r="E15" s="20"/>
      <c r="F15" s="16"/>
      <c r="G15" s="16"/>
      <c r="H15" s="16"/>
      <c r="I15" s="16"/>
      <c r="J15" s="16"/>
      <c r="K15" s="17"/>
      <c r="L15" s="17"/>
      <c r="M15" s="17"/>
      <c r="N15" s="17"/>
      <c r="O15" s="17"/>
      <c r="P15" s="18"/>
      <c r="Q15" s="18"/>
      <c r="R15" s="18"/>
      <c r="S15" s="18"/>
      <c r="T15" s="18"/>
      <c r="U15" s="18"/>
      <c r="V15" s="18"/>
      <c r="W15" s="18"/>
      <c r="X15" s="30"/>
      <c r="Y15" s="30"/>
    </row>
    <row r="16" spans="1:25" ht="18" customHeight="1" x14ac:dyDescent="0.2">
      <c r="A16" s="9" t="s">
        <v>47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31"/>
      <c r="Y16" s="31"/>
    </row>
    <row r="17" spans="1:25" ht="18" customHeight="1" x14ac:dyDescent="0.2">
      <c r="A17" s="1" t="s">
        <v>48</v>
      </c>
      <c r="B17" s="14">
        <v>3900</v>
      </c>
      <c r="C17" s="14">
        <v>4300</v>
      </c>
      <c r="D17" s="14">
        <v>5000</v>
      </c>
      <c r="E17" s="14">
        <v>5200</v>
      </c>
      <c r="F17" s="15">
        <v>1500</v>
      </c>
      <c r="G17" s="16">
        <f>(J17-F17)*Assumptions_Sources!$C$45/SUM(Assumptions_Sources!$C$45:$E$45)</f>
        <v>1412.0356234096696</v>
      </c>
      <c r="H17" s="16">
        <f>(J17-F17)*Assumptions_Sources!$D$45/SUM(Assumptions_Sources!$C$45:$E$45)</f>
        <v>1412.0356234096696</v>
      </c>
      <c r="I17" s="16">
        <f>J17-F17-G17-H17</f>
        <v>1395.9287531806615</v>
      </c>
      <c r="J17" s="16">
        <v>5720.0000000000009</v>
      </c>
      <c r="K17" s="17">
        <f>O17*Assumptions_Sources!$B$45</f>
        <v>1334.2472000000002</v>
      </c>
      <c r="L17" s="17">
        <f>O17*Assumptions_Sources!$C$45</f>
        <v>1639.7524000000003</v>
      </c>
      <c r="M17" s="17">
        <f>O17*Assumptions_Sources!$D$45</f>
        <v>1639.7524000000003</v>
      </c>
      <c r="N17" s="17">
        <f>O17-K17-L17-M17</f>
        <v>1621.0480000000007</v>
      </c>
      <c r="O17" s="17">
        <v>6234.8000000000011</v>
      </c>
      <c r="P17" s="18">
        <f>O17*(1+Assumptions_Sources!$D$12)</f>
        <v>6733.5840000000017</v>
      </c>
      <c r="Q17" s="18">
        <f>P17*(1+Assumptions_Sources!$E$12)</f>
        <v>7204.9348800000025</v>
      </c>
      <c r="R17" s="18">
        <f>Q17*(1+Assumptions_Sources!$E$12)</f>
        <v>7709.2803216000029</v>
      </c>
      <c r="S17" s="18">
        <f>R17*(1+Assumptions_Sources!$F$12)</f>
        <v>8133.2907392880024</v>
      </c>
      <c r="T17" s="18">
        <f>S17*(1+Assumptions_Sources!$F$12)</f>
        <v>8580.6217299488417</v>
      </c>
      <c r="U17" s="18">
        <f>T17*(1+Assumptions_Sources!$F$12)</f>
        <v>9052.5559250960268</v>
      </c>
      <c r="V17" s="18">
        <f>U17*(1+Assumptions_Sources!$F$12)</f>
        <v>9550.446500976308</v>
      </c>
      <c r="W17" s="18">
        <f>V17*(1+Assumptions_Sources!$F$12)</f>
        <v>10075.721058530004</v>
      </c>
      <c r="X17" s="30">
        <f t="shared" ref="X17:X22" si="6">IF(E17&gt;0,(R17/E17)^(1/5)-1,0)</f>
        <v>8.1937313334438322E-2</v>
      </c>
      <c r="Y17" s="30">
        <f t="shared" ref="Y17:Y22" si="7">IF(E17&gt;0,(W17/E17)^(1/10)-1,0)</f>
        <v>6.8383763246068874E-2</v>
      </c>
    </row>
    <row r="18" spans="1:25" ht="18" customHeight="1" x14ac:dyDescent="0.2">
      <c r="A18" s="1" t="s">
        <v>49</v>
      </c>
      <c r="B18" s="14">
        <v>700</v>
      </c>
      <c r="C18" s="14">
        <v>750</v>
      </c>
      <c r="D18" s="14">
        <v>800</v>
      </c>
      <c r="E18" s="14">
        <v>800</v>
      </c>
      <c r="F18" s="15">
        <v>300</v>
      </c>
      <c r="G18" s="16">
        <f>(J18-F18)*Assumptions_Sources!$C$45/SUM(Assumptions_Sources!$C$45:$E$45)</f>
        <v>188.71755725190837</v>
      </c>
      <c r="H18" s="16">
        <f>(J18-F18)*Assumptions_Sources!$D$45/SUM(Assumptions_Sources!$C$45:$E$45)</f>
        <v>188.71755725190837</v>
      </c>
      <c r="I18" s="16">
        <f>J18-F18-G18-H18</f>
        <v>186.56488549618325</v>
      </c>
      <c r="J18" s="16">
        <v>864</v>
      </c>
      <c r="K18" s="17">
        <f>O18*Assumptions_Sources!$B$45</f>
        <v>199.68768000000003</v>
      </c>
      <c r="L18" s="17">
        <f>O18*Assumptions_Sources!$C$45</f>
        <v>245.41056000000003</v>
      </c>
      <c r="M18" s="17">
        <f>O18*Assumptions_Sources!$D$45</f>
        <v>245.41056000000003</v>
      </c>
      <c r="N18" s="17">
        <f>O18-K18-L18-M18</f>
        <v>242.61120000000005</v>
      </c>
      <c r="O18" s="17">
        <v>933.12000000000012</v>
      </c>
      <c r="P18" s="18">
        <f>O18*(1+Assumptions_Sources!$D$13)</f>
        <v>998.43840000000023</v>
      </c>
      <c r="Q18" s="18">
        <f>P18*(1+Assumptions_Sources!$E$13)</f>
        <v>1058.3447040000003</v>
      </c>
      <c r="R18" s="18">
        <f>Q18*(1+Assumptions_Sources!$E$13)</f>
        <v>1121.8453862400004</v>
      </c>
      <c r="S18" s="18">
        <f>R18*(1+Assumptions_Sources!$F$13)</f>
        <v>1177.9376555520005</v>
      </c>
      <c r="T18" s="18">
        <f>S18*(1+Assumptions_Sources!$F$13)</f>
        <v>1236.8345383296005</v>
      </c>
      <c r="U18" s="18">
        <f>T18*(1+Assumptions_Sources!$F$13)</f>
        <v>1298.6762652460807</v>
      </c>
      <c r="V18" s="18">
        <f>U18*(1+Assumptions_Sources!$F$13)</f>
        <v>1363.6100785083847</v>
      </c>
      <c r="W18" s="18">
        <f>V18*(1+Assumptions_Sources!$F$13)</f>
        <v>1431.790582433804</v>
      </c>
      <c r="X18" s="30">
        <f t="shared" si="6"/>
        <v>6.9962615842826814E-2</v>
      </c>
      <c r="Y18" s="30">
        <f t="shared" si="7"/>
        <v>5.9934312415145907E-2</v>
      </c>
    </row>
    <row r="19" spans="1:25" ht="18" customHeight="1" x14ac:dyDescent="0.2">
      <c r="A19" s="1" t="s">
        <v>50</v>
      </c>
      <c r="B19" s="14">
        <v>0</v>
      </c>
      <c r="C19" s="14">
        <v>450</v>
      </c>
      <c r="D19" s="14">
        <v>650</v>
      </c>
      <c r="E19" s="14">
        <v>1100</v>
      </c>
      <c r="F19" s="15">
        <v>280</v>
      </c>
      <c r="G19" s="16">
        <f>(J19-F19)*Assumptions_Sources!$C$45/SUM(Assumptions_Sources!$C$45:$E$45)</f>
        <v>440.00636132315526</v>
      </c>
      <c r="H19" s="16">
        <f>(J19-F19)*Assumptions_Sources!$D$45/SUM(Assumptions_Sources!$C$45:$E$45)</f>
        <v>440.00636132315526</v>
      </c>
      <c r="I19" s="16">
        <f>J19-F19-G19-H19</f>
        <v>434.98727735368948</v>
      </c>
      <c r="J19" s="16">
        <v>1595</v>
      </c>
      <c r="K19" s="17">
        <f>O19*Assumptions_Sources!$B$45</f>
        <v>450.55560000000003</v>
      </c>
      <c r="L19" s="17">
        <f>O19*Assumptions_Sources!$C$45</f>
        <v>553.72020000000009</v>
      </c>
      <c r="M19" s="17">
        <f>O19*Assumptions_Sources!$D$45</f>
        <v>553.72020000000009</v>
      </c>
      <c r="N19" s="17">
        <f>O19-K19-L19-M19</f>
        <v>547.40399999999966</v>
      </c>
      <c r="O19" s="17">
        <v>2105.4</v>
      </c>
      <c r="P19" s="18">
        <f>O19*(1+Assumptions_Sources!$D$14)</f>
        <v>2610.6959999999999</v>
      </c>
      <c r="Q19" s="18">
        <f>P19*(1+Assumptions_Sources!$E$14)</f>
        <v>3054.5143199999998</v>
      </c>
      <c r="R19" s="18">
        <f>Q19*(1+Assumptions_Sources!$E$14)</f>
        <v>3573.7817543999995</v>
      </c>
      <c r="S19" s="18">
        <f>R19*(1+Assumptions_Sources!$F$14)</f>
        <v>3931.1599298399997</v>
      </c>
      <c r="T19" s="18">
        <f>S19*(1+Assumptions_Sources!$F$14)</f>
        <v>4324.2759228240002</v>
      </c>
      <c r="U19" s="18">
        <f>T19*(1+Assumptions_Sources!$F$14)</f>
        <v>4756.703515106401</v>
      </c>
      <c r="V19" s="18">
        <f>U19*(1+Assumptions_Sources!$F$14)</f>
        <v>5232.3738666170411</v>
      </c>
      <c r="W19" s="18">
        <f>V19*(1+Assumptions_Sources!$F$14)</f>
        <v>5755.6112532787456</v>
      </c>
      <c r="X19" s="30">
        <f t="shared" si="6"/>
        <v>0.26574747126885545</v>
      </c>
      <c r="Y19" s="30">
        <f t="shared" si="7"/>
        <v>0.17996704123282248</v>
      </c>
    </row>
    <row r="20" spans="1:25" ht="18" customHeight="1" x14ac:dyDescent="0.2">
      <c r="A20" s="1" t="s">
        <v>51</v>
      </c>
      <c r="B20" s="14">
        <v>200</v>
      </c>
      <c r="C20" s="14">
        <v>200</v>
      </c>
      <c r="D20" s="14">
        <v>140</v>
      </c>
      <c r="E20" s="14">
        <v>215</v>
      </c>
      <c r="F20" s="15">
        <v>50</v>
      </c>
      <c r="G20" s="16">
        <f>(J20-F20)*Assumptions_Sources!$C$45/SUM(Assumptions_Sources!$C$45:$E$45)</f>
        <v>62.403944020356242</v>
      </c>
      <c r="H20" s="16">
        <f>(J20-F20)*Assumptions_Sources!$D$45/SUM(Assumptions_Sources!$C$45:$E$45)</f>
        <v>62.403944020356242</v>
      </c>
      <c r="I20" s="16">
        <f>J20-F20-G20-H20</f>
        <v>61.692111959287537</v>
      </c>
      <c r="J20" s="16">
        <v>236.50000000000003</v>
      </c>
      <c r="K20" s="17">
        <f>O20*Assumptions_Sources!$B$45</f>
        <v>55.672100000000007</v>
      </c>
      <c r="L20" s="17">
        <f>O20*Assumptions_Sources!$C$45</f>
        <v>68.419450000000012</v>
      </c>
      <c r="M20" s="17">
        <f>O20*Assumptions_Sources!$D$45</f>
        <v>68.419450000000012</v>
      </c>
      <c r="N20" s="17">
        <f>O20-K20-L20-M20</f>
        <v>67.63900000000001</v>
      </c>
      <c r="O20" s="17">
        <v>260.15000000000003</v>
      </c>
      <c r="P20" s="18">
        <f>O20*(1+Assumptions_Sources!$D$15)</f>
        <v>280.96200000000005</v>
      </c>
      <c r="Q20" s="18">
        <f>P20*(1+Assumptions_Sources!$E$15)</f>
        <v>300.62934000000007</v>
      </c>
      <c r="R20" s="18">
        <f>Q20*(1+Assumptions_Sources!$E$15)</f>
        <v>321.6733938000001</v>
      </c>
      <c r="S20" s="18">
        <f>R20*(1+Assumptions_Sources!$F$15)</f>
        <v>337.75706349000012</v>
      </c>
      <c r="T20" s="18">
        <f>S20*(1+Assumptions_Sources!$F$15)</f>
        <v>354.64491666450016</v>
      </c>
      <c r="U20" s="18">
        <f>T20*(1+Assumptions_Sources!$F$15)</f>
        <v>372.37716249772518</v>
      </c>
      <c r="V20" s="18">
        <f>U20*(1+Assumptions_Sources!$F$15)</f>
        <v>390.99602062261147</v>
      </c>
      <c r="W20" s="18">
        <f>V20*(1+Assumptions_Sources!$F$15)</f>
        <v>410.54582165374205</v>
      </c>
      <c r="X20" s="30">
        <f t="shared" si="6"/>
        <v>8.3915274100072157E-2</v>
      </c>
      <c r="Y20" s="30">
        <f t="shared" si="7"/>
        <v>6.6822870867078832E-2</v>
      </c>
    </row>
    <row r="21" spans="1:25" ht="18" customHeight="1" x14ac:dyDescent="0.2">
      <c r="A21" s="1" t="s">
        <v>52</v>
      </c>
      <c r="B21" s="14">
        <v>0</v>
      </c>
      <c r="C21" s="14">
        <v>0</v>
      </c>
      <c r="D21" s="14">
        <v>0</v>
      </c>
      <c r="E21" s="14">
        <v>0</v>
      </c>
      <c r="F21" s="15">
        <v>0</v>
      </c>
      <c r="G21" s="16">
        <f>IF(Assumptions_Sources!$C$30=2027,J21*Assumptions_Sources!$H$30,(J21-F21)*Assumptions_Sources!$C$45/SUM(Assumptions_Sources!$C$45:$E$45))</f>
        <v>0</v>
      </c>
      <c r="H21" s="16">
        <f>IF(Assumptions_Sources!$C$30=2027,J21*Assumptions_Sources!$I$30,(J21-F21)*Assumptions_Sources!$D$45/SUM(Assumptions_Sources!$C$45:$E$45))</f>
        <v>83.333333333333343</v>
      </c>
      <c r="I21" s="16">
        <f>J21-F21-G21-H21</f>
        <v>125</v>
      </c>
      <c r="J21" s="16">
        <v>208.33333333333334</v>
      </c>
      <c r="K21" s="17">
        <f>O21*Assumptions_Sources!$B$45</f>
        <v>133.75</v>
      </c>
      <c r="L21" s="17">
        <f>O21*Assumptions_Sources!$C$45</f>
        <v>164.375</v>
      </c>
      <c r="M21" s="17">
        <f>O21*Assumptions_Sources!$D$45</f>
        <v>164.375</v>
      </c>
      <c r="N21" s="17">
        <f>O21-K21-L21-M21</f>
        <v>162.5</v>
      </c>
      <c r="O21" s="17">
        <v>625</v>
      </c>
      <c r="P21" s="18">
        <f>IF(2029&lt;Assumptions_Sources!$C$30,0,IF(2029=Assumptions_Sources!$C$30,Assumptions_Sources!$D$30/Assumptions_Sources!$E$30*Assumptions_Sources!$G$30,IF(2029&lt;Assumptions_Sources!$C$30+Assumptions_Sources!$E$30,MIN(Assumptions_Sources!$D$30,Assumptions_Sources!$D$30/Assumptions_Sources!$E$30*(2029-Assumptions_Sources!$C$30+Assumptions_Sources!$G$30)),Assumptions_Sources!$D$30*(1+Assumptions_Sources!$F$30)^(2029-(Assumptions_Sources!$C$30+Assumptions_Sources!$E$30)))))</f>
        <v>1041.6666666666667</v>
      </c>
      <c r="Q21" s="18">
        <f>IF(2030&lt;Assumptions_Sources!$C$30,0,IF(2030=Assumptions_Sources!$C$30,Assumptions_Sources!$D$30/Assumptions_Sources!$E$30*Assumptions_Sources!$G$30,IF(2030&lt;Assumptions_Sources!$C$30+Assumptions_Sources!$E$30,MIN(Assumptions_Sources!$D$30,Assumptions_Sources!$D$30/Assumptions_Sources!$E$30*(2030-Assumptions_Sources!$C$30+Assumptions_Sources!$G$30)),Assumptions_Sources!$D$30*(1+Assumptions_Sources!$F$30)^(2030-(Assumptions_Sources!$C$30+Assumptions_Sources!$E$30)))))</f>
        <v>1458.3333333333335</v>
      </c>
      <c r="R21" s="18">
        <f>IF(2031&lt;Assumptions_Sources!$C$30,0,IF(2031=Assumptions_Sources!$C$30,Assumptions_Sources!$D$30/Assumptions_Sources!$E$30*Assumptions_Sources!$G$30,IF(2031&lt;Assumptions_Sources!$C$30+Assumptions_Sources!$E$30,MIN(Assumptions_Sources!$D$30,Assumptions_Sources!$D$30/Assumptions_Sources!$E$30*(2031-Assumptions_Sources!$C$30+Assumptions_Sources!$G$30)),Assumptions_Sources!$D$30*(1+Assumptions_Sources!$F$30)^(2031-(Assumptions_Sources!$C$30+Assumptions_Sources!$E$30)))))</f>
        <v>1875</v>
      </c>
      <c r="S21" s="18">
        <f>IF(2032&lt;Assumptions_Sources!$C$30,0,IF(2032=Assumptions_Sources!$C$30,Assumptions_Sources!$D$30/Assumptions_Sources!$E$30*Assumptions_Sources!$G$30,IF(2032&lt;Assumptions_Sources!$C$30+Assumptions_Sources!$E$30,MIN(Assumptions_Sources!$D$30,Assumptions_Sources!$D$30/Assumptions_Sources!$E$30*(2032-Assumptions_Sources!$C$30+Assumptions_Sources!$G$30)),Assumptions_Sources!$D$30*(1+Assumptions_Sources!$F$30)^(2032-(Assumptions_Sources!$C$30+Assumptions_Sources!$E$30)))))</f>
        <v>2291.666666666667</v>
      </c>
      <c r="T21" s="18">
        <f>IF(2033&lt;Assumptions_Sources!$C$30,0,IF(2033=Assumptions_Sources!$C$30,Assumptions_Sources!$D$30/Assumptions_Sources!$E$30*Assumptions_Sources!$G$30,IF(2033&lt;Assumptions_Sources!$C$30+Assumptions_Sources!$E$30,MIN(Assumptions_Sources!$D$30,Assumptions_Sources!$D$30/Assumptions_Sources!$E$30*(2033-Assumptions_Sources!$C$30+Assumptions_Sources!$G$30)),Assumptions_Sources!$D$30*(1+Assumptions_Sources!$F$30)^(2033-(Assumptions_Sources!$C$30+Assumptions_Sources!$E$30)))))</f>
        <v>2500</v>
      </c>
      <c r="U21" s="18">
        <f>IF(2034&lt;Assumptions_Sources!$C$30,0,IF(2034=Assumptions_Sources!$C$30,Assumptions_Sources!$D$30/Assumptions_Sources!$E$30*Assumptions_Sources!$G$30,IF(2034&lt;Assumptions_Sources!$C$30+Assumptions_Sources!$E$30,MIN(Assumptions_Sources!$D$30,Assumptions_Sources!$D$30/Assumptions_Sources!$E$30*(2034-Assumptions_Sources!$C$30+Assumptions_Sources!$G$30)),Assumptions_Sources!$D$30*(1+Assumptions_Sources!$F$30)^(2034-(Assumptions_Sources!$C$30+Assumptions_Sources!$E$30)))))</f>
        <v>2575</v>
      </c>
      <c r="V21" s="18">
        <f>IF(2035&lt;Assumptions_Sources!$C$30,0,IF(2035=Assumptions_Sources!$C$30,Assumptions_Sources!$D$30/Assumptions_Sources!$E$30*Assumptions_Sources!$G$30,IF(2035&lt;Assumptions_Sources!$C$30+Assumptions_Sources!$E$30,MIN(Assumptions_Sources!$D$30,Assumptions_Sources!$D$30/Assumptions_Sources!$E$30*(2035-Assumptions_Sources!$C$30+Assumptions_Sources!$G$30)),Assumptions_Sources!$D$30*(1+Assumptions_Sources!$F$30)^(2035-(Assumptions_Sources!$C$30+Assumptions_Sources!$E$30)))))</f>
        <v>2652.25</v>
      </c>
      <c r="W21" s="18">
        <f>IF(2036&lt;Assumptions_Sources!$C$30,0,IF(2036=Assumptions_Sources!$C$30,Assumptions_Sources!$D$30/Assumptions_Sources!$E$30*Assumptions_Sources!$G$30,IF(2036&lt;Assumptions_Sources!$C$30+Assumptions_Sources!$E$30,MIN(Assumptions_Sources!$D$30,Assumptions_Sources!$D$30/Assumptions_Sources!$E$30*(2036-Assumptions_Sources!$C$30+Assumptions_Sources!$G$30)),Assumptions_Sources!$D$30*(1+Assumptions_Sources!$F$30)^(2036-(Assumptions_Sources!$C$30+Assumptions_Sources!$E$30)))))</f>
        <v>2731.8175000000001</v>
      </c>
      <c r="X21" s="30">
        <f t="shared" si="6"/>
        <v>0</v>
      </c>
      <c r="Y21" s="30">
        <f t="shared" si="7"/>
        <v>0</v>
      </c>
    </row>
    <row r="22" spans="1:25" ht="18" customHeight="1" x14ac:dyDescent="0.2">
      <c r="A22" s="10" t="s">
        <v>53</v>
      </c>
      <c r="B22" s="19">
        <f t="shared" ref="B22:I22" si="8">SUM(B17:B21)</f>
        <v>4800</v>
      </c>
      <c r="C22" s="19">
        <f t="shared" si="8"/>
        <v>5700</v>
      </c>
      <c r="D22" s="19">
        <f t="shared" si="8"/>
        <v>6590</v>
      </c>
      <c r="E22" s="19">
        <f t="shared" si="8"/>
        <v>7315</v>
      </c>
      <c r="F22" s="19">
        <f t="shared" si="8"/>
        <v>2130</v>
      </c>
      <c r="G22" s="19">
        <f t="shared" si="8"/>
        <v>2103.1634860050895</v>
      </c>
      <c r="H22" s="19">
        <f t="shared" si="8"/>
        <v>2186.4968193384229</v>
      </c>
      <c r="I22" s="19">
        <f t="shared" si="8"/>
        <v>2204.1730279898215</v>
      </c>
      <c r="J22" s="19">
        <v>8623.8333333333358</v>
      </c>
      <c r="K22" s="19">
        <f>SUM(K17:K21)</f>
        <v>2173.9125800000002</v>
      </c>
      <c r="L22" s="19">
        <f>SUM(L17:L21)</f>
        <v>2671.6776100000002</v>
      </c>
      <c r="M22" s="19">
        <f>SUM(M17:M21)</f>
        <v>2671.6776100000002</v>
      </c>
      <c r="N22" s="19">
        <f>SUM(N17:N21)</f>
        <v>2641.2022000000006</v>
      </c>
      <c r="O22" s="19">
        <v>10158.470000000001</v>
      </c>
      <c r="P22" s="19">
        <f t="shared" ref="P22:W22" si="9">SUM(P17:P21)</f>
        <v>11665.347066666667</v>
      </c>
      <c r="Q22" s="19">
        <f t="shared" si="9"/>
        <v>13076.756577333337</v>
      </c>
      <c r="R22" s="19">
        <f t="shared" si="9"/>
        <v>14601.580856040002</v>
      </c>
      <c r="S22" s="19">
        <f t="shared" si="9"/>
        <v>15871.812054836671</v>
      </c>
      <c r="T22" s="19">
        <f t="shared" si="9"/>
        <v>16996.377107766941</v>
      </c>
      <c r="U22" s="19">
        <f t="shared" si="9"/>
        <v>18055.312867946232</v>
      </c>
      <c r="V22" s="19">
        <f t="shared" si="9"/>
        <v>19189.676466724348</v>
      </c>
      <c r="W22" s="19">
        <f t="shared" si="9"/>
        <v>20405.486215896293</v>
      </c>
      <c r="X22" s="30">
        <f t="shared" si="6"/>
        <v>0.14825173272725611</v>
      </c>
      <c r="Y22" s="30">
        <f t="shared" si="7"/>
        <v>0.10803444594227107</v>
      </c>
    </row>
    <row r="23" spans="1:25" ht="18" customHeight="1" x14ac:dyDescent="0.2">
      <c r="A23" s="1"/>
      <c r="B23" s="20"/>
      <c r="C23" s="20"/>
      <c r="D23" s="20"/>
      <c r="E23" s="20"/>
      <c r="F23" s="16"/>
      <c r="G23" s="16"/>
      <c r="H23" s="16"/>
      <c r="I23" s="16"/>
      <c r="J23" s="16"/>
      <c r="K23" s="17"/>
      <c r="L23" s="17"/>
      <c r="M23" s="17"/>
      <c r="N23" s="17"/>
      <c r="O23" s="17"/>
      <c r="P23" s="18"/>
      <c r="Q23" s="18"/>
      <c r="R23" s="18"/>
      <c r="S23" s="18"/>
      <c r="T23" s="18"/>
      <c r="U23" s="18"/>
      <c r="V23" s="18"/>
      <c r="W23" s="18"/>
      <c r="X23" s="30"/>
      <c r="Y23" s="30"/>
    </row>
    <row r="24" spans="1:25" ht="18" customHeight="1" x14ac:dyDescent="0.2">
      <c r="A24" s="9" t="s">
        <v>54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31"/>
      <c r="Y24" s="31"/>
    </row>
    <row r="25" spans="1:25" ht="18" customHeight="1" x14ac:dyDescent="0.2">
      <c r="A25" s="1" t="s">
        <v>55</v>
      </c>
      <c r="B25" s="14">
        <v>250</v>
      </c>
      <c r="C25" s="14">
        <v>400</v>
      </c>
      <c r="D25" s="14">
        <v>560</v>
      </c>
      <c r="E25" s="14">
        <v>620</v>
      </c>
      <c r="F25" s="15">
        <v>75</v>
      </c>
      <c r="G25" s="16">
        <f>(J25-F25)*Assumptions_Sources!$C$45/SUM(Assumptions_Sources!$C$45:$E$45)</f>
        <v>219.70203562340961</v>
      </c>
      <c r="H25" s="16">
        <f>(J25-F25)*Assumptions_Sources!$D$45/SUM(Assumptions_Sources!$C$45:$E$45)</f>
        <v>219.70203562340961</v>
      </c>
      <c r="I25" s="16">
        <f>J25-F25-G25-H25</f>
        <v>217.19592875318065</v>
      </c>
      <c r="J25" s="16">
        <f>E25*(1+Assumptions_Sources!$B$16)</f>
        <v>731.59999999999991</v>
      </c>
      <c r="K25" s="17">
        <f>O25*Assumptions_Sources!$B$45</f>
        <v>180.04675999999995</v>
      </c>
      <c r="L25" s="17">
        <f>O25*Assumptions_Sources!$C$45</f>
        <v>221.27241999999995</v>
      </c>
      <c r="M25" s="17">
        <f>O25*Assumptions_Sources!$D$45</f>
        <v>221.27241999999995</v>
      </c>
      <c r="N25" s="17">
        <f>O25-K25-L25-M25</f>
        <v>218.74839999999995</v>
      </c>
      <c r="O25" s="17">
        <f>J25*(1+Assumptions_Sources!$C$16)</f>
        <v>841.3399999999998</v>
      </c>
      <c r="P25" s="18">
        <f>O25*(1+Assumptions_Sources!$D$16)</f>
        <v>942.30079999999987</v>
      </c>
      <c r="Q25" s="18">
        <f>P25*(1+Assumptions_Sources!$E$16)</f>
        <v>1036.53088</v>
      </c>
      <c r="R25" s="18">
        <f>Q25*(1+Assumptions_Sources!$E$16)</f>
        <v>1140.183968</v>
      </c>
      <c r="S25" s="18">
        <f>R25*(1+Assumptions_Sources!$F$16)</f>
        <v>1219.99684576</v>
      </c>
      <c r="T25" s="18">
        <f>S25*(1+Assumptions_Sources!$F$16)</f>
        <v>1305.3966249632001</v>
      </c>
      <c r="U25" s="18">
        <f>T25*(1+Assumptions_Sources!$F$16)</f>
        <v>1396.7743887106242</v>
      </c>
      <c r="V25" s="18">
        <f>U25*(1+Assumptions_Sources!$F$16)</f>
        <v>1494.5485959203679</v>
      </c>
      <c r="W25" s="18">
        <f>V25*(1+Assumptions_Sources!$F$16)</f>
        <v>1599.1669976347937</v>
      </c>
      <c r="X25" s="30">
        <f>IF(E25&gt;0,(R25/E25)^(1/5)-1,0)</f>
        <v>0.12957909965282255</v>
      </c>
      <c r="Y25" s="30">
        <f>IF(E25&gt;0,(W25/E25)^(1/10)-1,0)</f>
        <v>9.938602712082889E-2</v>
      </c>
    </row>
    <row r="26" spans="1:25" ht="18" customHeight="1" x14ac:dyDescent="0.2">
      <c r="A26" s="1" t="s">
        <v>56</v>
      </c>
      <c r="B26" s="14">
        <v>100</v>
      </c>
      <c r="C26" s="14">
        <v>150</v>
      </c>
      <c r="D26" s="14">
        <v>200</v>
      </c>
      <c r="E26" s="14">
        <v>250</v>
      </c>
      <c r="F26" s="15">
        <v>32</v>
      </c>
      <c r="G26" s="16">
        <f>(J26-F26)*Assumptions_Sources!$C$45/SUM(Assumptions_Sources!$C$45:$E$45)</f>
        <v>93.85687022900764</v>
      </c>
      <c r="H26" s="16">
        <f>(J26-F26)*Assumptions_Sources!$D$45/SUM(Assumptions_Sources!$C$45:$E$45)</f>
        <v>93.85687022900764</v>
      </c>
      <c r="I26" s="16">
        <f>J26-F26-G26-H26</f>
        <v>92.786259541984705</v>
      </c>
      <c r="J26" s="16">
        <f>E26*(1+Assumptions_Sources!$B$17)</f>
        <v>312.5</v>
      </c>
      <c r="K26" s="17">
        <f>O26*Assumptions_Sources!$B$45</f>
        <v>80.25</v>
      </c>
      <c r="L26" s="17">
        <f>O26*Assumptions_Sources!$C$45</f>
        <v>98.625</v>
      </c>
      <c r="M26" s="17">
        <f>O26*Assumptions_Sources!$D$45</f>
        <v>98.625</v>
      </c>
      <c r="N26" s="17">
        <f>O26-K26-L26-M26</f>
        <v>97.5</v>
      </c>
      <c r="O26" s="17">
        <f>J26*(1+Assumptions_Sources!$C$17)</f>
        <v>375</v>
      </c>
      <c r="P26" s="18">
        <f>O26*(1+Assumptions_Sources!$D$17)</f>
        <v>442.5</v>
      </c>
      <c r="Q26" s="18">
        <f>P26*(1+Assumptions_Sources!$E$17)</f>
        <v>504.45000000000005</v>
      </c>
      <c r="R26" s="18">
        <f>Q26*(1+Assumptions_Sources!$E$17)</f>
        <v>575.07300000000009</v>
      </c>
      <c r="S26" s="18">
        <f>R26*(1+Assumptions_Sources!$F$17)</f>
        <v>632.58030000000019</v>
      </c>
      <c r="T26" s="18">
        <f>S26*(1+Assumptions_Sources!$F$17)</f>
        <v>695.83833000000027</v>
      </c>
      <c r="U26" s="18">
        <f>T26*(1+Assumptions_Sources!$F$17)</f>
        <v>765.42216300000041</v>
      </c>
      <c r="V26" s="18">
        <f>U26*(1+Assumptions_Sources!$F$17)</f>
        <v>841.96437930000047</v>
      </c>
      <c r="W26" s="18">
        <f>V26*(1+Assumptions_Sources!$F$17)</f>
        <v>926.16081723000059</v>
      </c>
      <c r="X26" s="30">
        <f>IF(E26&gt;0,(R26/E26)^(1/5)-1,0)</f>
        <v>0.18129018025701282</v>
      </c>
      <c r="Y26" s="30">
        <f>IF(E26&gt;0,(W26/E26)^(1/10)-1,0)</f>
        <v>0.13992069824295861</v>
      </c>
    </row>
    <row r="27" spans="1:25" ht="18" customHeight="1" x14ac:dyDescent="0.2">
      <c r="A27" s="1" t="s">
        <v>57</v>
      </c>
      <c r="B27" s="14">
        <v>750</v>
      </c>
      <c r="C27" s="14">
        <v>800</v>
      </c>
      <c r="D27" s="14">
        <v>850</v>
      </c>
      <c r="E27" s="14">
        <v>930</v>
      </c>
      <c r="F27" s="15">
        <v>120</v>
      </c>
      <c r="G27" s="16">
        <f>(J27-F27)*Assumptions_Sources!$C$45/SUM(Assumptions_Sources!$C$45:$E$45)</f>
        <v>289.70152671755727</v>
      </c>
      <c r="H27" s="16">
        <f>(J27-F27)*Assumptions_Sources!$D$45/SUM(Assumptions_Sources!$C$45:$E$45)</f>
        <v>289.70152671755727</v>
      </c>
      <c r="I27" s="16">
        <f>J27-F27-G27-H27</f>
        <v>286.39694656488552</v>
      </c>
      <c r="J27" s="16">
        <f>E27*(1+Assumptions_Sources!$B$18)</f>
        <v>985.80000000000007</v>
      </c>
      <c r="K27" s="17">
        <f>O27*Assumptions_Sources!$B$45</f>
        <v>223.61887200000001</v>
      </c>
      <c r="L27" s="17">
        <f>O27*Assumptions_Sources!$C$45</f>
        <v>274.82132400000006</v>
      </c>
      <c r="M27" s="17">
        <f>O27*Assumptions_Sources!$D$45</f>
        <v>274.82132400000006</v>
      </c>
      <c r="N27" s="17">
        <f>O27-K27-L27-M27</f>
        <v>271.68648000000002</v>
      </c>
      <c r="O27" s="17">
        <f>J27*(1+Assumptions_Sources!$C$18)</f>
        <v>1044.9480000000001</v>
      </c>
      <c r="P27" s="18">
        <f>O27*(1+Assumptions_Sources!$D$18)</f>
        <v>1097.1954000000001</v>
      </c>
      <c r="Q27" s="18">
        <f>P27*(1+Assumptions_Sources!$E$18)</f>
        <v>1141.083216</v>
      </c>
      <c r="R27" s="18">
        <f>Q27*(1+Assumptions_Sources!$E$18)</f>
        <v>1186.7265446399999</v>
      </c>
      <c r="S27" s="18">
        <f>R27*(1+Assumptions_Sources!$F$18)</f>
        <v>1222.3283409792</v>
      </c>
      <c r="T27" s="18">
        <f>S27*(1+Assumptions_Sources!$F$18)</f>
        <v>1258.9981912085759</v>
      </c>
      <c r="U27" s="18">
        <f>T27*(1+Assumptions_Sources!$F$18)</f>
        <v>1296.7681369448333</v>
      </c>
      <c r="V27" s="18">
        <f>U27*(1+Assumptions_Sources!$F$18)</f>
        <v>1335.6711810531783</v>
      </c>
      <c r="W27" s="18">
        <f>V27*(1+Assumptions_Sources!$F$18)</f>
        <v>1375.7413164847737</v>
      </c>
      <c r="X27" s="30">
        <f>IF(E27&gt;0,(R27/E27)^(1/5)-1,0)</f>
        <v>4.9961903725249446E-2</v>
      </c>
      <c r="Y27" s="30">
        <f>IF(E27&gt;0,(W27/E27)^(1/10)-1,0)</f>
        <v>3.9933055940144069E-2</v>
      </c>
    </row>
    <row r="28" spans="1:25" ht="18" customHeight="1" x14ac:dyDescent="0.2">
      <c r="A28" s="10" t="s">
        <v>58</v>
      </c>
      <c r="B28" s="19">
        <f t="shared" ref="B28:I28" si="10">SUM(B25:B27)</f>
        <v>1100</v>
      </c>
      <c r="C28" s="19">
        <f t="shared" si="10"/>
        <v>1350</v>
      </c>
      <c r="D28" s="19">
        <f t="shared" si="10"/>
        <v>1610</v>
      </c>
      <c r="E28" s="19">
        <f t="shared" si="10"/>
        <v>1800</v>
      </c>
      <c r="F28" s="19">
        <f t="shared" si="10"/>
        <v>227</v>
      </c>
      <c r="G28" s="19">
        <f t="shared" si="10"/>
        <v>603.26043256997445</v>
      </c>
      <c r="H28" s="19">
        <f t="shared" si="10"/>
        <v>603.26043256997445</v>
      </c>
      <c r="I28" s="19">
        <f t="shared" si="10"/>
        <v>596.37913486005095</v>
      </c>
      <c r="J28" s="19">
        <f t="shared" ref="J28:O28" si="11">SUM(J25:J27)</f>
        <v>2029.9</v>
      </c>
      <c r="K28" s="19">
        <f t="shared" si="11"/>
        <v>483.91563199999996</v>
      </c>
      <c r="L28" s="19">
        <f t="shared" si="11"/>
        <v>594.71874400000002</v>
      </c>
      <c r="M28" s="19">
        <f t="shared" si="11"/>
        <v>594.71874400000002</v>
      </c>
      <c r="N28" s="19">
        <f t="shared" si="11"/>
        <v>587.93488000000002</v>
      </c>
      <c r="O28" s="19">
        <f t="shared" si="11"/>
        <v>2261.2879999999996</v>
      </c>
      <c r="P28" s="19">
        <f t="shared" ref="P28:W28" si="12">SUM(P25:P27)</f>
        <v>2481.9962</v>
      </c>
      <c r="Q28" s="19">
        <f t="shared" si="12"/>
        <v>2682.0640960000001</v>
      </c>
      <c r="R28" s="19">
        <f t="shared" si="12"/>
        <v>2901.9835126400003</v>
      </c>
      <c r="S28" s="19">
        <f t="shared" si="12"/>
        <v>3074.9054867392006</v>
      </c>
      <c r="T28" s="19">
        <f t="shared" si="12"/>
        <v>3260.2331461717763</v>
      </c>
      <c r="U28" s="19">
        <f t="shared" si="12"/>
        <v>3458.9646886554578</v>
      </c>
      <c r="V28" s="19">
        <f t="shared" si="12"/>
        <v>3672.1841562735467</v>
      </c>
      <c r="W28" s="19">
        <f t="shared" si="12"/>
        <v>3901.0691313495681</v>
      </c>
      <c r="X28" s="30"/>
      <c r="Y28" s="30"/>
    </row>
    <row r="29" spans="1:25" ht="18" customHeight="1" x14ac:dyDescent="0.2">
      <c r="A29" s="1"/>
      <c r="B29" s="20"/>
      <c r="C29" s="20"/>
      <c r="D29" s="20"/>
      <c r="E29" s="20"/>
      <c r="F29" s="16"/>
      <c r="G29" s="16"/>
      <c r="H29" s="16"/>
      <c r="I29" s="16"/>
      <c r="J29" s="16"/>
      <c r="K29" s="17"/>
      <c r="L29" s="17"/>
      <c r="M29" s="17"/>
      <c r="N29" s="17"/>
      <c r="O29" s="17"/>
      <c r="P29" s="18"/>
      <c r="Q29" s="18"/>
      <c r="R29" s="18"/>
      <c r="S29" s="18"/>
      <c r="T29" s="18"/>
      <c r="U29" s="18"/>
      <c r="V29" s="18"/>
      <c r="W29" s="18"/>
      <c r="X29" s="30"/>
      <c r="Y29" s="30"/>
    </row>
    <row r="30" spans="1:25" ht="18" customHeight="1" x14ac:dyDescent="0.2">
      <c r="A30" s="9" t="s">
        <v>59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31"/>
      <c r="Y30" s="31"/>
    </row>
    <row r="31" spans="1:25" ht="18" customHeight="1" x14ac:dyDescent="0.2">
      <c r="A31" s="1" t="s">
        <v>60</v>
      </c>
      <c r="B31" s="14">
        <v>0</v>
      </c>
      <c r="C31" s="14">
        <v>0</v>
      </c>
      <c r="D31" s="14">
        <v>0</v>
      </c>
      <c r="E31" s="14">
        <v>70</v>
      </c>
      <c r="F31" s="15">
        <v>180</v>
      </c>
      <c r="G31" s="16">
        <f>(J31-F31)*Assumptions_Sources!$C$45/SUM(Assumptions_Sources!$C$45:$E$45)</f>
        <v>207.45547073791349</v>
      </c>
      <c r="H31" s="16">
        <f>(J31-F31)*Assumptions_Sources!$D$45/SUM(Assumptions_Sources!$C$45:$E$45)</f>
        <v>207.45547073791349</v>
      </c>
      <c r="I31" s="16">
        <f>J31-F31-G31-H31</f>
        <v>205.089058524173</v>
      </c>
      <c r="J31" s="16">
        <f>Assumptions_Sources!$B$22</f>
        <v>800</v>
      </c>
      <c r="K31" s="17">
        <f>O31*Assumptions_Sources!$B$45</f>
        <v>214</v>
      </c>
      <c r="L31" s="17">
        <f>O31*Assumptions_Sources!$C$45</f>
        <v>263</v>
      </c>
      <c r="M31" s="17">
        <f>O31*Assumptions_Sources!$D$45</f>
        <v>263</v>
      </c>
      <c r="N31" s="17">
        <f>O31-K31-L31-M31</f>
        <v>260</v>
      </c>
      <c r="O31" s="17">
        <f>J31*(1+Assumptions_Sources!$C$22)</f>
        <v>1000</v>
      </c>
      <c r="P31" s="18">
        <f>O31*(1+Assumptions_Sources!$D$22)</f>
        <v>1200</v>
      </c>
      <c r="Q31" s="18">
        <f>P31*(1+Assumptions_Sources!$E$22)</f>
        <v>1380</v>
      </c>
      <c r="R31" s="18">
        <f>Q31*(1+Assumptions_Sources!$E$22)</f>
        <v>1586.9999999999998</v>
      </c>
      <c r="S31" s="18">
        <f>R31*(1+Assumptions_Sources!$F$22)</f>
        <v>1713.9599999999998</v>
      </c>
      <c r="T31" s="18">
        <f>S31*(1+Assumptions_Sources!$F$22)</f>
        <v>1851.0767999999998</v>
      </c>
      <c r="U31" s="18">
        <f>T31*(1+Assumptions_Sources!$F$22)</f>
        <v>1999.1629439999999</v>
      </c>
      <c r="V31" s="18">
        <f>U31*(1+Assumptions_Sources!$F$22)</f>
        <v>2159.0959795200001</v>
      </c>
      <c r="W31" s="18">
        <f>V31*(1+Assumptions_Sources!$F$22)</f>
        <v>2331.8236578816004</v>
      </c>
      <c r="X31" s="30">
        <f>IF(E31&gt;0,(R31/E31)^(1/5)-1,0)</f>
        <v>0.86679133919169238</v>
      </c>
      <c r="Y31" s="30">
        <f>IF(E31&gt;0,(W31/E31)^(1/10)-1,0)</f>
        <v>0.41990656253396752</v>
      </c>
    </row>
    <row r="32" spans="1:25" ht="18" customHeight="1" x14ac:dyDescent="0.2">
      <c r="A32" s="1" t="s">
        <v>61</v>
      </c>
      <c r="B32" s="14">
        <v>0</v>
      </c>
      <c r="C32" s="14">
        <v>0</v>
      </c>
      <c r="D32" s="14">
        <v>0</v>
      </c>
      <c r="E32" s="14">
        <v>44</v>
      </c>
      <c r="F32" s="15">
        <v>70</v>
      </c>
      <c r="G32" s="16">
        <f>(J32-F32)*Assumptions_Sources!$C$45/SUM(Assumptions_Sources!$C$45:$E$45)</f>
        <v>110.41984732824427</v>
      </c>
      <c r="H32" s="16">
        <f>(J32-F32)*Assumptions_Sources!$D$45/SUM(Assumptions_Sources!$C$45:$E$45)</f>
        <v>110.41984732824427</v>
      </c>
      <c r="I32" s="16">
        <f>J32-F32-G32-H32</f>
        <v>109.16030534351147</v>
      </c>
      <c r="J32" s="16">
        <f>Assumptions_Sources!$B$23</f>
        <v>400</v>
      </c>
      <c r="K32" s="17">
        <f>O32*Assumptions_Sources!$B$45</f>
        <v>98.439999999999984</v>
      </c>
      <c r="L32" s="17">
        <f>O32*Assumptions_Sources!$C$45</f>
        <v>120.97999999999999</v>
      </c>
      <c r="M32" s="17">
        <f>O32*Assumptions_Sources!$D$45</f>
        <v>120.97999999999999</v>
      </c>
      <c r="N32" s="17">
        <f>O32-K32-L32-M32</f>
        <v>119.59999999999997</v>
      </c>
      <c r="O32" s="17">
        <f>J32*(1+Assumptions_Sources!$C$23)</f>
        <v>459.99999999999994</v>
      </c>
      <c r="P32" s="18">
        <f>O32*(1+Assumptions_Sources!$D$23)</f>
        <v>506</v>
      </c>
      <c r="Q32" s="18">
        <f>P32*(1+Assumptions_Sources!$E$23)</f>
        <v>531.30000000000007</v>
      </c>
      <c r="R32" s="18">
        <f>Q32*(1+Assumptions_Sources!$E$23)</f>
        <v>557.86500000000012</v>
      </c>
      <c r="S32" s="18">
        <f>R32*(1+Assumptions_Sources!$F$23)</f>
        <v>569.02230000000009</v>
      </c>
      <c r="T32" s="18">
        <f>S32*(1+Assumptions_Sources!$F$23)</f>
        <v>580.40274600000009</v>
      </c>
      <c r="U32" s="18">
        <f>T32*(1+Assumptions_Sources!$F$23)</f>
        <v>592.01080092000007</v>
      </c>
      <c r="V32" s="18">
        <f>U32*(1+Assumptions_Sources!$F$23)</f>
        <v>603.85101693840011</v>
      </c>
      <c r="W32" s="18">
        <f>V32*(1+Assumptions_Sources!$F$23)</f>
        <v>615.92803727716807</v>
      </c>
      <c r="X32" s="30">
        <f>IF(E32&gt;0,(R32/E32)^(1/5)-1,0)</f>
        <v>0.66193979731487818</v>
      </c>
      <c r="Y32" s="30">
        <f>IF(E32&gt;0,(W32/E32)^(1/10)-1,0)</f>
        <v>0.30199024315129774</v>
      </c>
    </row>
    <row r="33" spans="1:25" ht="18" customHeight="1" x14ac:dyDescent="0.2">
      <c r="A33" s="1" t="s">
        <v>62</v>
      </c>
      <c r="B33" s="14">
        <v>0</v>
      </c>
      <c r="C33" s="14">
        <v>0</v>
      </c>
      <c r="D33" s="14">
        <v>0</v>
      </c>
      <c r="E33" s="14">
        <v>0</v>
      </c>
      <c r="F33" s="15">
        <v>0</v>
      </c>
      <c r="G33" s="16">
        <f>IF(Assumptions_Sources!$C$31=2027,J33*Assumptions_Sources!$H$31,(J33-F33)*Assumptions_Sources!$C$45/SUM(Assumptions_Sources!$C$45:$E$45))</f>
        <v>0</v>
      </c>
      <c r="H33" s="16">
        <f>IF(Assumptions_Sources!$C$31=2027,J33*Assumptions_Sources!$I$31,(J33-F33)*Assumptions_Sources!$D$45/SUM(Assumptions_Sources!$C$45:$E$45))</f>
        <v>66.666666666666671</v>
      </c>
      <c r="I33" s="16">
        <f>J33-F33-G33-H33</f>
        <v>99.999999999999986</v>
      </c>
      <c r="J33" s="16">
        <f>IF(2027&lt;Assumptions_Sources!$C$31,0,IF(2027=Assumptions_Sources!$C$31,Assumptions_Sources!$D$31/Assumptions_Sources!$E$31*Assumptions_Sources!$G$31,IF(2027&lt;Assumptions_Sources!$C$31+Assumptions_Sources!$E$31,MIN(Assumptions_Sources!$D$31,Assumptions_Sources!$D$31/Assumptions_Sources!$E$31*(2027-Assumptions_Sources!$C$31+Assumptions_Sources!$G$31)),Assumptions_Sources!$D$31*(1+Assumptions_Sources!$F$31)^(2027-(Assumptions_Sources!$C$31+Assumptions_Sources!$E$31)))))</f>
        <v>166.66666666666666</v>
      </c>
      <c r="K33" s="17">
        <f>O33*Assumptions_Sources!$B$45</f>
        <v>107</v>
      </c>
      <c r="L33" s="17">
        <f>O33*Assumptions_Sources!$C$45</f>
        <v>131.5</v>
      </c>
      <c r="M33" s="17">
        <f>O33*Assumptions_Sources!$D$45</f>
        <v>131.5</v>
      </c>
      <c r="N33" s="17">
        <f>O33-K33-L33-M33</f>
        <v>130</v>
      </c>
      <c r="O33" s="17">
        <f>IF(2028&lt;Assumptions_Sources!$C$31,0,IF(2028=Assumptions_Sources!$C$31,Assumptions_Sources!$D$31/Assumptions_Sources!$E$31*Assumptions_Sources!$G$31,IF(2028&lt;Assumptions_Sources!$C$31+Assumptions_Sources!$E$31,MIN(Assumptions_Sources!$D$31,Assumptions_Sources!$D$31/Assumptions_Sources!$E$31*(2028-Assumptions_Sources!$C$31+Assumptions_Sources!$G$31)),Assumptions_Sources!$D$31*(1+Assumptions_Sources!$F$31)^(2028-(Assumptions_Sources!$C$31+Assumptions_Sources!$E$31)))))</f>
        <v>500</v>
      </c>
      <c r="P33" s="18">
        <f>IF(2029&lt;Assumptions_Sources!$C$31,0,IF(2029=Assumptions_Sources!$C$31,Assumptions_Sources!$D$31/Assumptions_Sources!$E$31*Assumptions_Sources!$G$31,IF(2029&lt;Assumptions_Sources!$C$31+Assumptions_Sources!$E$31,MIN(Assumptions_Sources!$D$31,Assumptions_Sources!$D$31/Assumptions_Sources!$E$31*(2029-Assumptions_Sources!$C$31+Assumptions_Sources!$G$31)),Assumptions_Sources!$D$31*(1+Assumptions_Sources!$F$31)^(2029-(Assumptions_Sources!$C$31+Assumptions_Sources!$E$31)))))</f>
        <v>833.33333333333326</v>
      </c>
      <c r="Q33" s="18">
        <f>IF(2030&lt;Assumptions_Sources!$C$31,0,IF(2030=Assumptions_Sources!$C$31,Assumptions_Sources!$D$31/Assumptions_Sources!$E$31*Assumptions_Sources!$G$31,IF(2030&lt;Assumptions_Sources!$C$31+Assumptions_Sources!$E$31,MIN(Assumptions_Sources!$D$31,Assumptions_Sources!$D$31/Assumptions_Sources!$E$31*(2030-Assumptions_Sources!$C$31+Assumptions_Sources!$G$31)),Assumptions_Sources!$D$31*(1+Assumptions_Sources!$F$31)^(2030-(Assumptions_Sources!$C$31+Assumptions_Sources!$E$31)))))</f>
        <v>1166.6666666666665</v>
      </c>
      <c r="R33" s="18">
        <f>IF(2031&lt;Assumptions_Sources!$C$31,0,IF(2031=Assumptions_Sources!$C$31,Assumptions_Sources!$D$31/Assumptions_Sources!$E$31*Assumptions_Sources!$G$31,IF(2031&lt;Assumptions_Sources!$C$31+Assumptions_Sources!$E$31,MIN(Assumptions_Sources!$D$31,Assumptions_Sources!$D$31/Assumptions_Sources!$E$31*(2031-Assumptions_Sources!$C$31+Assumptions_Sources!$G$31)),Assumptions_Sources!$D$31*(1+Assumptions_Sources!$F$31)^(2031-(Assumptions_Sources!$C$31+Assumptions_Sources!$E$31)))))</f>
        <v>1500</v>
      </c>
      <c r="S33" s="18">
        <f>IF(2032&lt;Assumptions_Sources!$C$31,0,IF(2032=Assumptions_Sources!$C$31,Assumptions_Sources!$D$31/Assumptions_Sources!$E$31*Assumptions_Sources!$G$31,IF(2032&lt;Assumptions_Sources!$C$31+Assumptions_Sources!$E$31,MIN(Assumptions_Sources!$D$31,Assumptions_Sources!$D$31/Assumptions_Sources!$E$31*(2032-Assumptions_Sources!$C$31+Assumptions_Sources!$G$31)),Assumptions_Sources!$D$31*(1+Assumptions_Sources!$F$31)^(2032-(Assumptions_Sources!$C$31+Assumptions_Sources!$E$31)))))</f>
        <v>1833.3333333333333</v>
      </c>
      <c r="T33" s="18">
        <f>IF(2033&lt;Assumptions_Sources!$C$31,0,IF(2033=Assumptions_Sources!$C$31,Assumptions_Sources!$D$31/Assumptions_Sources!$E$31*Assumptions_Sources!$G$31,IF(2033&lt;Assumptions_Sources!$C$31+Assumptions_Sources!$E$31,MIN(Assumptions_Sources!$D$31,Assumptions_Sources!$D$31/Assumptions_Sources!$E$31*(2033-Assumptions_Sources!$C$31+Assumptions_Sources!$G$31)),Assumptions_Sources!$D$31*(1+Assumptions_Sources!$F$31)^(2033-(Assumptions_Sources!$C$31+Assumptions_Sources!$E$31)))))</f>
        <v>2000</v>
      </c>
      <c r="U33" s="18">
        <f>IF(2034&lt;Assumptions_Sources!$C$31,0,IF(2034=Assumptions_Sources!$C$31,Assumptions_Sources!$D$31/Assumptions_Sources!$E$31*Assumptions_Sources!$G$31,IF(2034&lt;Assumptions_Sources!$C$31+Assumptions_Sources!$E$31,MIN(Assumptions_Sources!$D$31,Assumptions_Sources!$D$31/Assumptions_Sources!$E$31*(2034-Assumptions_Sources!$C$31+Assumptions_Sources!$G$31)),Assumptions_Sources!$D$31*(1+Assumptions_Sources!$F$31)^(2034-(Assumptions_Sources!$C$31+Assumptions_Sources!$E$31)))))</f>
        <v>2040</v>
      </c>
      <c r="V33" s="18">
        <f>IF(2035&lt;Assumptions_Sources!$C$31,0,IF(2035=Assumptions_Sources!$C$31,Assumptions_Sources!$D$31/Assumptions_Sources!$E$31*Assumptions_Sources!$G$31,IF(2035&lt;Assumptions_Sources!$C$31+Assumptions_Sources!$E$31,MIN(Assumptions_Sources!$D$31,Assumptions_Sources!$D$31/Assumptions_Sources!$E$31*(2035-Assumptions_Sources!$C$31+Assumptions_Sources!$G$31)),Assumptions_Sources!$D$31*(1+Assumptions_Sources!$F$31)^(2035-(Assumptions_Sources!$C$31+Assumptions_Sources!$E$31)))))</f>
        <v>2080.8000000000002</v>
      </c>
      <c r="W33" s="18">
        <f>IF(2036&lt;Assumptions_Sources!$C$31,0,IF(2036=Assumptions_Sources!$C$31,Assumptions_Sources!$D$31/Assumptions_Sources!$E$31*Assumptions_Sources!$G$31,IF(2036&lt;Assumptions_Sources!$C$31+Assumptions_Sources!$E$31,MIN(Assumptions_Sources!$D$31,Assumptions_Sources!$D$31/Assumptions_Sources!$E$31*(2036-Assumptions_Sources!$C$31+Assumptions_Sources!$G$31)),Assumptions_Sources!$D$31*(1+Assumptions_Sources!$F$31)^(2036-(Assumptions_Sources!$C$31+Assumptions_Sources!$E$31)))))</f>
        <v>2122.4159999999997</v>
      </c>
      <c r="X33" s="30">
        <f>IF(E33&gt;0,(R33/E33)^(1/5)-1,0)</f>
        <v>0</v>
      </c>
      <c r="Y33" s="30">
        <f>IF(E33&gt;0,(W33/E33)^(1/10)-1,0)</f>
        <v>0</v>
      </c>
    </row>
    <row r="34" spans="1:25" ht="18" customHeight="1" x14ac:dyDescent="0.2">
      <c r="A34" s="1" t="s">
        <v>63</v>
      </c>
      <c r="B34" s="14">
        <f t="shared" ref="B34:I34" si="13">SUM(B31:B33)</f>
        <v>0</v>
      </c>
      <c r="C34" s="14">
        <f t="shared" si="13"/>
        <v>0</v>
      </c>
      <c r="D34" s="14">
        <f t="shared" si="13"/>
        <v>0</v>
      </c>
      <c r="E34" s="14">
        <f t="shared" si="13"/>
        <v>114</v>
      </c>
      <c r="F34" s="15">
        <f t="shared" si="13"/>
        <v>250</v>
      </c>
      <c r="G34" s="16">
        <f t="shared" si="13"/>
        <v>317.87531806615777</v>
      </c>
      <c r="H34" s="16">
        <f t="shared" si="13"/>
        <v>384.54198473282446</v>
      </c>
      <c r="I34" s="16">
        <f t="shared" si="13"/>
        <v>414.24936386768445</v>
      </c>
      <c r="J34" s="16">
        <f>IF(2027&lt;Assumptions_Sources!$C$33,0,IF(2027=Assumptions_Sources!$C$33,Assumptions_Sources!$D$33/Assumptions_Sources!$E$33*Assumptions_Sources!$G$33,IF(2027&lt;Assumptions_Sources!$C$33+Assumptions_Sources!$E$33,MIN(Assumptions_Sources!$D$33,Assumptions_Sources!$D$33/Assumptions_Sources!$E$33*(2027-Assumptions_Sources!$C$33+Assumptions_Sources!$G$33)),Assumptions_Sources!$D$33*(1+Assumptions_Sources!$F$33)^(2027-(Assumptions_Sources!$C$33+Assumptions_Sources!$E$33)))))</f>
        <v>0</v>
      </c>
      <c r="K34" s="17">
        <f>O34*Assumptions_Sources!$B$45</f>
        <v>0</v>
      </c>
      <c r="L34" s="17">
        <f>O34*Assumptions_Sources!$C$45</f>
        <v>0</v>
      </c>
      <c r="M34" s="17">
        <f>O34*Assumptions_Sources!$D$45</f>
        <v>0</v>
      </c>
      <c r="N34" s="17">
        <f>O34-K34-L34-M34</f>
        <v>0</v>
      </c>
      <c r="O34" s="17">
        <f>IF(2028&lt;Assumptions_Sources!$C$33,0,IF(2028=Assumptions_Sources!$C$33,Assumptions_Sources!$D$33/Assumptions_Sources!$E$33*Assumptions_Sources!$G$33,IF(2028&lt;Assumptions_Sources!$C$33+Assumptions_Sources!$E$33,MIN(Assumptions_Sources!$D$33,Assumptions_Sources!$D$33/Assumptions_Sources!$E$33*(2028-Assumptions_Sources!$C$33+Assumptions_Sources!$G$33)),Assumptions_Sources!$D$33*(1+Assumptions_Sources!$F$33)^(2028-(Assumptions_Sources!$C$33+Assumptions_Sources!$E$33)))))</f>
        <v>0</v>
      </c>
      <c r="P34" s="18">
        <v>125</v>
      </c>
      <c r="Q34" s="18">
        <v>375</v>
      </c>
      <c r="R34" s="18">
        <v>625</v>
      </c>
      <c r="S34" s="18">
        <v>875</v>
      </c>
      <c r="T34" s="18">
        <v>1125</v>
      </c>
      <c r="U34" s="18">
        <v>1375</v>
      </c>
      <c r="V34" s="18">
        <v>1500</v>
      </c>
      <c r="W34" s="18">
        <v>1530</v>
      </c>
      <c r="X34" s="30">
        <f>IF(E34&gt;0,(R34/E34)^(1/5)-1,0)</f>
        <v>0.40538409165408584</v>
      </c>
      <c r="Y34" s="30">
        <f>IF(E34&gt;0,(W34/E34)^(1/10)-1,0)</f>
        <v>0.29651832045573157</v>
      </c>
    </row>
    <row r="35" spans="1:25" ht="18" customHeight="1" x14ac:dyDescent="0.2">
      <c r="A35" s="10" t="s">
        <v>64</v>
      </c>
      <c r="B35" s="19">
        <f t="shared" ref="B35:W35" si="14">SUM(B31:B34)</f>
        <v>0</v>
      </c>
      <c r="C35" s="19">
        <f t="shared" si="14"/>
        <v>0</v>
      </c>
      <c r="D35" s="19">
        <f t="shared" si="14"/>
        <v>0</v>
      </c>
      <c r="E35" s="19">
        <f t="shared" si="14"/>
        <v>228</v>
      </c>
      <c r="F35" s="19">
        <f t="shared" si="14"/>
        <v>500</v>
      </c>
      <c r="G35" s="19">
        <f t="shared" si="14"/>
        <v>635.75063613231555</v>
      </c>
      <c r="H35" s="19">
        <f t="shared" si="14"/>
        <v>769.08396946564892</v>
      </c>
      <c r="I35" s="19">
        <f t="shared" si="14"/>
        <v>828.4987277353689</v>
      </c>
      <c r="J35" s="19">
        <f t="shared" si="14"/>
        <v>1366.6666666666667</v>
      </c>
      <c r="K35" s="19">
        <f t="shared" si="14"/>
        <v>419.44</v>
      </c>
      <c r="L35" s="19">
        <f t="shared" si="14"/>
        <v>515.48</v>
      </c>
      <c r="M35" s="19">
        <f t="shared" si="14"/>
        <v>515.48</v>
      </c>
      <c r="N35" s="19">
        <f t="shared" si="14"/>
        <v>509.59999999999997</v>
      </c>
      <c r="O35" s="19">
        <f t="shared" si="14"/>
        <v>1960</v>
      </c>
      <c r="P35" s="19">
        <f t="shared" si="14"/>
        <v>2664.333333333333</v>
      </c>
      <c r="Q35" s="19">
        <f t="shared" si="14"/>
        <v>3452.9666666666667</v>
      </c>
      <c r="R35" s="19">
        <f t="shared" si="14"/>
        <v>4269.8649999999998</v>
      </c>
      <c r="S35" s="19">
        <f t="shared" si="14"/>
        <v>4991.3156333333327</v>
      </c>
      <c r="T35" s="19">
        <f t="shared" si="14"/>
        <v>5556.4795460000005</v>
      </c>
      <c r="U35" s="19">
        <f t="shared" si="14"/>
        <v>6006.17374492</v>
      </c>
      <c r="V35" s="19">
        <f t="shared" si="14"/>
        <v>6343.7469964584006</v>
      </c>
      <c r="W35" s="19">
        <f t="shared" si="14"/>
        <v>6600.1676951587688</v>
      </c>
      <c r="X35" s="30"/>
      <c r="Y35" s="30"/>
    </row>
    <row r="36" spans="1:25" ht="18" customHeight="1" x14ac:dyDescent="0.2">
      <c r="A36" s="1"/>
      <c r="B36" s="20"/>
      <c r="C36" s="20"/>
      <c r="D36" s="20"/>
      <c r="E36" s="20"/>
      <c r="F36" s="16"/>
      <c r="G36" s="16"/>
      <c r="H36" s="16"/>
      <c r="I36" s="16"/>
      <c r="J36" s="16"/>
      <c r="K36" s="17"/>
      <c r="L36" s="17"/>
      <c r="M36" s="17"/>
      <c r="N36" s="17"/>
      <c r="O36" s="17"/>
      <c r="P36" s="18"/>
      <c r="Q36" s="18"/>
      <c r="R36" s="18"/>
      <c r="S36" s="18"/>
      <c r="T36" s="18"/>
      <c r="U36" s="18"/>
      <c r="V36" s="18"/>
      <c r="W36" s="18"/>
      <c r="X36" s="30"/>
      <c r="Y36" s="30"/>
    </row>
    <row r="37" spans="1:25" ht="18" customHeight="1" x14ac:dyDescent="0.2">
      <c r="A37" s="9" t="s">
        <v>65</v>
      </c>
      <c r="B37" s="21"/>
      <c r="C37" s="21"/>
      <c r="D37" s="21"/>
      <c r="E37" s="21"/>
      <c r="F37" s="21"/>
      <c r="G37" s="21"/>
      <c r="H37" s="21"/>
      <c r="I37" s="21"/>
      <c r="J37" s="21">
        <f t="shared" ref="J37:J44" si="15">SUM(F37:I37)</f>
        <v>0</v>
      </c>
      <c r="K37" s="21"/>
      <c r="L37" s="21"/>
      <c r="M37" s="21"/>
      <c r="N37" s="21"/>
      <c r="O37" s="21">
        <f t="shared" ref="O37:O44" si="16">SUM(K37:N37)</f>
        <v>0</v>
      </c>
      <c r="P37" s="21"/>
      <c r="Q37" s="21"/>
      <c r="R37" s="21"/>
      <c r="S37" s="21"/>
      <c r="T37" s="21"/>
      <c r="U37" s="21"/>
      <c r="V37" s="21"/>
      <c r="W37" s="21"/>
      <c r="X37" s="31">
        <f t="shared" ref="X37:X44" si="17">IF(E37&gt;0,(R37/E37)^(1/5)-1,0)</f>
        <v>0</v>
      </c>
      <c r="Y37" s="31">
        <f t="shared" ref="Y37:Y44" si="18">IF(E37&gt;0,(W37/E37)^(1/10)-1,0)</f>
        <v>0</v>
      </c>
    </row>
    <row r="38" spans="1:25" ht="18" customHeight="1" x14ac:dyDescent="0.2">
      <c r="A38" s="1" t="s">
        <v>66</v>
      </c>
      <c r="B38" s="14">
        <v>0</v>
      </c>
      <c r="C38" s="14">
        <v>0</v>
      </c>
      <c r="D38" s="14">
        <v>0</v>
      </c>
      <c r="E38" s="14">
        <v>0</v>
      </c>
      <c r="F38" s="15">
        <v>0</v>
      </c>
      <c r="G38" s="16">
        <f ca="1">IF(Assumptions_Sources!$C$32=2027,J38*Assumptions_Sources!$H$32,(J38-F38)*Assumptions_Sources!$C$45/SUM(Assumptions_Sources!$C$45:$E$45))</f>
        <v>0</v>
      </c>
      <c r="H38" s="16">
        <f ca="1">IF(Assumptions_Sources!$C$32=2027,J38*Assumptions_Sources!$I$32,(J38-F38)*Assumptions_Sources!$D$45/SUM(Assumptions_Sources!$C$45:$E$45))</f>
        <v>0</v>
      </c>
      <c r="I38" s="16">
        <f ca="1">J38-F38-G38-H38</f>
        <v>250</v>
      </c>
      <c r="J38" s="16">
        <f t="shared" ca="1" si="15"/>
        <v>250</v>
      </c>
      <c r="K38" s="17">
        <f ca="1">O38*Assumptions_Sources!$B$45</f>
        <v>160.5</v>
      </c>
      <c r="L38" s="17">
        <f ca="1">O38*Assumptions_Sources!$C$45</f>
        <v>197.25</v>
      </c>
      <c r="M38" s="17">
        <f ca="1">O38*Assumptions_Sources!$D$45</f>
        <v>197.25</v>
      </c>
      <c r="N38" s="17">
        <f ca="1">O38-K38-L38-M38</f>
        <v>195</v>
      </c>
      <c r="O38" s="17">
        <f t="shared" ca="1" si="16"/>
        <v>750</v>
      </c>
      <c r="P38" s="18">
        <f>IF(2029&lt;Assumptions_Sources!$C$32,0,IF(2029=Assumptions_Sources!$C$32,Assumptions_Sources!$D$32/Assumptions_Sources!$E$32*Assumptions_Sources!$G$32,IF(2029&lt;Assumptions_Sources!$C$32+Assumptions_Sources!$E$32,MIN(Assumptions_Sources!$D$32,Assumptions_Sources!$D$32/Assumptions_Sources!$E$32*(2029-Assumptions_Sources!$C$32+Assumptions_Sources!$G$32)),Assumptions_Sources!$D$32*(1+Assumptions_Sources!$F$32)^(2029-(Assumptions_Sources!$C$32+Assumptions_Sources!$E$32)))))</f>
        <v>1250</v>
      </c>
      <c r="Q38" s="18">
        <f>IF(2030&lt;Assumptions_Sources!$C$32,0,IF(2030=Assumptions_Sources!$C$32,Assumptions_Sources!$D$32/Assumptions_Sources!$E$32*Assumptions_Sources!$G$32,IF(2030&lt;Assumptions_Sources!$C$32+Assumptions_Sources!$E$32,MIN(Assumptions_Sources!$D$32,Assumptions_Sources!$D$32/Assumptions_Sources!$E$32*(2030-Assumptions_Sources!$C$32+Assumptions_Sources!$G$32)),Assumptions_Sources!$D$32*(1+Assumptions_Sources!$F$32)^(2030-(Assumptions_Sources!$C$32+Assumptions_Sources!$E$32)))))</f>
        <v>1750</v>
      </c>
      <c r="R38" s="18">
        <f>IF(2031&lt;Assumptions_Sources!$C$32,0,IF(2031=Assumptions_Sources!$C$32,Assumptions_Sources!$D$32/Assumptions_Sources!$E$32*Assumptions_Sources!$G$32,IF(2031&lt;Assumptions_Sources!$C$32+Assumptions_Sources!$E$32,MIN(Assumptions_Sources!$D$32,Assumptions_Sources!$D$32/Assumptions_Sources!$E$32*(2031-Assumptions_Sources!$C$32+Assumptions_Sources!$G$32)),Assumptions_Sources!$D$32*(1+Assumptions_Sources!$F$32)^(2031-(Assumptions_Sources!$C$32+Assumptions_Sources!$E$32)))))</f>
        <v>2250</v>
      </c>
      <c r="S38" s="18">
        <f>IF(2032&lt;Assumptions_Sources!$C$32,0,IF(2032=Assumptions_Sources!$C$32,Assumptions_Sources!$D$32/Assumptions_Sources!$E$32*Assumptions_Sources!$G$32,IF(2032&lt;Assumptions_Sources!$C$32+Assumptions_Sources!$E$32,MIN(Assumptions_Sources!$D$32,Assumptions_Sources!$D$32/Assumptions_Sources!$E$32*(2032-Assumptions_Sources!$C$32+Assumptions_Sources!$G$32)),Assumptions_Sources!$D$32*(1+Assumptions_Sources!$F$32)^(2032-(Assumptions_Sources!$C$32+Assumptions_Sources!$E$32)))))</f>
        <v>2750</v>
      </c>
      <c r="T38" s="18">
        <f>IF(2033&lt;Assumptions_Sources!$C$32,0,IF(2033=Assumptions_Sources!$C$32,Assumptions_Sources!$D$32/Assumptions_Sources!$E$32*Assumptions_Sources!$G$32,IF(2033&lt;Assumptions_Sources!$C$32+Assumptions_Sources!$E$32,MIN(Assumptions_Sources!$D$32,Assumptions_Sources!$D$32/Assumptions_Sources!$E$32*(2033-Assumptions_Sources!$C$32+Assumptions_Sources!$G$32)),Assumptions_Sources!$D$32*(1+Assumptions_Sources!$F$32)^(2033-(Assumptions_Sources!$C$32+Assumptions_Sources!$E$32)))))</f>
        <v>3250</v>
      </c>
      <c r="U38" s="18">
        <f>IF(2034&lt;Assumptions_Sources!$C$32,0,IF(2034=Assumptions_Sources!$C$32,Assumptions_Sources!$D$32/Assumptions_Sources!$E$32*Assumptions_Sources!$G$32,IF(2034&lt;Assumptions_Sources!$C$32+Assumptions_Sources!$E$32,MIN(Assumptions_Sources!$D$32,Assumptions_Sources!$D$32/Assumptions_Sources!$E$32*(2034-Assumptions_Sources!$C$32+Assumptions_Sources!$G$32)),Assumptions_Sources!$D$32*(1+Assumptions_Sources!$F$32)^(2034-(Assumptions_Sources!$C$32+Assumptions_Sources!$E$32)))))</f>
        <v>3500</v>
      </c>
      <c r="V38" s="18">
        <f>IF(2035&lt;Assumptions_Sources!$C$32,0,IF(2035=Assumptions_Sources!$C$32,Assumptions_Sources!$D$32/Assumptions_Sources!$E$32*Assumptions_Sources!$G$32,IF(2035&lt;Assumptions_Sources!$C$32+Assumptions_Sources!$E$32,MIN(Assumptions_Sources!$D$32,Assumptions_Sources!$D$32/Assumptions_Sources!$E$32*(2035-Assumptions_Sources!$C$32+Assumptions_Sources!$G$32)),Assumptions_Sources!$D$32*(1+Assumptions_Sources!$F$32)^(2035-(Assumptions_Sources!$C$32+Assumptions_Sources!$E$32)))))</f>
        <v>3605</v>
      </c>
      <c r="W38" s="18">
        <f>IF(2036&lt;Assumptions_Sources!$C$32,0,IF(2036=Assumptions_Sources!$C$32,Assumptions_Sources!$D$32/Assumptions_Sources!$E$32*Assumptions_Sources!$G$32,IF(2036&lt;Assumptions_Sources!$C$32+Assumptions_Sources!$E$32,MIN(Assumptions_Sources!$D$32,Assumptions_Sources!$D$32/Assumptions_Sources!$E$32*(2036-Assumptions_Sources!$C$32+Assumptions_Sources!$G$32)),Assumptions_Sources!$D$32*(1+Assumptions_Sources!$F$32)^(2036-(Assumptions_Sources!$C$32+Assumptions_Sources!$E$32)))))</f>
        <v>3713.1499999999996</v>
      </c>
      <c r="X38" s="30">
        <f t="shared" si="17"/>
        <v>0</v>
      </c>
      <c r="Y38" s="30">
        <f t="shared" si="18"/>
        <v>0</v>
      </c>
    </row>
    <row r="39" spans="1:25" ht="18" customHeight="1" x14ac:dyDescent="0.2">
      <c r="A39" s="10" t="s">
        <v>67</v>
      </c>
      <c r="B39" s="19">
        <f t="shared" ref="B39:I39" si="19">SUM(B38:B38)</f>
        <v>0</v>
      </c>
      <c r="C39" s="19">
        <f t="shared" si="19"/>
        <v>0</v>
      </c>
      <c r="D39" s="19">
        <f t="shared" si="19"/>
        <v>0</v>
      </c>
      <c r="E39" s="19">
        <f t="shared" si="19"/>
        <v>0</v>
      </c>
      <c r="F39" s="19">
        <f t="shared" si="19"/>
        <v>0</v>
      </c>
      <c r="G39" s="19">
        <f t="shared" ca="1" si="19"/>
        <v>0</v>
      </c>
      <c r="H39" s="19">
        <f t="shared" ca="1" si="19"/>
        <v>0</v>
      </c>
      <c r="I39" s="19">
        <f t="shared" ca="1" si="19"/>
        <v>250</v>
      </c>
      <c r="J39" s="19">
        <f t="shared" ca="1" si="15"/>
        <v>250</v>
      </c>
      <c r="K39" s="19">
        <f ca="1">SUM(K38:K38)</f>
        <v>160.5</v>
      </c>
      <c r="L39" s="19">
        <f ca="1">SUM(L38:L38)</f>
        <v>197.25</v>
      </c>
      <c r="M39" s="19">
        <f ca="1">SUM(M38:M38)</f>
        <v>197.25</v>
      </c>
      <c r="N39" s="19">
        <f ca="1">SUM(N38:N38)</f>
        <v>195</v>
      </c>
      <c r="O39" s="19">
        <f t="shared" ca="1" si="16"/>
        <v>750</v>
      </c>
      <c r="P39" s="19">
        <f t="shared" ref="P39:W39" si="20">SUM(P38:P38)</f>
        <v>1250</v>
      </c>
      <c r="Q39" s="19">
        <f t="shared" si="20"/>
        <v>1750</v>
      </c>
      <c r="R39" s="19">
        <f t="shared" si="20"/>
        <v>2250</v>
      </c>
      <c r="S39" s="19">
        <f t="shared" si="20"/>
        <v>2750</v>
      </c>
      <c r="T39" s="19">
        <f t="shared" si="20"/>
        <v>3250</v>
      </c>
      <c r="U39" s="19">
        <f t="shared" si="20"/>
        <v>3500</v>
      </c>
      <c r="V39" s="19">
        <f t="shared" si="20"/>
        <v>3605</v>
      </c>
      <c r="W39" s="19">
        <f t="shared" si="20"/>
        <v>3713.1499999999996</v>
      </c>
      <c r="X39" s="30">
        <f t="shared" si="17"/>
        <v>0</v>
      </c>
      <c r="Y39" s="30">
        <f t="shared" si="18"/>
        <v>0</v>
      </c>
    </row>
    <row r="40" spans="1:25" ht="18" customHeight="1" x14ac:dyDescent="0.2">
      <c r="A40" s="1"/>
      <c r="B40" s="20"/>
      <c r="C40" s="20"/>
      <c r="D40" s="20"/>
      <c r="E40" s="20"/>
      <c r="F40" s="16"/>
      <c r="G40" s="16"/>
      <c r="H40" s="16"/>
      <c r="I40" s="16"/>
      <c r="J40" s="16">
        <f t="shared" si="15"/>
        <v>0</v>
      </c>
      <c r="K40" s="17"/>
      <c r="L40" s="17"/>
      <c r="M40" s="17"/>
      <c r="N40" s="17"/>
      <c r="O40" s="17">
        <f t="shared" si="16"/>
        <v>0</v>
      </c>
      <c r="P40" s="18"/>
      <c r="Q40" s="18"/>
      <c r="R40" s="18"/>
      <c r="S40" s="18"/>
      <c r="T40" s="18"/>
      <c r="U40" s="18"/>
      <c r="V40" s="18"/>
      <c r="W40" s="18"/>
      <c r="X40" s="30">
        <f t="shared" si="17"/>
        <v>0</v>
      </c>
      <c r="Y40" s="30">
        <f t="shared" si="18"/>
        <v>0</v>
      </c>
    </row>
    <row r="41" spans="1:25" ht="18" customHeight="1" x14ac:dyDescent="0.2">
      <c r="A41" s="9" t="s">
        <v>68</v>
      </c>
      <c r="B41" s="21"/>
      <c r="C41" s="21"/>
      <c r="D41" s="21"/>
      <c r="E41" s="21"/>
      <c r="F41" s="21"/>
      <c r="G41" s="21"/>
      <c r="H41" s="21"/>
      <c r="I41" s="21"/>
      <c r="J41" s="21">
        <f t="shared" si="15"/>
        <v>0</v>
      </c>
      <c r="K41" s="21"/>
      <c r="L41" s="21"/>
      <c r="M41" s="21"/>
      <c r="N41" s="21"/>
      <c r="O41" s="21">
        <f t="shared" si="16"/>
        <v>0</v>
      </c>
      <c r="P41" s="21"/>
      <c r="Q41" s="21"/>
      <c r="R41" s="21"/>
      <c r="S41" s="21"/>
      <c r="T41" s="21"/>
      <c r="U41" s="21"/>
      <c r="V41" s="21"/>
      <c r="W41" s="21"/>
      <c r="X41" s="31">
        <f t="shared" si="17"/>
        <v>0</v>
      </c>
      <c r="Y41" s="31">
        <f t="shared" si="18"/>
        <v>0</v>
      </c>
    </row>
    <row r="42" spans="1:25" ht="18" customHeight="1" x14ac:dyDescent="0.2">
      <c r="A42" s="1" t="s">
        <v>69</v>
      </c>
      <c r="B42" s="14">
        <v>0</v>
      </c>
      <c r="C42" s="14">
        <v>0</v>
      </c>
      <c r="D42" s="14">
        <v>0</v>
      </c>
      <c r="E42" s="14">
        <v>0</v>
      </c>
      <c r="F42" s="15">
        <v>0</v>
      </c>
      <c r="G42" s="16">
        <f ca="1">IF(Assumptions_Sources!$C$37=2027,J42*Assumptions_Sources!$H$37,(J42-F42)*Assumptions_Sources!$C$45/SUM(Assumptions_Sources!$C$45:$E$45))</f>
        <v>0</v>
      </c>
      <c r="H42" s="16">
        <f ca="1">IF(Assumptions_Sources!$C$37=2027,J42*Assumptions_Sources!$I$37,(J42-F42)*Assumptions_Sources!$D$45/SUM(Assumptions_Sources!$C$45:$E$45))</f>
        <v>0</v>
      </c>
      <c r="I42" s="16">
        <f ca="1">J42-F42-G42-H42</f>
        <v>0</v>
      </c>
      <c r="J42" s="16">
        <f t="shared" ca="1" si="15"/>
        <v>0</v>
      </c>
      <c r="K42" s="17">
        <f ca="1">O42*Assumptions_Sources!$B$45</f>
        <v>0</v>
      </c>
      <c r="L42" s="17">
        <f ca="1">O42*Assumptions_Sources!$C$45</f>
        <v>0</v>
      </c>
      <c r="M42" s="17">
        <f ca="1">O42*Assumptions_Sources!$D$45</f>
        <v>0</v>
      </c>
      <c r="N42" s="17">
        <f t="shared" ref="N42:N47" ca="1" si="21">O42-K42-L42-M42</f>
        <v>0</v>
      </c>
      <c r="O42" s="17">
        <f t="shared" ca="1" si="16"/>
        <v>0</v>
      </c>
      <c r="P42" s="18">
        <f>IF(2029&lt;Assumptions_Sources!$C$37,0,IF(2029=Assumptions_Sources!$C$37,Assumptions_Sources!$D$37*Assumptions_Sources!$E$37/Assumptions_Sources!$G$37*Assumptions_Sources!$I$37,IF(2029&lt;Assumptions_Sources!$C$37+Assumptions_Sources!$G$37,MIN(Assumptions_Sources!$D$37*Assumptions_Sources!$E$37,Assumptions_Sources!$D$37*Assumptions_Sources!$E$37/Assumptions_Sources!$G$37*(2029-Assumptions_Sources!$C$37+Assumptions_Sources!$I$37)),Assumptions_Sources!$D$37*Assumptions_Sources!$E$37*(1+Assumptions_Sources!$H$37)^(2029-(Assumptions_Sources!$C$37+Assumptions_Sources!$G$37)))))</f>
        <v>0</v>
      </c>
      <c r="Q42" s="18">
        <f>IF(2030&lt;Assumptions_Sources!$C$37,0,IF(2030=Assumptions_Sources!$C$37,Assumptions_Sources!$D$37*Assumptions_Sources!$E$37/Assumptions_Sources!$G$37*Assumptions_Sources!$I$37,IF(2030&lt;Assumptions_Sources!$C$37+Assumptions_Sources!$G$37,MIN(Assumptions_Sources!$D$37*Assumptions_Sources!$E$37,Assumptions_Sources!$D$37*Assumptions_Sources!$E$37/Assumptions_Sources!$G$37*(2030-Assumptions_Sources!$C$37+Assumptions_Sources!$I$37)),Assumptions_Sources!$D$37*Assumptions_Sources!$E$37*(1+Assumptions_Sources!$H$37)^(2030-(Assumptions_Sources!$C$37+Assumptions_Sources!$G$37)))))</f>
        <v>0</v>
      </c>
      <c r="R42" s="18">
        <f>IF(2031&lt;Assumptions_Sources!$C$37,0,IF(2031=Assumptions_Sources!$C$37,Assumptions_Sources!$D$37*Assumptions_Sources!$E$37/Assumptions_Sources!$G$37*Assumptions_Sources!$I$37,IF(2031&lt;Assumptions_Sources!$C$37+Assumptions_Sources!$G$37,MIN(Assumptions_Sources!$D$37*Assumptions_Sources!$E$37,Assumptions_Sources!$D$37*Assumptions_Sources!$E$37/Assumptions_Sources!$G$37*(2031-Assumptions_Sources!$C$37+Assumptions_Sources!$I$37)),Assumptions_Sources!$D$37*Assumptions_Sources!$E$37*(1+Assumptions_Sources!$H$37)^(2031-(Assumptions_Sources!$C$37+Assumptions_Sources!$G$37)))))</f>
        <v>0</v>
      </c>
      <c r="S42" s="18">
        <f>IF(2032&lt;Assumptions_Sources!$C$37,0,IF(2032=Assumptions_Sources!$C$37,Assumptions_Sources!$D$37*Assumptions_Sources!$E$37/Assumptions_Sources!$G$37*Assumptions_Sources!$I$37,IF(2032&lt;Assumptions_Sources!$C$37+Assumptions_Sources!$G$37,MIN(Assumptions_Sources!$D$37*Assumptions_Sources!$E$37,Assumptions_Sources!$D$37*Assumptions_Sources!$E$37/Assumptions_Sources!$G$37*(2032-Assumptions_Sources!$C$37+Assumptions_Sources!$I$37)),Assumptions_Sources!$D$37*Assumptions_Sources!$E$37*(1+Assumptions_Sources!$H$37)^(2032-(Assumptions_Sources!$C$37+Assumptions_Sources!$G$37)))))</f>
        <v>44.000000000000007</v>
      </c>
      <c r="T42" s="18">
        <f>IF(2033&lt;Assumptions_Sources!$C$37,0,IF(2033=Assumptions_Sources!$C$37,Assumptions_Sources!$D$37*Assumptions_Sources!$E$37/Assumptions_Sources!$G$37*Assumptions_Sources!$I$37,IF(2033&lt;Assumptions_Sources!$C$37+Assumptions_Sources!$G$37,MIN(Assumptions_Sources!$D$37*Assumptions_Sources!$E$37,Assumptions_Sources!$D$37*Assumptions_Sources!$E$37/Assumptions_Sources!$G$37*(2033-Assumptions_Sources!$C$37+Assumptions_Sources!$I$37)),Assumptions_Sources!$D$37*Assumptions_Sources!$E$37*(1+Assumptions_Sources!$H$37)^(2033-(Assumptions_Sources!$C$37+Assumptions_Sources!$G$37)))))</f>
        <v>132.00000000000003</v>
      </c>
      <c r="U42" s="18">
        <f>IF(2034&lt;Assumptions_Sources!$C$37,0,IF(2034=Assumptions_Sources!$C$37,Assumptions_Sources!$D$37*Assumptions_Sources!$E$37/Assumptions_Sources!$G$37*Assumptions_Sources!$I$37,IF(2034&lt;Assumptions_Sources!$C$37+Assumptions_Sources!$G$37,MIN(Assumptions_Sources!$D$37*Assumptions_Sources!$E$37,Assumptions_Sources!$D$37*Assumptions_Sources!$E$37/Assumptions_Sources!$G$37*(2034-Assumptions_Sources!$C$37+Assumptions_Sources!$I$37)),Assumptions_Sources!$D$37*Assumptions_Sources!$E$37*(1+Assumptions_Sources!$H$37)^(2034-(Assumptions_Sources!$C$37+Assumptions_Sources!$G$37)))))</f>
        <v>220.00000000000003</v>
      </c>
      <c r="V42" s="18">
        <f>IF(2035&lt;Assumptions_Sources!$C$37,0,IF(2035=Assumptions_Sources!$C$37,Assumptions_Sources!$D$37*Assumptions_Sources!$E$37/Assumptions_Sources!$G$37*Assumptions_Sources!$I$37,IF(2035&lt;Assumptions_Sources!$C$37+Assumptions_Sources!$G$37,MIN(Assumptions_Sources!$D$37*Assumptions_Sources!$E$37,Assumptions_Sources!$D$37*Assumptions_Sources!$E$37/Assumptions_Sources!$G$37*(2035-Assumptions_Sources!$C$37+Assumptions_Sources!$I$37)),Assumptions_Sources!$D$37*Assumptions_Sources!$E$37*(1+Assumptions_Sources!$H$37)^(2035-(Assumptions_Sources!$C$37+Assumptions_Sources!$G$37)))))</f>
        <v>308.00000000000006</v>
      </c>
      <c r="W42" s="18">
        <f>IF(2036&lt;Assumptions_Sources!$C$37,0,IF(2036=Assumptions_Sources!$C$37,Assumptions_Sources!$D$37*Assumptions_Sources!$E$37/Assumptions_Sources!$G$37*Assumptions_Sources!$I$37,IF(2036&lt;Assumptions_Sources!$C$37+Assumptions_Sources!$G$37,MIN(Assumptions_Sources!$D$37*Assumptions_Sources!$E$37,Assumptions_Sources!$D$37*Assumptions_Sources!$E$37/Assumptions_Sources!$G$37*(2036-Assumptions_Sources!$C$37+Assumptions_Sources!$I$37)),Assumptions_Sources!$D$37*Assumptions_Sources!$E$37*(1+Assumptions_Sources!$H$37)^(2036-(Assumptions_Sources!$C$37+Assumptions_Sources!$G$37)))))</f>
        <v>396.00000000000006</v>
      </c>
      <c r="X42" s="30">
        <f t="shared" si="17"/>
        <v>0</v>
      </c>
      <c r="Y42" s="30">
        <f t="shared" si="18"/>
        <v>0</v>
      </c>
    </row>
    <row r="43" spans="1:25" ht="18" customHeight="1" x14ac:dyDescent="0.2">
      <c r="A43" s="1" t="s">
        <v>70</v>
      </c>
      <c r="B43" s="14">
        <v>0</v>
      </c>
      <c r="C43" s="14">
        <v>0</v>
      </c>
      <c r="D43" s="14">
        <v>0</v>
      </c>
      <c r="E43" s="14">
        <v>0</v>
      </c>
      <c r="F43" s="15">
        <v>0</v>
      </c>
      <c r="G43" s="16">
        <f ca="1">IF(Assumptions_Sources!$C$38=2027,J43*Assumptions_Sources!$H$38,(J43-F43)*Assumptions_Sources!$C$45/SUM(Assumptions_Sources!$C$45:$E$45))</f>
        <v>0</v>
      </c>
      <c r="H43" s="16">
        <f ca="1">IF(Assumptions_Sources!$C$38=2027,J43*Assumptions_Sources!$I$38,(J43-F43)*Assumptions_Sources!$D$45/SUM(Assumptions_Sources!$C$45:$E$45))</f>
        <v>0</v>
      </c>
      <c r="I43" s="16">
        <f ca="1">J43-F43-G43-H43</f>
        <v>0</v>
      </c>
      <c r="J43" s="16">
        <f t="shared" ca="1" si="15"/>
        <v>0</v>
      </c>
      <c r="K43" s="17">
        <f ca="1">O43*Assumptions_Sources!$B$45</f>
        <v>0</v>
      </c>
      <c r="L43" s="17">
        <f ca="1">O43*Assumptions_Sources!$C$45</f>
        <v>0</v>
      </c>
      <c r="M43" s="17">
        <f ca="1">O43*Assumptions_Sources!$D$45</f>
        <v>0</v>
      </c>
      <c r="N43" s="17">
        <f t="shared" ca="1" si="21"/>
        <v>0</v>
      </c>
      <c r="O43" s="17">
        <f t="shared" ca="1" si="16"/>
        <v>0</v>
      </c>
      <c r="P43" s="18">
        <f>IF(2029&lt;Assumptions_Sources!$C$38,0,IF(2029=Assumptions_Sources!$C$38,Assumptions_Sources!$D$38*Assumptions_Sources!$E$38/Assumptions_Sources!$G$38*Assumptions_Sources!$I$38,IF(2029&lt;Assumptions_Sources!$C$38+Assumptions_Sources!$G$38,MIN(Assumptions_Sources!$D$38*Assumptions_Sources!$E$38,Assumptions_Sources!$D$38*Assumptions_Sources!$E$38/Assumptions_Sources!$G$38*(2029-Assumptions_Sources!$C$38+Assumptions_Sources!$I$38)),Assumptions_Sources!$D$38*Assumptions_Sources!$E$38*(1+Assumptions_Sources!$H$38)^(2029-(Assumptions_Sources!$C$38+Assumptions_Sources!$G$38)))))</f>
        <v>0</v>
      </c>
      <c r="Q43" s="18">
        <f>IF(2030&lt;Assumptions_Sources!$C$38,0,IF(2030=Assumptions_Sources!$C$38,Assumptions_Sources!$D$38*Assumptions_Sources!$E$38/Assumptions_Sources!$G$38*Assumptions_Sources!$I$38,IF(2030&lt;Assumptions_Sources!$C$38+Assumptions_Sources!$G$38,MIN(Assumptions_Sources!$D$38*Assumptions_Sources!$E$38,Assumptions_Sources!$D$38*Assumptions_Sources!$E$38/Assumptions_Sources!$G$38*(2030-Assumptions_Sources!$C$38+Assumptions_Sources!$I$38)),Assumptions_Sources!$D$38*Assumptions_Sources!$E$38*(1+Assumptions_Sources!$H$38)^(2030-(Assumptions_Sources!$C$38+Assumptions_Sources!$G$38)))))</f>
        <v>0</v>
      </c>
      <c r="R43" s="18">
        <f>IF(2031&lt;Assumptions_Sources!$C$38,0,IF(2031=Assumptions_Sources!$C$38,Assumptions_Sources!$D$38*Assumptions_Sources!$E$38/Assumptions_Sources!$G$38*Assumptions_Sources!$I$38,IF(2031&lt;Assumptions_Sources!$C$38+Assumptions_Sources!$G$38,MIN(Assumptions_Sources!$D$38*Assumptions_Sources!$E$38,Assumptions_Sources!$D$38*Assumptions_Sources!$E$38/Assumptions_Sources!$G$38*(2031-Assumptions_Sources!$C$38+Assumptions_Sources!$I$38)),Assumptions_Sources!$D$38*Assumptions_Sources!$E$38*(1+Assumptions_Sources!$H$38)^(2031-(Assumptions_Sources!$C$38+Assumptions_Sources!$G$38)))))</f>
        <v>0</v>
      </c>
      <c r="S43" s="18">
        <f>IF(2032&lt;Assumptions_Sources!$C$38,0,IF(2032=Assumptions_Sources!$C$38,Assumptions_Sources!$D$38*Assumptions_Sources!$E$38/Assumptions_Sources!$G$38*Assumptions_Sources!$I$38,IF(2032&lt;Assumptions_Sources!$C$38+Assumptions_Sources!$G$38,MIN(Assumptions_Sources!$D$38*Assumptions_Sources!$E$38,Assumptions_Sources!$D$38*Assumptions_Sources!$E$38/Assumptions_Sources!$G$38*(2032-Assumptions_Sources!$C$38+Assumptions_Sources!$I$38)),Assumptions_Sources!$D$38*Assumptions_Sources!$E$38*(1+Assumptions_Sources!$H$38)^(2032-(Assumptions_Sources!$C$38+Assumptions_Sources!$G$38)))))</f>
        <v>0</v>
      </c>
      <c r="T43" s="18">
        <f>IF(2033&lt;Assumptions_Sources!$C$38,0,IF(2033=Assumptions_Sources!$C$38,Assumptions_Sources!$D$38*Assumptions_Sources!$E$38/Assumptions_Sources!$G$38*Assumptions_Sources!$I$38,IF(2033&lt;Assumptions_Sources!$C$38+Assumptions_Sources!$G$38,MIN(Assumptions_Sources!$D$38*Assumptions_Sources!$E$38,Assumptions_Sources!$D$38*Assumptions_Sources!$E$38/Assumptions_Sources!$G$38*(2033-Assumptions_Sources!$C$38+Assumptions_Sources!$I$38)),Assumptions_Sources!$D$38*Assumptions_Sources!$E$38*(1+Assumptions_Sources!$H$38)^(2033-(Assumptions_Sources!$C$38+Assumptions_Sources!$G$38)))))</f>
        <v>60</v>
      </c>
      <c r="U43" s="18">
        <f>IF(2034&lt;Assumptions_Sources!$C$38,0,IF(2034=Assumptions_Sources!$C$38,Assumptions_Sources!$D$38*Assumptions_Sources!$E$38/Assumptions_Sources!$G$38*Assumptions_Sources!$I$38,IF(2034&lt;Assumptions_Sources!$C$38+Assumptions_Sources!$G$38,MIN(Assumptions_Sources!$D$38*Assumptions_Sources!$E$38,Assumptions_Sources!$D$38*Assumptions_Sources!$E$38/Assumptions_Sources!$G$38*(2034-Assumptions_Sources!$C$38+Assumptions_Sources!$I$38)),Assumptions_Sources!$D$38*Assumptions_Sources!$E$38*(1+Assumptions_Sources!$H$38)^(2034-(Assumptions_Sources!$C$38+Assumptions_Sources!$G$38)))))</f>
        <v>180</v>
      </c>
      <c r="V43" s="18">
        <f>IF(2035&lt;Assumptions_Sources!$C$38,0,IF(2035=Assumptions_Sources!$C$38,Assumptions_Sources!$D$38*Assumptions_Sources!$E$38/Assumptions_Sources!$G$38*Assumptions_Sources!$I$38,IF(2035&lt;Assumptions_Sources!$C$38+Assumptions_Sources!$G$38,MIN(Assumptions_Sources!$D$38*Assumptions_Sources!$E$38,Assumptions_Sources!$D$38*Assumptions_Sources!$E$38/Assumptions_Sources!$G$38*(2035-Assumptions_Sources!$C$38+Assumptions_Sources!$I$38)),Assumptions_Sources!$D$38*Assumptions_Sources!$E$38*(1+Assumptions_Sources!$H$38)^(2035-(Assumptions_Sources!$C$38+Assumptions_Sources!$G$38)))))</f>
        <v>300</v>
      </c>
      <c r="W43" s="18">
        <f>IF(2036&lt;Assumptions_Sources!$C$38,0,IF(2036=Assumptions_Sources!$C$38,Assumptions_Sources!$D$38*Assumptions_Sources!$E$38/Assumptions_Sources!$G$38*Assumptions_Sources!$I$38,IF(2036&lt;Assumptions_Sources!$C$38+Assumptions_Sources!$G$38,MIN(Assumptions_Sources!$D$38*Assumptions_Sources!$E$38,Assumptions_Sources!$D$38*Assumptions_Sources!$E$38/Assumptions_Sources!$G$38*(2036-Assumptions_Sources!$C$38+Assumptions_Sources!$I$38)),Assumptions_Sources!$D$38*Assumptions_Sources!$E$38*(1+Assumptions_Sources!$H$38)^(2036-(Assumptions_Sources!$C$38+Assumptions_Sources!$G$38)))))</f>
        <v>420</v>
      </c>
      <c r="X43" s="30">
        <f t="shared" si="17"/>
        <v>0</v>
      </c>
      <c r="Y43" s="30">
        <f t="shared" si="18"/>
        <v>0</v>
      </c>
    </row>
    <row r="44" spans="1:25" ht="18" customHeight="1" x14ac:dyDescent="0.2">
      <c r="A44" s="1" t="s">
        <v>71</v>
      </c>
      <c r="B44" s="14">
        <f t="shared" ref="B44:I44" si="22">SUM(B37:B43)</f>
        <v>0</v>
      </c>
      <c r="C44" s="14">
        <f t="shared" si="22"/>
        <v>0</v>
      </c>
      <c r="D44" s="14">
        <f t="shared" si="22"/>
        <v>0</v>
      </c>
      <c r="E44" s="14">
        <f t="shared" si="22"/>
        <v>0</v>
      </c>
      <c r="F44" s="15">
        <f t="shared" si="22"/>
        <v>0</v>
      </c>
      <c r="G44" s="16">
        <f t="shared" ca="1" si="22"/>
        <v>0</v>
      </c>
      <c r="H44" s="16">
        <f t="shared" ca="1" si="22"/>
        <v>0</v>
      </c>
      <c r="I44" s="16">
        <f t="shared" ca="1" si="22"/>
        <v>0</v>
      </c>
      <c r="J44" s="16">
        <f t="shared" ca="1" si="15"/>
        <v>0</v>
      </c>
      <c r="K44" s="17">
        <f ca="1">O44*Assumptions_Sources!$B$45</f>
        <v>0</v>
      </c>
      <c r="L44" s="17">
        <f ca="1">O44*Assumptions_Sources!$C$45</f>
        <v>0</v>
      </c>
      <c r="M44" s="17">
        <f ca="1">O44*Assumptions_Sources!$D$45</f>
        <v>0</v>
      </c>
      <c r="N44" s="17">
        <f t="shared" ca="1" si="21"/>
        <v>0</v>
      </c>
      <c r="O44" s="17">
        <f t="shared" ca="1" si="16"/>
        <v>0</v>
      </c>
      <c r="P44" s="18">
        <v>0</v>
      </c>
      <c r="Q44" s="18">
        <v>0</v>
      </c>
      <c r="R44" s="18">
        <v>91.666666666666671</v>
      </c>
      <c r="S44" s="18">
        <v>275</v>
      </c>
      <c r="T44" s="18">
        <v>458.33333333333337</v>
      </c>
      <c r="U44" s="18">
        <v>641.66666666666674</v>
      </c>
      <c r="V44" s="18">
        <v>825</v>
      </c>
      <c r="W44" s="18">
        <v>1008.3333333333334</v>
      </c>
      <c r="X44" s="30">
        <f t="shared" si="17"/>
        <v>0</v>
      </c>
      <c r="Y44" s="30">
        <f t="shared" si="18"/>
        <v>0</v>
      </c>
    </row>
    <row r="45" spans="1:25" ht="18" customHeight="1" x14ac:dyDescent="0.2">
      <c r="A45" s="1" t="s">
        <v>72</v>
      </c>
      <c r="B45" s="14">
        <v>0</v>
      </c>
      <c r="C45" s="14">
        <v>0</v>
      </c>
      <c r="D45" s="14">
        <v>0</v>
      </c>
      <c r="E45" s="14">
        <v>0</v>
      </c>
      <c r="F45" s="15">
        <v>0</v>
      </c>
      <c r="G45" s="16">
        <f>IF(Assumptions_Sources!$C$40=2027,J45*Assumptions_Sources!$H$40,(J45-F45)*Assumptions_Sources!$C$45/SUM(Assumptions_Sources!$C$45:$E$45))</f>
        <v>0</v>
      </c>
      <c r="H45" s="16">
        <f>IF(Assumptions_Sources!$C$40=2027,J45*Assumptions_Sources!$I$40,(J45-F45)*Assumptions_Sources!$D$45/SUM(Assumptions_Sources!$C$45:$E$45))</f>
        <v>0</v>
      </c>
      <c r="I45" s="16">
        <f>J45-F45-G45-H45</f>
        <v>0</v>
      </c>
      <c r="J45" s="16">
        <f>IF(2027&lt;Assumptions_Sources!$C$40,0,IF(2027=Assumptions_Sources!$C$40,Assumptions_Sources!$D$40*Assumptions_Sources!$E$40/Assumptions_Sources!$G$40*Assumptions_Sources!$I$40,IF(2027&lt;Assumptions_Sources!$C$40+Assumptions_Sources!$G$40,MIN(Assumptions_Sources!$D$40*Assumptions_Sources!$E$40,Assumptions_Sources!$D$40*Assumptions_Sources!$E$40/Assumptions_Sources!$G$40*(2027-Assumptions_Sources!$C$40+Assumptions_Sources!$I$40)),Assumptions_Sources!$D$40*Assumptions_Sources!$E$40*(1+Assumptions_Sources!$H$40)^(2027-(Assumptions_Sources!$C$40+Assumptions_Sources!$G$40)))))</f>
        <v>0</v>
      </c>
      <c r="K45" s="17">
        <f>O45*Assumptions_Sources!$B$45</f>
        <v>0</v>
      </c>
      <c r="L45" s="17">
        <f>O45*Assumptions_Sources!$C$45</f>
        <v>0</v>
      </c>
      <c r="M45" s="17">
        <f>O45*Assumptions_Sources!$D$45</f>
        <v>0</v>
      </c>
      <c r="N45" s="17">
        <f t="shared" si="21"/>
        <v>0</v>
      </c>
      <c r="O45" s="17">
        <f>IF(2028&lt;Assumptions_Sources!$C$40,0,IF(2028=Assumptions_Sources!$C$40,Assumptions_Sources!$D$40*Assumptions_Sources!$E$40/Assumptions_Sources!$G$40*Assumptions_Sources!$I$40,IF(2028&lt;Assumptions_Sources!$C$40+Assumptions_Sources!$G$40,MIN(Assumptions_Sources!$D$40*Assumptions_Sources!$E$40,Assumptions_Sources!$D$40*Assumptions_Sources!$E$40/Assumptions_Sources!$G$40*(2028-Assumptions_Sources!$C$40+Assumptions_Sources!$I$40)),Assumptions_Sources!$D$40*Assumptions_Sources!$E$40*(1+Assumptions_Sources!$H$40)^(2028-(Assumptions_Sources!$C$40+Assumptions_Sources!$G$40)))))</f>
        <v>0</v>
      </c>
      <c r="P45" s="18">
        <f>IF(2029&lt;Assumptions_Sources!$C$40,0,IF(2029=Assumptions_Sources!$C$40,Assumptions_Sources!$D$40*Assumptions_Sources!$E$40/Assumptions_Sources!$G$40*Assumptions_Sources!$I$40,IF(2029&lt;Assumptions_Sources!$C$40+Assumptions_Sources!$G$40,MIN(Assumptions_Sources!$D$40*Assumptions_Sources!$E$40,Assumptions_Sources!$D$40*Assumptions_Sources!$E$40/Assumptions_Sources!$G$40*(2029-Assumptions_Sources!$C$40+Assumptions_Sources!$I$40)),Assumptions_Sources!$D$40*Assumptions_Sources!$E$40*(1+Assumptions_Sources!$H$40)^(2029-(Assumptions_Sources!$C$40+Assumptions_Sources!$G$40)))))</f>
        <v>0</v>
      </c>
      <c r="Q45" s="18">
        <f>IF(2030&lt;Assumptions_Sources!$C$40,0,IF(2030=Assumptions_Sources!$C$40,Assumptions_Sources!$D$40*Assumptions_Sources!$E$40/Assumptions_Sources!$G$40*Assumptions_Sources!$I$40,IF(2030&lt;Assumptions_Sources!$C$40+Assumptions_Sources!$G$40,MIN(Assumptions_Sources!$D$40*Assumptions_Sources!$E$40,Assumptions_Sources!$D$40*Assumptions_Sources!$E$40/Assumptions_Sources!$G$40*(2030-Assumptions_Sources!$C$40+Assumptions_Sources!$I$40)),Assumptions_Sources!$D$40*Assumptions_Sources!$E$40*(1+Assumptions_Sources!$H$40)^(2030-(Assumptions_Sources!$C$40+Assumptions_Sources!$G$40)))))</f>
        <v>0</v>
      </c>
      <c r="R45" s="18">
        <f>IF(2031&lt;Assumptions_Sources!$C$40,0,IF(2031=Assumptions_Sources!$C$40,Assumptions_Sources!$D$40*Assumptions_Sources!$E$40/Assumptions_Sources!$G$40*Assumptions_Sources!$I$40,IF(2031&lt;Assumptions_Sources!$C$40+Assumptions_Sources!$G$40,MIN(Assumptions_Sources!$D$40*Assumptions_Sources!$E$40,Assumptions_Sources!$D$40*Assumptions_Sources!$E$40/Assumptions_Sources!$G$40*(2031-Assumptions_Sources!$C$40+Assumptions_Sources!$I$40)),Assumptions_Sources!$D$40*Assumptions_Sources!$E$40*(1+Assumptions_Sources!$H$40)^(2031-(Assumptions_Sources!$C$40+Assumptions_Sources!$G$40)))))</f>
        <v>0</v>
      </c>
      <c r="S45" s="18">
        <f>IF(2032&lt;Assumptions_Sources!$C$40,0,IF(2032=Assumptions_Sources!$C$40,Assumptions_Sources!$D$40*Assumptions_Sources!$E$40/Assumptions_Sources!$G$40*Assumptions_Sources!$I$40,IF(2032&lt;Assumptions_Sources!$C$40+Assumptions_Sources!$G$40,MIN(Assumptions_Sources!$D$40*Assumptions_Sources!$E$40,Assumptions_Sources!$D$40*Assumptions_Sources!$E$40/Assumptions_Sources!$G$40*(2032-Assumptions_Sources!$C$40+Assumptions_Sources!$I$40)),Assumptions_Sources!$D$40*Assumptions_Sources!$E$40*(1+Assumptions_Sources!$H$40)^(2032-(Assumptions_Sources!$C$40+Assumptions_Sources!$G$40)))))</f>
        <v>0</v>
      </c>
      <c r="T45" s="18">
        <f>IF(2033&lt;Assumptions_Sources!$C$40,0,IF(2033=Assumptions_Sources!$C$40,Assumptions_Sources!$D$40*Assumptions_Sources!$E$40/Assumptions_Sources!$G$40*Assumptions_Sources!$I$40,IF(2033&lt;Assumptions_Sources!$C$40+Assumptions_Sources!$G$40,MIN(Assumptions_Sources!$D$40*Assumptions_Sources!$E$40,Assumptions_Sources!$D$40*Assumptions_Sources!$E$40/Assumptions_Sources!$G$40*(2033-Assumptions_Sources!$C$40+Assumptions_Sources!$I$40)),Assumptions_Sources!$D$40*Assumptions_Sources!$E$40*(1+Assumptions_Sources!$H$40)^(2033-(Assumptions_Sources!$C$40+Assumptions_Sources!$G$40)))))</f>
        <v>0</v>
      </c>
      <c r="U45" s="18">
        <f>IF(2034&lt;Assumptions_Sources!$C$40,0,IF(2034=Assumptions_Sources!$C$40,Assumptions_Sources!$D$40*Assumptions_Sources!$E$40/Assumptions_Sources!$G$40*Assumptions_Sources!$I$40,IF(2034&lt;Assumptions_Sources!$C$40+Assumptions_Sources!$G$40,MIN(Assumptions_Sources!$D$40*Assumptions_Sources!$E$40,Assumptions_Sources!$D$40*Assumptions_Sources!$E$40/Assumptions_Sources!$G$40*(2034-Assumptions_Sources!$C$40+Assumptions_Sources!$I$40)),Assumptions_Sources!$D$40*Assumptions_Sources!$E$40*(1+Assumptions_Sources!$H$40)^(2034-(Assumptions_Sources!$C$40+Assumptions_Sources!$G$40)))))</f>
        <v>30</v>
      </c>
      <c r="V45" s="18">
        <f>IF(2035&lt;Assumptions_Sources!$C$40,0,IF(2035=Assumptions_Sources!$C$40,Assumptions_Sources!$D$40*Assumptions_Sources!$E$40/Assumptions_Sources!$G$40*Assumptions_Sources!$I$40,IF(2035&lt;Assumptions_Sources!$C$40+Assumptions_Sources!$G$40,MIN(Assumptions_Sources!$D$40*Assumptions_Sources!$E$40,Assumptions_Sources!$D$40*Assumptions_Sources!$E$40/Assumptions_Sources!$G$40*(2035-Assumptions_Sources!$C$40+Assumptions_Sources!$I$40)),Assumptions_Sources!$D$40*Assumptions_Sources!$E$40*(1+Assumptions_Sources!$H$40)^(2035-(Assumptions_Sources!$C$40+Assumptions_Sources!$G$40)))))</f>
        <v>90</v>
      </c>
      <c r="W45" s="18">
        <f>IF(2036&lt;Assumptions_Sources!$C$40,0,IF(2036=Assumptions_Sources!$C$40,Assumptions_Sources!$D$40*Assumptions_Sources!$E$40/Assumptions_Sources!$G$40*Assumptions_Sources!$I$40,IF(2036&lt;Assumptions_Sources!$C$40+Assumptions_Sources!$G$40,MIN(Assumptions_Sources!$D$40*Assumptions_Sources!$E$40,Assumptions_Sources!$D$40*Assumptions_Sources!$E$40/Assumptions_Sources!$G$40*(2036-Assumptions_Sources!$C$40+Assumptions_Sources!$I$40)),Assumptions_Sources!$D$40*Assumptions_Sources!$E$40*(1+Assumptions_Sources!$H$40)^(2036-(Assumptions_Sources!$C$40+Assumptions_Sources!$G$40)))))</f>
        <v>150</v>
      </c>
      <c r="X45" s="30">
        <f>IF(E45&gt;0,(R45/E45)^(1/5)-1,0)</f>
        <v>0</v>
      </c>
      <c r="Y45" s="30">
        <f>IF(E45&gt;0,(W45/E45)^(1/10)-1,0)</f>
        <v>0</v>
      </c>
    </row>
    <row r="46" spans="1:25" ht="18" customHeight="1" x14ac:dyDescent="0.2">
      <c r="A46" s="1" t="s">
        <v>73</v>
      </c>
      <c r="B46" s="14">
        <v>0</v>
      </c>
      <c r="C46" s="14">
        <v>0</v>
      </c>
      <c r="D46" s="14">
        <v>0</v>
      </c>
      <c r="E46" s="14">
        <v>0</v>
      </c>
      <c r="F46" s="15">
        <v>0</v>
      </c>
      <c r="G46" s="16">
        <f>IF(Assumptions_Sources!$C$41=2027,J46*Assumptions_Sources!$H$41,(J46-F46)*Assumptions_Sources!$C$45/SUM(Assumptions_Sources!$C$45:$E$45))</f>
        <v>0</v>
      </c>
      <c r="H46" s="16">
        <f>IF(Assumptions_Sources!$C$41=2027,J46*Assumptions_Sources!$I$41,(J46-F46)*Assumptions_Sources!$D$45/SUM(Assumptions_Sources!$C$45:$E$45))</f>
        <v>0</v>
      </c>
      <c r="I46" s="16">
        <f>J46-F46-G46-H46</f>
        <v>0</v>
      </c>
      <c r="J46" s="16">
        <f>IF(2027&lt;Assumptions_Sources!$C$41,0,IF(2027=Assumptions_Sources!$C$41,Assumptions_Sources!$D$41*Assumptions_Sources!$E$41/Assumptions_Sources!$G$41*Assumptions_Sources!$I$41,IF(2027&lt;Assumptions_Sources!$C$41+Assumptions_Sources!$G$41,MIN(Assumptions_Sources!$D$41*Assumptions_Sources!$E$41,Assumptions_Sources!$D$41*Assumptions_Sources!$E$41/Assumptions_Sources!$G$41*(2027-Assumptions_Sources!$C$41+Assumptions_Sources!$I$41)),Assumptions_Sources!$D$41*Assumptions_Sources!$E$41*(1+Assumptions_Sources!$H$41)^(2027-(Assumptions_Sources!$C$41+Assumptions_Sources!$G$41)))))</f>
        <v>0</v>
      </c>
      <c r="K46" s="17">
        <f>O46*Assumptions_Sources!$B$45</f>
        <v>0</v>
      </c>
      <c r="L46" s="17">
        <f>O46*Assumptions_Sources!$C$45</f>
        <v>0</v>
      </c>
      <c r="M46" s="17">
        <f>O46*Assumptions_Sources!$D$45</f>
        <v>0</v>
      </c>
      <c r="N46" s="17">
        <f t="shared" si="21"/>
        <v>0</v>
      </c>
      <c r="O46" s="17">
        <f>IF(2028&lt;Assumptions_Sources!$C$41,0,IF(2028=Assumptions_Sources!$C$41,Assumptions_Sources!$D$41*Assumptions_Sources!$E$41/Assumptions_Sources!$G$41*Assumptions_Sources!$I$41,IF(2028&lt;Assumptions_Sources!$C$41+Assumptions_Sources!$G$41,MIN(Assumptions_Sources!$D$41*Assumptions_Sources!$E$41,Assumptions_Sources!$D$41*Assumptions_Sources!$E$41/Assumptions_Sources!$G$41*(2028-Assumptions_Sources!$C$41+Assumptions_Sources!$I$41)),Assumptions_Sources!$D$41*Assumptions_Sources!$E$41*(1+Assumptions_Sources!$H$41)^(2028-(Assumptions_Sources!$C$41+Assumptions_Sources!$G$41)))))</f>
        <v>0</v>
      </c>
      <c r="P46" s="18">
        <f>IF(2029&lt;Assumptions_Sources!$C$41,0,IF(2029=Assumptions_Sources!$C$41,Assumptions_Sources!$D$41*Assumptions_Sources!$E$41/Assumptions_Sources!$G$41*Assumptions_Sources!$I$41,IF(2029&lt;Assumptions_Sources!$C$41+Assumptions_Sources!$G$41,MIN(Assumptions_Sources!$D$41*Assumptions_Sources!$E$41,Assumptions_Sources!$D$41*Assumptions_Sources!$E$41/Assumptions_Sources!$G$41*(2029-Assumptions_Sources!$C$41+Assumptions_Sources!$I$41)),Assumptions_Sources!$D$41*Assumptions_Sources!$E$41*(1+Assumptions_Sources!$H$41)^(2029-(Assumptions_Sources!$C$41+Assumptions_Sources!$G$41)))))</f>
        <v>0</v>
      </c>
      <c r="Q46" s="18">
        <f>IF(2030&lt;Assumptions_Sources!$C$41,0,IF(2030=Assumptions_Sources!$C$41,Assumptions_Sources!$D$41*Assumptions_Sources!$E$41/Assumptions_Sources!$G$41*Assumptions_Sources!$I$41,IF(2030&lt;Assumptions_Sources!$C$41+Assumptions_Sources!$G$41,MIN(Assumptions_Sources!$D$41*Assumptions_Sources!$E$41,Assumptions_Sources!$D$41*Assumptions_Sources!$E$41/Assumptions_Sources!$G$41*(2030-Assumptions_Sources!$C$41+Assumptions_Sources!$I$41)),Assumptions_Sources!$D$41*Assumptions_Sources!$E$41*(1+Assumptions_Sources!$H$41)^(2030-(Assumptions_Sources!$C$41+Assumptions_Sources!$G$41)))))</f>
        <v>0</v>
      </c>
      <c r="R46" s="18">
        <f>IF(2031&lt;Assumptions_Sources!$C$41,0,IF(2031=Assumptions_Sources!$C$41,Assumptions_Sources!$D$41*Assumptions_Sources!$E$41/Assumptions_Sources!$G$41*Assumptions_Sources!$I$41,IF(2031&lt;Assumptions_Sources!$C$41+Assumptions_Sources!$G$41,MIN(Assumptions_Sources!$D$41*Assumptions_Sources!$E$41,Assumptions_Sources!$D$41*Assumptions_Sources!$E$41/Assumptions_Sources!$G$41*(2031-Assumptions_Sources!$C$41+Assumptions_Sources!$I$41)),Assumptions_Sources!$D$41*Assumptions_Sources!$E$41*(1+Assumptions_Sources!$H$41)^(2031-(Assumptions_Sources!$C$41+Assumptions_Sources!$G$41)))))</f>
        <v>0</v>
      </c>
      <c r="S46" s="18">
        <f>IF(2032&lt;Assumptions_Sources!$C$41,0,IF(2032=Assumptions_Sources!$C$41,Assumptions_Sources!$D$41*Assumptions_Sources!$E$41/Assumptions_Sources!$G$41*Assumptions_Sources!$I$41,IF(2032&lt;Assumptions_Sources!$C$41+Assumptions_Sources!$G$41,MIN(Assumptions_Sources!$D$41*Assumptions_Sources!$E$41,Assumptions_Sources!$D$41*Assumptions_Sources!$E$41/Assumptions_Sources!$G$41*(2032-Assumptions_Sources!$C$41+Assumptions_Sources!$I$41)),Assumptions_Sources!$D$41*Assumptions_Sources!$E$41*(1+Assumptions_Sources!$H$41)^(2032-(Assumptions_Sources!$C$41+Assumptions_Sources!$G$41)))))</f>
        <v>0</v>
      </c>
      <c r="T46" s="18">
        <f>IF(2033&lt;Assumptions_Sources!$C$41,0,IF(2033=Assumptions_Sources!$C$41,Assumptions_Sources!$D$41*Assumptions_Sources!$E$41/Assumptions_Sources!$G$41*Assumptions_Sources!$I$41,IF(2033&lt;Assumptions_Sources!$C$41+Assumptions_Sources!$G$41,MIN(Assumptions_Sources!$D$41*Assumptions_Sources!$E$41,Assumptions_Sources!$D$41*Assumptions_Sources!$E$41/Assumptions_Sources!$G$41*(2033-Assumptions_Sources!$C$41+Assumptions_Sources!$I$41)),Assumptions_Sources!$D$41*Assumptions_Sources!$E$41*(1+Assumptions_Sources!$H$41)^(2033-(Assumptions_Sources!$C$41+Assumptions_Sources!$G$41)))))</f>
        <v>0</v>
      </c>
      <c r="U46" s="18">
        <f>IF(2034&lt;Assumptions_Sources!$C$41,0,IF(2034=Assumptions_Sources!$C$41,Assumptions_Sources!$D$41*Assumptions_Sources!$E$41/Assumptions_Sources!$G$41*Assumptions_Sources!$I$41,IF(2034&lt;Assumptions_Sources!$C$41+Assumptions_Sources!$G$41,MIN(Assumptions_Sources!$D$41*Assumptions_Sources!$E$41,Assumptions_Sources!$D$41*Assumptions_Sources!$E$41/Assumptions_Sources!$G$41*(2034-Assumptions_Sources!$C$41+Assumptions_Sources!$I$41)),Assumptions_Sources!$D$41*Assumptions_Sources!$E$41*(1+Assumptions_Sources!$H$41)^(2034-(Assumptions_Sources!$C$41+Assumptions_Sources!$G$41)))))</f>
        <v>0</v>
      </c>
      <c r="V46" s="18">
        <f>IF(2035&lt;Assumptions_Sources!$C$41,0,IF(2035=Assumptions_Sources!$C$41,Assumptions_Sources!$D$41*Assumptions_Sources!$E$41/Assumptions_Sources!$G$41*Assumptions_Sources!$I$41,IF(2035&lt;Assumptions_Sources!$C$41+Assumptions_Sources!$G$41,MIN(Assumptions_Sources!$D$41*Assumptions_Sources!$E$41,Assumptions_Sources!$D$41*Assumptions_Sources!$E$41/Assumptions_Sources!$G$41*(2035-Assumptions_Sources!$C$41+Assumptions_Sources!$I$41)),Assumptions_Sources!$D$41*Assumptions_Sources!$E$41*(1+Assumptions_Sources!$H$41)^(2035-(Assumptions_Sources!$C$41+Assumptions_Sources!$G$41)))))</f>
        <v>20</v>
      </c>
      <c r="W46" s="18">
        <f>IF(2036&lt;Assumptions_Sources!$C$41,0,IF(2036=Assumptions_Sources!$C$41,Assumptions_Sources!$D$41*Assumptions_Sources!$E$41/Assumptions_Sources!$G$41*Assumptions_Sources!$I$41,IF(2036&lt;Assumptions_Sources!$C$41+Assumptions_Sources!$G$41,MIN(Assumptions_Sources!$D$41*Assumptions_Sources!$E$41,Assumptions_Sources!$D$41*Assumptions_Sources!$E$41/Assumptions_Sources!$G$41*(2036-Assumptions_Sources!$C$41+Assumptions_Sources!$I$41)),Assumptions_Sources!$D$41*Assumptions_Sources!$E$41*(1+Assumptions_Sources!$H$41)^(2036-(Assumptions_Sources!$C$41+Assumptions_Sources!$G$41)))))</f>
        <v>60</v>
      </c>
      <c r="X46" s="30">
        <f>IF(E46&gt;0,(R46/E46)^(1/5)-1,0)</f>
        <v>0</v>
      </c>
      <c r="Y46" s="30">
        <f>IF(E46&gt;0,(W46/E46)^(1/10)-1,0)</f>
        <v>0</v>
      </c>
    </row>
    <row r="47" spans="1:25" ht="18" customHeight="1" x14ac:dyDescent="0.2">
      <c r="A47" s="1" t="s">
        <v>74</v>
      </c>
      <c r="B47" s="14">
        <v>0</v>
      </c>
      <c r="C47" s="14">
        <v>0</v>
      </c>
      <c r="D47" s="14">
        <v>0</v>
      </c>
      <c r="E47" s="14">
        <v>0</v>
      </c>
      <c r="F47" s="15">
        <v>0</v>
      </c>
      <c r="G47" s="16">
        <f>IF(Assumptions_Sources!$C$42=2027,J47*Assumptions_Sources!$H$42,(J47-F47)*Assumptions_Sources!$C$45/SUM(Assumptions_Sources!$C$45:$E$45))</f>
        <v>0</v>
      </c>
      <c r="H47" s="16">
        <f>IF(Assumptions_Sources!$C$42=2027,J47*Assumptions_Sources!$I$42,(J47-F47)*Assumptions_Sources!$D$45/SUM(Assumptions_Sources!$C$45:$E$45))</f>
        <v>0</v>
      </c>
      <c r="I47" s="16">
        <f>J47-F47-G47-H47</f>
        <v>0</v>
      </c>
      <c r="J47" s="16">
        <f>IF(2027&lt;Assumptions_Sources!$C$42,0,IF(2027=Assumptions_Sources!$C$42,Assumptions_Sources!$D$42*Assumptions_Sources!$E$42/Assumptions_Sources!$G$42*Assumptions_Sources!$I$42,IF(2027&lt;Assumptions_Sources!$C$42+Assumptions_Sources!$G$42,MIN(Assumptions_Sources!$D$42*Assumptions_Sources!$E$42,Assumptions_Sources!$D$42*Assumptions_Sources!$E$42/Assumptions_Sources!$G$42*(2027-Assumptions_Sources!$C$42+Assumptions_Sources!$I$42)),Assumptions_Sources!$D$42*Assumptions_Sources!$E$42*(1+Assumptions_Sources!$H$42)^(2027-(Assumptions_Sources!$C$42+Assumptions_Sources!$G$42)))))</f>
        <v>0</v>
      </c>
      <c r="K47" s="17">
        <f>O47*Assumptions_Sources!$B$45</f>
        <v>0</v>
      </c>
      <c r="L47" s="17">
        <f>O47*Assumptions_Sources!$C$45</f>
        <v>0</v>
      </c>
      <c r="M47" s="17">
        <f>O47*Assumptions_Sources!$D$45</f>
        <v>0</v>
      </c>
      <c r="N47" s="17">
        <f t="shared" si="21"/>
        <v>0</v>
      </c>
      <c r="O47" s="17">
        <f>IF(2028&lt;Assumptions_Sources!$C$42,0,IF(2028=Assumptions_Sources!$C$42,Assumptions_Sources!$D$42*Assumptions_Sources!$E$42/Assumptions_Sources!$G$42*Assumptions_Sources!$I$42,IF(2028&lt;Assumptions_Sources!$C$42+Assumptions_Sources!$G$42,MIN(Assumptions_Sources!$D$42*Assumptions_Sources!$E$42,Assumptions_Sources!$D$42*Assumptions_Sources!$E$42/Assumptions_Sources!$G$42*(2028-Assumptions_Sources!$C$42+Assumptions_Sources!$I$42)),Assumptions_Sources!$D$42*Assumptions_Sources!$E$42*(1+Assumptions_Sources!$H$42)^(2028-(Assumptions_Sources!$C$42+Assumptions_Sources!$G$42)))))</f>
        <v>0</v>
      </c>
      <c r="P47" s="18">
        <f>IF(2029&lt;Assumptions_Sources!$C$42,0,IF(2029=Assumptions_Sources!$C$42,Assumptions_Sources!$D$42*Assumptions_Sources!$E$42/Assumptions_Sources!$G$42*Assumptions_Sources!$I$42,IF(2029&lt;Assumptions_Sources!$C$42+Assumptions_Sources!$G$42,MIN(Assumptions_Sources!$D$42*Assumptions_Sources!$E$42,Assumptions_Sources!$D$42*Assumptions_Sources!$E$42/Assumptions_Sources!$G$42*(2029-Assumptions_Sources!$C$42+Assumptions_Sources!$I$42)),Assumptions_Sources!$D$42*Assumptions_Sources!$E$42*(1+Assumptions_Sources!$H$42)^(2029-(Assumptions_Sources!$C$42+Assumptions_Sources!$G$42)))))</f>
        <v>0</v>
      </c>
      <c r="Q47" s="18">
        <f>IF(2030&lt;Assumptions_Sources!$C$42,0,IF(2030=Assumptions_Sources!$C$42,Assumptions_Sources!$D$42*Assumptions_Sources!$E$42/Assumptions_Sources!$G$42*Assumptions_Sources!$I$42,IF(2030&lt;Assumptions_Sources!$C$42+Assumptions_Sources!$G$42,MIN(Assumptions_Sources!$D$42*Assumptions_Sources!$E$42,Assumptions_Sources!$D$42*Assumptions_Sources!$E$42/Assumptions_Sources!$G$42*(2030-Assumptions_Sources!$C$42+Assumptions_Sources!$I$42)),Assumptions_Sources!$D$42*Assumptions_Sources!$E$42*(1+Assumptions_Sources!$H$42)^(2030-(Assumptions_Sources!$C$42+Assumptions_Sources!$G$42)))))</f>
        <v>0</v>
      </c>
      <c r="R47" s="18">
        <f>IF(2031&lt;Assumptions_Sources!$C$42,0,IF(2031=Assumptions_Sources!$C$42,Assumptions_Sources!$D$42*Assumptions_Sources!$E$42/Assumptions_Sources!$G$42*Assumptions_Sources!$I$42,IF(2031&lt;Assumptions_Sources!$C$42+Assumptions_Sources!$G$42,MIN(Assumptions_Sources!$D$42*Assumptions_Sources!$E$42,Assumptions_Sources!$D$42*Assumptions_Sources!$E$42/Assumptions_Sources!$G$42*(2031-Assumptions_Sources!$C$42+Assumptions_Sources!$I$42)),Assumptions_Sources!$D$42*Assumptions_Sources!$E$42*(1+Assumptions_Sources!$H$42)^(2031-(Assumptions_Sources!$C$42+Assumptions_Sources!$G$42)))))</f>
        <v>0</v>
      </c>
      <c r="S47" s="18">
        <f>IF(2032&lt;Assumptions_Sources!$C$42,0,IF(2032=Assumptions_Sources!$C$42,Assumptions_Sources!$D$42*Assumptions_Sources!$E$42/Assumptions_Sources!$G$42*Assumptions_Sources!$I$42,IF(2032&lt;Assumptions_Sources!$C$42+Assumptions_Sources!$G$42,MIN(Assumptions_Sources!$D$42*Assumptions_Sources!$E$42,Assumptions_Sources!$D$42*Assumptions_Sources!$E$42/Assumptions_Sources!$G$42*(2032-Assumptions_Sources!$C$42+Assumptions_Sources!$I$42)),Assumptions_Sources!$D$42*Assumptions_Sources!$E$42*(1+Assumptions_Sources!$H$42)^(2032-(Assumptions_Sources!$C$42+Assumptions_Sources!$G$42)))))</f>
        <v>0</v>
      </c>
      <c r="T47" s="18">
        <f>IF(2033&lt;Assumptions_Sources!$C$42,0,IF(2033=Assumptions_Sources!$C$42,Assumptions_Sources!$D$42*Assumptions_Sources!$E$42/Assumptions_Sources!$G$42*Assumptions_Sources!$I$42,IF(2033&lt;Assumptions_Sources!$C$42+Assumptions_Sources!$G$42,MIN(Assumptions_Sources!$D$42*Assumptions_Sources!$E$42,Assumptions_Sources!$D$42*Assumptions_Sources!$E$42/Assumptions_Sources!$G$42*(2033-Assumptions_Sources!$C$42+Assumptions_Sources!$I$42)),Assumptions_Sources!$D$42*Assumptions_Sources!$E$42*(1+Assumptions_Sources!$H$42)^(2033-(Assumptions_Sources!$C$42+Assumptions_Sources!$G$42)))))</f>
        <v>0</v>
      </c>
      <c r="U47" s="18">
        <f>IF(2034&lt;Assumptions_Sources!$C$42,0,IF(2034=Assumptions_Sources!$C$42,Assumptions_Sources!$D$42*Assumptions_Sources!$E$42/Assumptions_Sources!$G$42*Assumptions_Sources!$I$42,IF(2034&lt;Assumptions_Sources!$C$42+Assumptions_Sources!$G$42,MIN(Assumptions_Sources!$D$42*Assumptions_Sources!$E$42,Assumptions_Sources!$D$42*Assumptions_Sources!$E$42/Assumptions_Sources!$G$42*(2034-Assumptions_Sources!$C$42+Assumptions_Sources!$I$42)),Assumptions_Sources!$D$42*Assumptions_Sources!$E$42*(1+Assumptions_Sources!$H$42)^(2034-(Assumptions_Sources!$C$42+Assumptions_Sources!$G$42)))))</f>
        <v>0</v>
      </c>
      <c r="V47" s="18">
        <f>IF(2035&lt;Assumptions_Sources!$C$42,0,IF(2035=Assumptions_Sources!$C$42,Assumptions_Sources!$D$42*Assumptions_Sources!$E$42/Assumptions_Sources!$G$42*Assumptions_Sources!$I$42,IF(2035&lt;Assumptions_Sources!$C$42+Assumptions_Sources!$G$42,MIN(Assumptions_Sources!$D$42*Assumptions_Sources!$E$42,Assumptions_Sources!$D$42*Assumptions_Sources!$E$42/Assumptions_Sources!$G$42*(2035-Assumptions_Sources!$C$42+Assumptions_Sources!$I$42)),Assumptions_Sources!$D$42*Assumptions_Sources!$E$42*(1+Assumptions_Sources!$H$42)^(2035-(Assumptions_Sources!$C$42+Assumptions_Sources!$G$42)))))</f>
        <v>0</v>
      </c>
      <c r="W47" s="18">
        <f>IF(2036&lt;Assumptions_Sources!$C$42,0,IF(2036=Assumptions_Sources!$C$42,Assumptions_Sources!$D$42*Assumptions_Sources!$E$42/Assumptions_Sources!$G$42*Assumptions_Sources!$I$42,IF(2036&lt;Assumptions_Sources!$C$42+Assumptions_Sources!$G$42,MIN(Assumptions_Sources!$D$42*Assumptions_Sources!$E$42,Assumptions_Sources!$D$42*Assumptions_Sources!$E$42/Assumptions_Sources!$G$42*(2036-Assumptions_Sources!$C$42+Assumptions_Sources!$I$42)),Assumptions_Sources!$D$42*Assumptions_Sources!$E$42*(1+Assumptions_Sources!$H$42)^(2036-(Assumptions_Sources!$C$42+Assumptions_Sources!$G$42)))))</f>
        <v>0</v>
      </c>
      <c r="X47" s="30">
        <f>IF(E47&gt;0,(R47/E47)^(1/5)-1,0)</f>
        <v>0</v>
      </c>
      <c r="Y47" s="30">
        <f>IF(E47&gt;0,(W47/E47)^(1/10)-1,0)</f>
        <v>0</v>
      </c>
    </row>
    <row r="48" spans="1:25" ht="18" customHeight="1" x14ac:dyDescent="0.2">
      <c r="A48" s="10" t="s">
        <v>75</v>
      </c>
      <c r="B48" s="19">
        <f t="shared" ref="B48:I48" si="23">SUM(B42:B47)</f>
        <v>0</v>
      </c>
      <c r="C48" s="19">
        <f t="shared" si="23"/>
        <v>0</v>
      </c>
      <c r="D48" s="19">
        <f t="shared" si="23"/>
        <v>0</v>
      </c>
      <c r="E48" s="19">
        <f t="shared" si="23"/>
        <v>0</v>
      </c>
      <c r="F48" s="19">
        <f t="shared" si="23"/>
        <v>0</v>
      </c>
      <c r="G48" s="19">
        <f t="shared" ca="1" si="23"/>
        <v>0</v>
      </c>
      <c r="H48" s="19">
        <f t="shared" ca="1" si="23"/>
        <v>0</v>
      </c>
      <c r="I48" s="19">
        <f t="shared" ca="1" si="23"/>
        <v>0</v>
      </c>
      <c r="J48" s="19">
        <f t="shared" ref="J48:O48" ca="1" si="24">SUM(J42:J47)</f>
        <v>0</v>
      </c>
      <c r="K48" s="19">
        <f t="shared" ca="1" si="24"/>
        <v>0</v>
      </c>
      <c r="L48" s="19">
        <f t="shared" ca="1" si="24"/>
        <v>0</v>
      </c>
      <c r="M48" s="19">
        <f t="shared" ca="1" si="24"/>
        <v>0</v>
      </c>
      <c r="N48" s="19">
        <f t="shared" ca="1" si="24"/>
        <v>0</v>
      </c>
      <c r="O48" s="19">
        <f t="shared" ca="1" si="24"/>
        <v>0</v>
      </c>
      <c r="P48" s="19">
        <f t="shared" ref="P48:W48" si="25">SUM(P42:P47)</f>
        <v>0</v>
      </c>
      <c r="Q48" s="19">
        <f t="shared" si="25"/>
        <v>0</v>
      </c>
      <c r="R48" s="19">
        <f t="shared" si="25"/>
        <v>91.666666666666671</v>
      </c>
      <c r="S48" s="19">
        <f t="shared" si="25"/>
        <v>319</v>
      </c>
      <c r="T48" s="19">
        <f t="shared" si="25"/>
        <v>650.33333333333337</v>
      </c>
      <c r="U48" s="19">
        <f t="shared" si="25"/>
        <v>1071.6666666666667</v>
      </c>
      <c r="V48" s="19">
        <f t="shared" si="25"/>
        <v>1543</v>
      </c>
      <c r="W48" s="19">
        <f t="shared" si="25"/>
        <v>2034.3333333333335</v>
      </c>
      <c r="X48" s="30"/>
      <c r="Y48" s="30"/>
    </row>
    <row r="49" spans="1:25" ht="18" customHeight="1" x14ac:dyDescent="0.2">
      <c r="A49" s="1"/>
      <c r="B49" s="20"/>
      <c r="C49" s="20"/>
      <c r="D49" s="20"/>
      <c r="E49" s="20"/>
      <c r="F49" s="16"/>
      <c r="G49" s="16"/>
      <c r="H49" s="16"/>
      <c r="I49" s="16"/>
      <c r="J49" s="16"/>
      <c r="K49" s="17"/>
      <c r="L49" s="17"/>
      <c r="M49" s="17"/>
      <c r="N49" s="17"/>
      <c r="O49" s="17"/>
      <c r="P49" s="18"/>
      <c r="Q49" s="18"/>
      <c r="R49" s="18"/>
      <c r="S49" s="18"/>
      <c r="T49" s="18"/>
      <c r="U49" s="18"/>
      <c r="V49" s="18"/>
      <c r="W49" s="18"/>
      <c r="X49" s="30"/>
      <c r="Y49" s="30"/>
    </row>
    <row r="50" spans="1:25" ht="18" customHeight="1" x14ac:dyDescent="0.2">
      <c r="A50" s="9" t="s">
        <v>76</v>
      </c>
      <c r="B50" s="21">
        <f t="shared" ref="B50:I50" si="26">SUM(B14,B22,B28,B34,B44,B48)</f>
        <v>32217.200000000001</v>
      </c>
      <c r="C50" s="21">
        <f t="shared" si="26"/>
        <v>34237.1</v>
      </c>
      <c r="D50" s="21">
        <f t="shared" si="26"/>
        <v>37230</v>
      </c>
      <c r="E50" s="21">
        <f t="shared" si="26"/>
        <v>37901.699999999997</v>
      </c>
      <c r="F50" s="21">
        <f t="shared" si="26"/>
        <v>9240</v>
      </c>
      <c r="G50" s="21" t="str">
        <f t="shared" ca="1" si="26"/>
        <v/>
      </c>
      <c r="H50" s="21" t="str">
        <f t="shared" ca="1" si="26"/>
        <v/>
      </c>
      <c r="I50" s="21" t="str">
        <f t="shared" ca="1" si="26"/>
        <v/>
      </c>
      <c r="J50" s="21"/>
      <c r="K50" s="21"/>
      <c r="L50" s="21"/>
      <c r="M50" s="21"/>
      <c r="N50" s="21"/>
      <c r="O50" s="21"/>
      <c r="P50" s="21">
        <f t="shared" ref="P50:W50" si="27">SUM(P14,P22,P28,P34,P44,P48)</f>
        <v>48492.286595416677</v>
      </c>
      <c r="Q50" s="21">
        <f t="shared" si="27"/>
        <v>52030.983623983338</v>
      </c>
      <c r="R50" s="21">
        <f t="shared" si="27"/>
        <v>55969.913130883084</v>
      </c>
      <c r="S50" s="21">
        <f t="shared" si="27"/>
        <v>59606.968055999285</v>
      </c>
      <c r="T50" s="21">
        <f t="shared" si="27"/>
        <v>63277.954214862759</v>
      </c>
      <c r="U50" s="21">
        <f t="shared" si="27"/>
        <v>67052.540919058796</v>
      </c>
      <c r="V50" s="21">
        <f t="shared" si="27"/>
        <v>70910.614567533092</v>
      </c>
      <c r="W50" s="21">
        <f t="shared" si="27"/>
        <v>74862.231962930135</v>
      </c>
      <c r="X50" s="31"/>
      <c r="Y50" s="31"/>
    </row>
    <row r="51" spans="1:25" ht="18" customHeight="1" x14ac:dyDescent="0.2">
      <c r="A51" s="1" t="s">
        <v>77</v>
      </c>
      <c r="B51" s="14">
        <v>300</v>
      </c>
      <c r="C51" s="14">
        <v>300</v>
      </c>
      <c r="D51" s="14">
        <v>262.10000000000002</v>
      </c>
      <c r="E51" s="14">
        <v>315</v>
      </c>
      <c r="F51" s="15">
        <v>144.4</v>
      </c>
      <c r="G51" s="16">
        <f>(J51-F51)*Assumptions_Sources!$C$45/SUM(Assumptions_Sources!$C$45:$E$45)</f>
        <v>135.71603053435115</v>
      </c>
      <c r="H51" s="16">
        <f>(J51-F51)*Assumptions_Sources!$D$45/SUM(Assumptions_Sources!$C$45:$E$45)</f>
        <v>135.71603053435115</v>
      </c>
      <c r="I51" s="16">
        <f>J51-F51-G51-H51</f>
        <v>134.16793893129773</v>
      </c>
      <c r="J51" s="16">
        <v>550</v>
      </c>
      <c r="K51" s="17">
        <v>123.58499999999999</v>
      </c>
      <c r="L51" s="17">
        <v>151.88249999999999</v>
      </c>
      <c r="M51" s="17">
        <v>151.88249999999999</v>
      </c>
      <c r="N51" s="17">
        <v>150.15000000000003</v>
      </c>
      <c r="O51" s="17">
        <v>577.5</v>
      </c>
      <c r="P51" s="18">
        <v>606.375</v>
      </c>
      <c r="Q51" s="18">
        <v>630.63</v>
      </c>
      <c r="R51" s="18">
        <v>655.85519999999997</v>
      </c>
      <c r="S51" s="18">
        <v>675.53085599999997</v>
      </c>
      <c r="T51" s="18">
        <v>695.79678167999998</v>
      </c>
      <c r="U51" s="18">
        <v>716.67068513039999</v>
      </c>
      <c r="V51" s="18">
        <v>738.17080568431197</v>
      </c>
      <c r="W51" s="18">
        <v>760.31592985484133</v>
      </c>
      <c r="X51" s="30">
        <f>IF(E51&gt;0,(R51/E51)^(1/5)-1,0)</f>
        <v>0.15797579765741454</v>
      </c>
      <c r="Y51" s="30">
        <f>IF(E51&gt;0,(W51/E51)^(1/10)-1,0)</f>
        <v>9.2114953467416383E-2</v>
      </c>
    </row>
    <row r="52" spans="1:25" ht="18" customHeight="1" x14ac:dyDescent="0.2">
      <c r="A52" s="10" t="s">
        <v>78</v>
      </c>
      <c r="B52" s="19">
        <f t="shared" ref="B52:I52" si="28">SUM(B51:B51)</f>
        <v>300</v>
      </c>
      <c r="C52" s="19">
        <f t="shared" si="28"/>
        <v>300</v>
      </c>
      <c r="D52" s="19">
        <f t="shared" si="28"/>
        <v>262.10000000000002</v>
      </c>
      <c r="E52" s="19">
        <f t="shared" si="28"/>
        <v>315</v>
      </c>
      <c r="F52" s="19">
        <f t="shared" si="28"/>
        <v>144.4</v>
      </c>
      <c r="G52" s="19">
        <f t="shared" si="28"/>
        <v>135.71603053435115</v>
      </c>
      <c r="H52" s="19">
        <f t="shared" si="28"/>
        <v>135.71603053435115</v>
      </c>
      <c r="I52" s="19">
        <f t="shared" si="28"/>
        <v>134.16793893129773</v>
      </c>
      <c r="J52" s="19">
        <f t="shared" ref="J52:O52" si="29">SUM(J51:J51)</f>
        <v>550</v>
      </c>
      <c r="K52" s="19">
        <f t="shared" si="29"/>
        <v>123.58499999999999</v>
      </c>
      <c r="L52" s="19">
        <f t="shared" si="29"/>
        <v>151.88249999999999</v>
      </c>
      <c r="M52" s="19">
        <f t="shared" si="29"/>
        <v>151.88249999999999</v>
      </c>
      <c r="N52" s="19">
        <f t="shared" si="29"/>
        <v>150.15000000000003</v>
      </c>
      <c r="O52" s="19">
        <f t="shared" si="29"/>
        <v>577.5</v>
      </c>
      <c r="P52" s="19">
        <f t="shared" ref="P52:W52" si="30">SUM(P51:P51)</f>
        <v>606.375</v>
      </c>
      <c r="Q52" s="19">
        <f t="shared" si="30"/>
        <v>630.63</v>
      </c>
      <c r="R52" s="19">
        <f t="shared" si="30"/>
        <v>655.85519999999997</v>
      </c>
      <c r="S52" s="19">
        <f t="shared" si="30"/>
        <v>675.53085599999997</v>
      </c>
      <c r="T52" s="19">
        <f t="shared" si="30"/>
        <v>695.79678167999998</v>
      </c>
      <c r="U52" s="19">
        <f t="shared" si="30"/>
        <v>716.67068513039999</v>
      </c>
      <c r="V52" s="19">
        <f t="shared" si="30"/>
        <v>738.17080568431197</v>
      </c>
      <c r="W52" s="19">
        <f t="shared" si="30"/>
        <v>760.31592985484133</v>
      </c>
      <c r="X52" s="30"/>
      <c r="Y52" s="30"/>
    </row>
    <row r="53" spans="1:25" ht="18" customHeight="1" x14ac:dyDescent="0.2">
      <c r="A53" s="1"/>
      <c r="B53" s="20">
        <f t="shared" ref="B53:W53" si="31">IF(B50=0,0,B52/B50)</f>
        <v>9.3117961834051372E-3</v>
      </c>
      <c r="C53" s="20">
        <f t="shared" si="31"/>
        <v>8.7624243875795566E-3</v>
      </c>
      <c r="D53" s="20">
        <f t="shared" si="31"/>
        <v>7.0400214880472741E-3</v>
      </c>
      <c r="E53" s="20">
        <f t="shared" si="31"/>
        <v>8.3109728587372079E-3</v>
      </c>
      <c r="F53" s="16">
        <f t="shared" si="31"/>
        <v>1.5627705627705629E-2</v>
      </c>
      <c r="G53" s="16" t="str">
        <f t="shared" ca="1" si="31"/>
        <v/>
      </c>
      <c r="H53" s="16" t="str">
        <f t="shared" ca="1" si="31"/>
        <v/>
      </c>
      <c r="I53" s="16" t="str">
        <f t="shared" ca="1" si="31"/>
        <v/>
      </c>
      <c r="J53" s="16">
        <f t="shared" si="31"/>
        <v>0</v>
      </c>
      <c r="K53" s="17">
        <f t="shared" si="31"/>
        <v>0</v>
      </c>
      <c r="L53" s="17">
        <f t="shared" si="31"/>
        <v>0</v>
      </c>
      <c r="M53" s="17">
        <f t="shared" si="31"/>
        <v>0</v>
      </c>
      <c r="N53" s="17">
        <f t="shared" si="31"/>
        <v>0</v>
      </c>
      <c r="O53" s="17">
        <f t="shared" si="31"/>
        <v>0</v>
      </c>
      <c r="P53" s="18">
        <f t="shared" si="31"/>
        <v>1.2504566036638753E-2</v>
      </c>
      <c r="Q53" s="18">
        <f t="shared" si="31"/>
        <v>1.2120278266454206E-2</v>
      </c>
      <c r="R53" s="18">
        <f t="shared" si="31"/>
        <v>1.1717995675039061E-2</v>
      </c>
      <c r="S53" s="18">
        <f t="shared" si="31"/>
        <v>1.133308534272965E-2</v>
      </c>
      <c r="T53" s="18">
        <f t="shared" si="31"/>
        <v>1.0995879849677107E-2</v>
      </c>
      <c r="U53" s="18">
        <f t="shared" si="31"/>
        <v>1.068819578359477E-2</v>
      </c>
      <c r="V53" s="18">
        <f t="shared" si="31"/>
        <v>1.0409877423658495E-2</v>
      </c>
      <c r="W53" s="18">
        <f t="shared" si="31"/>
        <v>1.0156201731085581E-2</v>
      </c>
      <c r="X53" s="30"/>
      <c r="Y53" s="30"/>
    </row>
    <row r="54" spans="1:25" x14ac:dyDescent="0.2">
      <c r="A54" s="11" t="s">
        <v>79</v>
      </c>
      <c r="B54" s="22">
        <f t="shared" ref="B54:W54" si="32">B14+B22+B28+B35+B39+B48+B52</f>
        <v>32517.200000000001</v>
      </c>
      <c r="C54" s="22">
        <f t="shared" si="32"/>
        <v>34537.1</v>
      </c>
      <c r="D54" s="22">
        <f t="shared" si="32"/>
        <v>37492.1</v>
      </c>
      <c r="E54" s="22">
        <f t="shared" si="32"/>
        <v>38330.699999999997</v>
      </c>
      <c r="F54" s="23">
        <f t="shared" si="32"/>
        <v>9634.4</v>
      </c>
      <c r="G54" s="23">
        <f t="shared" ca="1" si="32"/>
        <v>11157.535756997455</v>
      </c>
      <c r="H54" s="23">
        <f t="shared" ca="1" si="32"/>
        <v>11307.535756997457</v>
      </c>
      <c r="I54" s="23">
        <f t="shared" ca="1" si="32"/>
        <v>11505.263486005091</v>
      </c>
      <c r="J54" s="23">
        <f t="shared" ca="1" si="32"/>
        <v>43354.735000000001</v>
      </c>
      <c r="K54" s="24">
        <f t="shared" ca="1" si="32"/>
        <v>10305.8793565</v>
      </c>
      <c r="L54" s="24">
        <f t="shared" ca="1" si="32"/>
        <v>12665.636779250002</v>
      </c>
      <c r="M54" s="24">
        <f t="shared" ca="1" si="32"/>
        <v>12665.636779250002</v>
      </c>
      <c r="N54" s="24">
        <f t="shared" ca="1" si="32"/>
        <v>12521.161834999999</v>
      </c>
      <c r="O54" s="24">
        <f t="shared" ca="1" si="32"/>
        <v>48158.314750000005</v>
      </c>
      <c r="P54" s="25">
        <f t="shared" si="32"/>
        <v>52887.994928750013</v>
      </c>
      <c r="Q54" s="25">
        <f t="shared" si="32"/>
        <v>57489.580290650003</v>
      </c>
      <c r="R54" s="25">
        <f t="shared" si="32"/>
        <v>62428.966664216416</v>
      </c>
      <c r="S54" s="25">
        <f t="shared" si="32"/>
        <v>66873.814545332614</v>
      </c>
      <c r="T54" s="25">
        <f t="shared" si="32"/>
        <v>71196.897209209405</v>
      </c>
      <c r="U54" s="25">
        <f t="shared" si="32"/>
        <v>75258.71868244253</v>
      </c>
      <c r="V54" s="25">
        <f t="shared" si="32"/>
        <v>79272.532369675799</v>
      </c>
      <c r="W54" s="25">
        <f t="shared" si="32"/>
        <v>83397.532254610414</v>
      </c>
      <c r="X54" s="32">
        <f>(R54/E54)^(1/5)-1</f>
        <v>0.1024727892352626</v>
      </c>
      <c r="Y54" s="32">
        <f>(W54/E54)^(1/10)-1</f>
        <v>8.0838099015439147E-2</v>
      </c>
    </row>
    <row r="55" spans="1:25" x14ac:dyDescent="0.2">
      <c r="A55" s="12" t="s">
        <v>80</v>
      </c>
      <c r="B55" s="26"/>
      <c r="C55" s="33">
        <f>C54/B54-1</f>
        <v>6.2117894529664319E-2</v>
      </c>
      <c r="D55" s="33">
        <f>D54/C54-1</f>
        <v>8.5560165734818394E-2</v>
      </c>
      <c r="E55" s="33">
        <f>E54/D54-1</f>
        <v>2.2367378727785381E-2</v>
      </c>
      <c r="F55" s="34">
        <f>$J$64/$F$64-1</f>
        <v>0.16551784095284217</v>
      </c>
      <c r="G55" s="34">
        <f ca="1">G54/$G$64-1</f>
        <v>0.13859376665892364</v>
      </c>
      <c r="H55" s="34">
        <f ca="1">H54/$H$64-1</f>
        <v>8.5947386531457726E-2</v>
      </c>
      <c r="I55" s="34">
        <f ca="1">I54/$I$64-1</f>
        <v>0.15595935758114043</v>
      </c>
      <c r="J55" s="34">
        <f t="shared" ref="J55:O55" ca="1" si="33">J54/E54-1</f>
        <v>0.1344447584432984</v>
      </c>
      <c r="K55" s="35">
        <f t="shared" ca="1" si="33"/>
        <v>9.8192676836025727E-2</v>
      </c>
      <c r="L55" s="35">
        <f t="shared" ca="1" si="33"/>
        <v>0.13516434588226534</v>
      </c>
      <c r="M55" s="35">
        <f t="shared" ca="1" si="33"/>
        <v>0.12010583485549531</v>
      </c>
      <c r="N55" s="35">
        <f t="shared" ca="1" si="33"/>
        <v>8.8298573103574585E-2</v>
      </c>
      <c r="O55" s="35">
        <f t="shared" ca="1" si="33"/>
        <v>0.11079711939191883</v>
      </c>
      <c r="P55" s="36">
        <f t="shared" ref="P55:W55" ca="1" si="34">P54/O54-1</f>
        <v>9.8211081581711879E-2</v>
      </c>
      <c r="Q55" s="36">
        <f t="shared" si="34"/>
        <v>8.7006235878277938E-2</v>
      </c>
      <c r="R55" s="36">
        <f t="shared" si="34"/>
        <v>8.591794110505524E-2</v>
      </c>
      <c r="S55" s="36">
        <f t="shared" si="34"/>
        <v>7.119848555276409E-2</v>
      </c>
      <c r="T55" s="36">
        <f t="shared" si="34"/>
        <v>6.4645372680905533E-2</v>
      </c>
      <c r="U55" s="36">
        <f t="shared" si="34"/>
        <v>5.705054057759873E-2</v>
      </c>
      <c r="V55" s="36">
        <f t="shared" si="34"/>
        <v>5.3333537396108577E-2</v>
      </c>
      <c r="W55" s="36">
        <f t="shared" si="34"/>
        <v>5.2035676944168774E-2</v>
      </c>
      <c r="X55" s="30"/>
      <c r="Y55" s="30"/>
    </row>
    <row r="56" spans="1:25" x14ac:dyDescent="0.2">
      <c r="A56" s="12" t="s">
        <v>81</v>
      </c>
      <c r="B56" s="26">
        <f t="shared" ref="B56:W56" si="35">B21+B33+B34+B38+B48</f>
        <v>0</v>
      </c>
      <c r="C56" s="26">
        <f t="shared" si="35"/>
        <v>0</v>
      </c>
      <c r="D56" s="26">
        <f t="shared" si="35"/>
        <v>0</v>
      </c>
      <c r="E56" s="26">
        <f t="shared" si="35"/>
        <v>114</v>
      </c>
      <c r="F56" s="27">
        <f t="shared" si="35"/>
        <v>250</v>
      </c>
      <c r="G56" s="27">
        <f t="shared" ca="1" si="35"/>
        <v>0</v>
      </c>
      <c r="H56" s="27">
        <f t="shared" ca="1" si="35"/>
        <v>150</v>
      </c>
      <c r="I56" s="27">
        <f t="shared" ca="1" si="35"/>
        <v>475</v>
      </c>
      <c r="J56" s="27">
        <f t="shared" ca="1" si="35"/>
        <v>625</v>
      </c>
      <c r="K56" s="28">
        <f t="shared" ca="1" si="35"/>
        <v>401.25</v>
      </c>
      <c r="L56" s="28">
        <f t="shared" ca="1" si="35"/>
        <v>493.125</v>
      </c>
      <c r="M56" s="28">
        <f t="shared" ca="1" si="35"/>
        <v>493.125</v>
      </c>
      <c r="N56" s="28">
        <f t="shared" ca="1" si="35"/>
        <v>487.5</v>
      </c>
      <c r="O56" s="28">
        <f t="shared" ca="1" si="35"/>
        <v>1875</v>
      </c>
      <c r="P56" s="29">
        <f t="shared" si="35"/>
        <v>3250</v>
      </c>
      <c r="Q56" s="29">
        <f t="shared" si="35"/>
        <v>4750</v>
      </c>
      <c r="R56" s="29">
        <f t="shared" si="35"/>
        <v>6341.666666666667</v>
      </c>
      <c r="S56" s="29">
        <f t="shared" si="35"/>
        <v>8069</v>
      </c>
      <c r="T56" s="29">
        <f t="shared" si="35"/>
        <v>9525.3333333333339</v>
      </c>
      <c r="U56" s="29">
        <f t="shared" si="35"/>
        <v>10561.666666666666</v>
      </c>
      <c r="V56" s="29">
        <f t="shared" si="35"/>
        <v>11381.05</v>
      </c>
      <c r="W56" s="29">
        <f t="shared" si="35"/>
        <v>12131.716833333334</v>
      </c>
      <c r="X56" s="30"/>
      <c r="Y56" s="30"/>
    </row>
    <row r="57" spans="1:25" x14ac:dyDescent="0.2">
      <c r="A57" s="12" t="s">
        <v>82</v>
      </c>
      <c r="B57" s="33">
        <f t="shared" ref="B57:W57" si="36">IF(B54=0,0,(B19+B25+B26+B35+B21+B39+B48)/B54)</f>
        <v>1.07635343756535E-2</v>
      </c>
      <c r="C57" s="33">
        <f t="shared" si="36"/>
        <v>2.8954370807045177E-2</v>
      </c>
      <c r="D57" s="33">
        <f t="shared" si="36"/>
        <v>3.7607922735722991E-2</v>
      </c>
      <c r="E57" s="33">
        <f t="shared" si="36"/>
        <v>5.7343069654350175E-2</v>
      </c>
      <c r="F57" s="34">
        <f t="shared" si="36"/>
        <v>9.2065930416009301E-2</v>
      </c>
      <c r="G57" s="34">
        <f t="shared" ca="1" si="36"/>
        <v>9.602842496559115E-2</v>
      </c>
      <c r="H57" s="34">
        <f t="shared" ca="1" si="36"/>
        <v>0.10802005065390703</v>
      </c>
      <c r="I57" s="34">
        <f t="shared" ca="1" si="36"/>
        <v>0.13334929976899274</v>
      </c>
      <c r="J57" s="34">
        <f t="shared" ca="1" si="36"/>
        <v>0.10296683857022766</v>
      </c>
      <c r="K57" s="35">
        <f t="shared" ca="1" si="36"/>
        <v>0.13822618242678436</v>
      </c>
      <c r="L57" s="35">
        <f t="shared" ca="1" si="36"/>
        <v>0.13822618242678433</v>
      </c>
      <c r="M57" s="35">
        <f t="shared" ca="1" si="36"/>
        <v>0.13822618242678433</v>
      </c>
      <c r="N57" s="35">
        <f t="shared" ca="1" si="36"/>
        <v>0.13822618242678433</v>
      </c>
      <c r="O57" s="35">
        <f t="shared" ca="1" si="36"/>
        <v>0.13822618242678433</v>
      </c>
      <c r="P57" s="36">
        <f t="shared" si="36"/>
        <v>0.16925385074740185</v>
      </c>
      <c r="Q57" s="36">
        <f t="shared" si="36"/>
        <v>0.1958058337369839</v>
      </c>
      <c r="R57" s="36">
        <f t="shared" si="36"/>
        <v>0.22065991358083245</v>
      </c>
      <c r="S57" s="36">
        <f t="shared" si="36"/>
        <v>0.24128606219496981</v>
      </c>
      <c r="T57" s="36">
        <f t="shared" si="36"/>
        <v>0.25678540040022552</v>
      </c>
      <c r="U57" s="36">
        <f t="shared" si="36"/>
        <v>0.26670319173380147</v>
      </c>
      <c r="V57" s="36">
        <f t="shared" si="36"/>
        <v>0.27390173101877163</v>
      </c>
      <c r="W57" s="36">
        <f t="shared" si="36"/>
        <v>0.28010909873588286</v>
      </c>
      <c r="X57" s="30"/>
      <c r="Y57" s="30"/>
    </row>
    <row r="58" spans="1:25" x14ac:dyDescent="0.2">
      <c r="A58" s="1"/>
      <c r="B58" s="20"/>
      <c r="C58" s="20"/>
      <c r="D58" s="20"/>
      <c r="E58" s="20"/>
      <c r="F58" s="16"/>
      <c r="G58" s="16"/>
      <c r="H58" s="16"/>
      <c r="I58" s="16"/>
      <c r="J58" s="16"/>
      <c r="K58" s="17"/>
      <c r="L58" s="17"/>
      <c r="M58" s="17"/>
      <c r="N58" s="17"/>
      <c r="O58" s="17"/>
      <c r="P58" s="18"/>
      <c r="Q58" s="18"/>
      <c r="R58" s="18"/>
      <c r="S58" s="18"/>
      <c r="T58" s="18"/>
      <c r="U58" s="18"/>
      <c r="V58" s="18"/>
      <c r="W58" s="18"/>
      <c r="X58" s="1"/>
      <c r="Y58" s="1"/>
    </row>
    <row r="59" spans="1:25" x14ac:dyDescent="0.2">
      <c r="A59" s="13" t="s">
        <v>83</v>
      </c>
      <c r="B59" s="14">
        <v>32517.200000000001</v>
      </c>
      <c r="C59" s="14">
        <v>34537.1</v>
      </c>
      <c r="D59" s="14">
        <v>37492.1</v>
      </c>
      <c r="E59" s="14">
        <v>38216.699999999997</v>
      </c>
      <c r="F59" s="16"/>
      <c r="G59" s="16"/>
      <c r="H59" s="16"/>
      <c r="I59" s="16"/>
      <c r="J59" s="16"/>
      <c r="K59" s="17"/>
      <c r="L59" s="17"/>
      <c r="M59" s="17"/>
      <c r="N59" s="17"/>
      <c r="O59" s="17"/>
      <c r="P59" s="18"/>
      <c r="Q59" s="18"/>
      <c r="R59" s="18"/>
      <c r="S59" s="18"/>
      <c r="T59" s="18"/>
      <c r="U59" s="18"/>
      <c r="V59" s="18"/>
      <c r="W59" s="18"/>
      <c r="X59" s="1"/>
      <c r="Y59" s="1"/>
    </row>
    <row r="60" spans="1:25" x14ac:dyDescent="0.2">
      <c r="A60" s="13" t="s">
        <v>84</v>
      </c>
      <c r="B60" s="37">
        <f>B54-B59</f>
        <v>0</v>
      </c>
      <c r="C60" s="37">
        <f>C54-C59</f>
        <v>0</v>
      </c>
      <c r="D60" s="37">
        <f>D54-D59</f>
        <v>0</v>
      </c>
      <c r="E60" s="37">
        <f>E54-E59</f>
        <v>114</v>
      </c>
      <c r="F60" s="38"/>
      <c r="G60" s="16"/>
      <c r="H60" s="16"/>
      <c r="I60" s="16"/>
      <c r="J60" s="16"/>
      <c r="K60" s="17"/>
      <c r="L60" s="17"/>
      <c r="M60" s="17"/>
      <c r="N60" s="17"/>
      <c r="O60" s="17"/>
      <c r="P60" s="18"/>
      <c r="Q60" s="18"/>
      <c r="R60" s="18"/>
      <c r="S60" s="18"/>
      <c r="T60" s="18"/>
      <c r="U60" s="18"/>
      <c r="V60" s="18"/>
      <c r="W60" s="18"/>
      <c r="X60" s="1"/>
      <c r="Y60" s="1"/>
    </row>
    <row r="61" spans="1:25" x14ac:dyDescent="0.2">
      <c r="A61" s="1"/>
      <c r="B61" s="39"/>
      <c r="C61" s="39"/>
      <c r="D61" s="39"/>
      <c r="E61" s="39"/>
      <c r="F61" s="39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8" customHeight="1" x14ac:dyDescent="0.2">
      <c r="A62" s="9" t="s">
        <v>85</v>
      </c>
      <c r="B62" s="40"/>
      <c r="C62" s="40"/>
      <c r="D62" s="40"/>
      <c r="E62" s="40"/>
      <c r="F62" s="40"/>
      <c r="G62" s="9"/>
      <c r="H62" s="9"/>
      <c r="I62" s="9"/>
      <c r="J62" s="9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">
      <c r="A63" s="5" t="s">
        <v>86</v>
      </c>
      <c r="B63" s="41" t="s">
        <v>87</v>
      </c>
      <c r="C63" s="41" t="s">
        <v>88</v>
      </c>
      <c r="D63" s="41" t="s">
        <v>89</v>
      </c>
      <c r="E63" s="41" t="s">
        <v>90</v>
      </c>
      <c r="F63" s="41" t="s">
        <v>91</v>
      </c>
      <c r="G63" s="5" t="s">
        <v>92</v>
      </c>
      <c r="H63" s="5" t="s">
        <v>93</v>
      </c>
      <c r="I63" s="5" t="s">
        <v>94</v>
      </c>
      <c r="J63" s="5" t="s">
        <v>95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">
      <c r="A64" s="1" t="s">
        <v>96</v>
      </c>
      <c r="B64" s="42">
        <v>8146.5</v>
      </c>
      <c r="C64" s="42">
        <v>10107.700000000001</v>
      </c>
      <c r="D64" s="42">
        <v>9494.2000000000007</v>
      </c>
      <c r="E64" s="42">
        <v>9743.7000000000007</v>
      </c>
      <c r="F64" s="42">
        <v>8051.7</v>
      </c>
      <c r="G64" s="8">
        <v>9799.4</v>
      </c>
      <c r="H64" s="8">
        <v>10412.6</v>
      </c>
      <c r="I64" s="8">
        <v>9953</v>
      </c>
      <c r="J64" s="8">
        <v>9384.4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">
      <c r="A65" s="1"/>
      <c r="B65" s="39"/>
      <c r="C65" s="39"/>
      <c r="D65" s="39"/>
      <c r="E65" s="39"/>
      <c r="F65" s="39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">
      <c r="A66" s="1" t="s">
        <v>97</v>
      </c>
      <c r="B66" s="43">
        <f>ROUND(SUM(B64:E64)-D54,1)</f>
        <v>0</v>
      </c>
      <c r="C66" s="43" t="s">
        <v>98</v>
      </c>
      <c r="D66" s="43">
        <f>ROUND(SUM(F64:I64)-E54,1)</f>
        <v>-114</v>
      </c>
      <c r="E66" s="43" t="s">
        <v>99</v>
      </c>
      <c r="F66" s="43">
        <f>ROUND(J64-F54,1)</f>
        <v>-250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1">
    <mergeCell ref="A4:Y4"/>
  </mergeCells>
  <conditionalFormatting sqref="B66">
    <cfRule type="cellIs" dxfId="3" priority="2" operator="notEqual">
      <formula>0</formula>
    </cfRule>
  </conditionalFormatting>
  <conditionalFormatting sqref="B60:E60">
    <cfRule type="cellIs" dxfId="2" priority="1" operator="notEqual">
      <formula>0</formula>
    </cfRule>
  </conditionalFormatting>
  <conditionalFormatting sqref="D66">
    <cfRule type="cellIs" dxfId="1" priority="3" operator="notEqual">
      <formula>0</formula>
    </cfRule>
  </conditionalFormatting>
  <conditionalFormatting sqref="F66">
    <cfRule type="cellIs" dxfId="0" priority="4" operator="notEqual">
      <formula>0</formula>
    </cfRule>
  </conditionalFormatting>
  <dataValidations count="1">
    <dataValidation type="list" sqref="B2" xr:uid="{00000000-0002-0000-0000-000000000000}">
      <formula1>"Bear,Base,Bull"</formula1>
      <formula2>0</formula2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0"/>
  <sheetViews>
    <sheetView showGridLines="0" workbookViewId="0">
      <pane ySplit="5" topLeftCell="A78" activePane="bottomLeft" state="frozen"/>
      <selection pane="bottomLeft" activeCell="B9" sqref="B9"/>
    </sheetView>
  </sheetViews>
  <sheetFormatPr baseColWidth="10" defaultColWidth="8.6640625" defaultRowHeight="15" x14ac:dyDescent="0.2"/>
  <cols>
    <col min="1" max="1" width="28" customWidth="1"/>
    <col min="2" max="3" width="18" customWidth="1"/>
    <col min="4" max="4" width="24" customWidth="1"/>
    <col min="5" max="5" width="20" customWidth="1"/>
    <col min="6" max="7" width="24" customWidth="1"/>
    <col min="8" max="8" width="34" customWidth="1"/>
    <col min="9" max="9" width="20" customWidth="1"/>
    <col min="10" max="10" width="36" customWidth="1"/>
    <col min="11" max="11" width="12" customWidth="1"/>
    <col min="12" max="12" width="14" customWidth="1"/>
    <col min="13" max="13" width="16" customWidth="1"/>
    <col min="14" max="14" width="23" customWidth="1"/>
    <col min="15" max="15" width="44" customWidth="1"/>
  </cols>
  <sheetData>
    <row r="1" spans="1:10" ht="24" customHeight="1" x14ac:dyDescent="0.2">
      <c r="A1" s="49" t="s">
        <v>100</v>
      </c>
      <c r="B1" s="50"/>
      <c r="C1" s="50"/>
      <c r="D1" s="50"/>
      <c r="E1" s="50"/>
      <c r="F1" s="50"/>
      <c r="G1" s="50"/>
      <c r="H1" s="50"/>
      <c r="I1" s="50"/>
      <c r="J1" s="50"/>
    </row>
    <row r="2" spans="1:10" ht="18" customHeight="1" x14ac:dyDescent="0.2">
      <c r="A2" s="59" t="s">
        <v>101</v>
      </c>
      <c r="B2" s="59"/>
      <c r="C2" s="59"/>
      <c r="D2" s="59"/>
      <c r="E2" s="59"/>
      <c r="F2" s="59"/>
      <c r="G2" s="59"/>
      <c r="H2" s="59"/>
      <c r="I2" s="59"/>
      <c r="J2" s="59"/>
    </row>
    <row r="3" spans="1:10" ht="18" customHeight="1" x14ac:dyDescent="0.2">
      <c r="A3" s="50"/>
      <c r="B3" s="50"/>
      <c r="C3" s="50"/>
      <c r="D3" s="50"/>
      <c r="E3" s="50"/>
      <c r="F3" s="50"/>
      <c r="G3" s="50"/>
      <c r="H3" s="50"/>
      <c r="I3" s="50"/>
      <c r="J3" s="50"/>
    </row>
    <row r="4" spans="1:10" ht="18" customHeight="1" x14ac:dyDescent="0.2">
      <c r="A4" s="51" t="s">
        <v>102</v>
      </c>
      <c r="B4" s="51"/>
      <c r="C4" s="51"/>
      <c r="D4" s="51"/>
      <c r="E4" s="51"/>
      <c r="F4" s="51"/>
      <c r="G4" s="51"/>
      <c r="H4" s="51"/>
      <c r="I4" s="51"/>
      <c r="J4" s="51"/>
    </row>
    <row r="5" spans="1:10" ht="18" customHeight="1" x14ac:dyDescent="0.2">
      <c r="A5" s="52" t="s">
        <v>15</v>
      </c>
      <c r="B5" s="52" t="s">
        <v>103</v>
      </c>
      <c r="C5" s="52" t="s">
        <v>104</v>
      </c>
      <c r="D5" s="52" t="s">
        <v>105</v>
      </c>
      <c r="E5" s="52" t="s">
        <v>106</v>
      </c>
      <c r="F5" s="52" t="s">
        <v>107</v>
      </c>
      <c r="G5" s="52" t="s">
        <v>108</v>
      </c>
      <c r="H5" s="52" t="s">
        <v>109</v>
      </c>
      <c r="I5" s="52"/>
      <c r="J5" s="52"/>
    </row>
    <row r="6" spans="1:10" ht="18" customHeight="1" x14ac:dyDescent="0.2">
      <c r="A6" s="50" t="s">
        <v>40</v>
      </c>
      <c r="B6" s="53">
        <v>0.08</v>
      </c>
      <c r="C6" s="53">
        <v>7.0000000000000007E-2</v>
      </c>
      <c r="D6" s="53">
        <v>0.06</v>
      </c>
      <c r="E6" s="53">
        <v>5.5E-2</v>
      </c>
      <c r="F6" s="53">
        <v>4.4999999999999998E-2</v>
      </c>
      <c r="G6" s="54" t="s">
        <v>110</v>
      </c>
      <c r="H6" s="54" t="s">
        <v>111</v>
      </c>
      <c r="I6" s="50"/>
      <c r="J6" s="50"/>
    </row>
    <row r="7" spans="1:10" ht="18" customHeight="1" x14ac:dyDescent="0.2">
      <c r="A7" s="50" t="s">
        <v>41</v>
      </c>
      <c r="B7" s="53">
        <v>0.06</v>
      </c>
      <c r="C7" s="53">
        <v>0.06</v>
      </c>
      <c r="D7" s="53">
        <v>0.05</v>
      </c>
      <c r="E7" s="53">
        <v>4.4999999999999998E-2</v>
      </c>
      <c r="F7" s="53">
        <v>3.5000000000000003E-2</v>
      </c>
      <c r="G7" s="54" t="s">
        <v>112</v>
      </c>
      <c r="H7" s="54" t="s">
        <v>113</v>
      </c>
      <c r="I7" s="50"/>
      <c r="J7" s="50"/>
    </row>
    <row r="8" spans="1:10" ht="18" customHeight="1" x14ac:dyDescent="0.2">
      <c r="A8" s="50" t="s">
        <v>42</v>
      </c>
      <c r="B8" s="53">
        <v>0.05</v>
      </c>
      <c r="C8" s="53">
        <v>7.0000000000000007E-2</v>
      </c>
      <c r="D8" s="53">
        <v>0.06</v>
      </c>
      <c r="E8" s="53">
        <v>0.05</v>
      </c>
      <c r="F8" s="53">
        <v>0.04</v>
      </c>
      <c r="G8" s="54" t="s">
        <v>114</v>
      </c>
      <c r="H8" s="54" t="s">
        <v>115</v>
      </c>
      <c r="I8" s="50"/>
      <c r="J8" s="50"/>
    </row>
    <row r="9" spans="1:10" ht="18" customHeight="1" x14ac:dyDescent="0.2">
      <c r="A9" s="50" t="s">
        <v>43</v>
      </c>
      <c r="B9" s="53">
        <v>0.05</v>
      </c>
      <c r="C9" s="53">
        <v>5.5E-2</v>
      </c>
      <c r="D9" s="53">
        <v>0.05</v>
      </c>
      <c r="E9" s="53">
        <v>4.4999999999999998E-2</v>
      </c>
      <c r="F9" s="53">
        <v>0.04</v>
      </c>
      <c r="G9" s="54" t="s">
        <v>112</v>
      </c>
      <c r="H9" s="54" t="s">
        <v>116</v>
      </c>
      <c r="I9" s="50"/>
      <c r="J9" s="50"/>
    </row>
    <row r="10" spans="1:10" ht="18" customHeight="1" x14ac:dyDescent="0.2">
      <c r="A10" s="50" t="s">
        <v>44</v>
      </c>
      <c r="B10" s="53">
        <v>0.08</v>
      </c>
      <c r="C10" s="53">
        <v>7.0000000000000007E-2</v>
      </c>
      <c r="D10" s="53">
        <v>0.06</v>
      </c>
      <c r="E10" s="53">
        <v>5.5E-2</v>
      </c>
      <c r="F10" s="53">
        <v>4.4999999999999998E-2</v>
      </c>
      <c r="G10" s="54" t="s">
        <v>117</v>
      </c>
      <c r="H10" s="54" t="s">
        <v>118</v>
      </c>
      <c r="I10" s="50"/>
      <c r="J10" s="50"/>
    </row>
    <row r="11" spans="1:10" ht="18" customHeight="1" x14ac:dyDescent="0.2">
      <c r="A11" s="50" t="s">
        <v>45</v>
      </c>
      <c r="B11" s="53">
        <v>0.05</v>
      </c>
      <c r="C11" s="53">
        <v>0.05</v>
      </c>
      <c r="D11" s="53">
        <v>4.4999999999999998E-2</v>
      </c>
      <c r="E11" s="53">
        <v>0.04</v>
      </c>
      <c r="F11" s="53">
        <v>3.5000000000000003E-2</v>
      </c>
      <c r="G11" s="54" t="s">
        <v>119</v>
      </c>
      <c r="H11" s="54" t="s">
        <v>120</v>
      </c>
      <c r="I11" s="50"/>
      <c r="J11" s="50"/>
    </row>
    <row r="12" spans="1:10" ht="18" customHeight="1" x14ac:dyDescent="0.2">
      <c r="A12" s="50" t="s">
        <v>48</v>
      </c>
      <c r="B12" s="53">
        <v>0.1</v>
      </c>
      <c r="C12" s="53">
        <v>0.09</v>
      </c>
      <c r="D12" s="53">
        <v>0.08</v>
      </c>
      <c r="E12" s="53">
        <v>7.0000000000000007E-2</v>
      </c>
      <c r="F12" s="53">
        <v>5.5E-2</v>
      </c>
      <c r="G12" s="54" t="s">
        <v>121</v>
      </c>
      <c r="H12" s="54" t="s">
        <v>122</v>
      </c>
      <c r="I12" s="50"/>
      <c r="J12" s="50"/>
    </row>
    <row r="13" spans="1:10" ht="18" customHeight="1" x14ac:dyDescent="0.2">
      <c r="A13" s="50" t="s">
        <v>49</v>
      </c>
      <c r="B13" s="53">
        <v>0.08</v>
      </c>
      <c r="C13" s="53">
        <v>0.08</v>
      </c>
      <c r="D13" s="53">
        <v>7.0000000000000007E-2</v>
      </c>
      <c r="E13" s="53">
        <v>0.06</v>
      </c>
      <c r="F13" s="53">
        <v>0.05</v>
      </c>
      <c r="G13" s="54" t="s">
        <v>121</v>
      </c>
      <c r="H13" s="54" t="s">
        <v>123</v>
      </c>
      <c r="I13" s="50"/>
      <c r="J13" s="50"/>
    </row>
    <row r="14" spans="1:10" ht="18" customHeight="1" x14ac:dyDescent="0.2">
      <c r="A14" s="50" t="s">
        <v>50</v>
      </c>
      <c r="B14" s="53">
        <v>0.45</v>
      </c>
      <c r="C14" s="53">
        <v>0.32</v>
      </c>
      <c r="D14" s="53">
        <v>0.24</v>
      </c>
      <c r="E14" s="53">
        <v>0.17</v>
      </c>
      <c r="F14" s="53">
        <v>0.1</v>
      </c>
      <c r="G14" s="54" t="s">
        <v>124</v>
      </c>
      <c r="H14" s="54" t="s">
        <v>125</v>
      </c>
      <c r="I14" s="50"/>
      <c r="J14" s="50"/>
    </row>
    <row r="15" spans="1:10" ht="18" customHeight="1" x14ac:dyDescent="0.2">
      <c r="A15" s="50" t="s">
        <v>51</v>
      </c>
      <c r="B15" s="53">
        <v>0.1</v>
      </c>
      <c r="C15" s="53">
        <v>0.1</v>
      </c>
      <c r="D15" s="53">
        <v>0.08</v>
      </c>
      <c r="E15" s="53">
        <v>7.0000000000000007E-2</v>
      </c>
      <c r="F15" s="53">
        <v>0.05</v>
      </c>
      <c r="G15" s="54" t="s">
        <v>126</v>
      </c>
      <c r="H15" s="54" t="s">
        <v>127</v>
      </c>
      <c r="I15" s="50"/>
      <c r="J15" s="50"/>
    </row>
    <row r="16" spans="1:10" ht="18" customHeight="1" x14ac:dyDescent="0.2">
      <c r="A16" s="50" t="s">
        <v>55</v>
      </c>
      <c r="B16" s="53">
        <v>0.18</v>
      </c>
      <c r="C16" s="53">
        <v>0.15</v>
      </c>
      <c r="D16" s="53">
        <v>0.12</v>
      </c>
      <c r="E16" s="53">
        <v>0.1</v>
      </c>
      <c r="F16" s="53">
        <v>7.0000000000000007E-2</v>
      </c>
      <c r="G16" s="54" t="s">
        <v>128</v>
      </c>
      <c r="H16" s="54" t="s">
        <v>129</v>
      </c>
      <c r="I16" s="50"/>
      <c r="J16" s="50"/>
    </row>
    <row r="17" spans="1:10" ht="18" customHeight="1" x14ac:dyDescent="0.2">
      <c r="A17" s="50" t="s">
        <v>56</v>
      </c>
      <c r="B17" s="53">
        <v>0.25</v>
      </c>
      <c r="C17" s="53">
        <v>0.2</v>
      </c>
      <c r="D17" s="53">
        <v>0.18</v>
      </c>
      <c r="E17" s="53">
        <v>0.14000000000000001</v>
      </c>
      <c r="F17" s="53">
        <v>0.1</v>
      </c>
      <c r="G17" s="54" t="s">
        <v>130</v>
      </c>
      <c r="H17" s="54" t="s">
        <v>131</v>
      </c>
      <c r="I17" s="50"/>
      <c r="J17" s="50"/>
    </row>
    <row r="18" spans="1:10" ht="18" customHeight="1" x14ac:dyDescent="0.2">
      <c r="A18" s="50" t="s">
        <v>57</v>
      </c>
      <c r="B18" s="53">
        <v>0.06</v>
      </c>
      <c r="C18" s="53">
        <v>0.06</v>
      </c>
      <c r="D18" s="53">
        <v>0.05</v>
      </c>
      <c r="E18" s="53">
        <v>0.04</v>
      </c>
      <c r="F18" s="53">
        <v>0.03</v>
      </c>
      <c r="G18" s="54" t="s">
        <v>132</v>
      </c>
      <c r="H18" s="54" t="s">
        <v>133</v>
      </c>
      <c r="I18" s="50"/>
      <c r="J18" s="50"/>
    </row>
    <row r="19" spans="1:10" ht="18" customHeight="1" x14ac:dyDescent="0.2">
      <c r="A19" s="50"/>
      <c r="B19" s="50"/>
      <c r="C19" s="50"/>
      <c r="D19" s="50"/>
      <c r="E19" s="50"/>
      <c r="F19" s="50"/>
      <c r="G19" s="50"/>
      <c r="H19" s="50"/>
      <c r="I19" s="50"/>
      <c r="J19" s="50"/>
    </row>
    <row r="20" spans="1:10" ht="18" customHeight="1" x14ac:dyDescent="0.2">
      <c r="A20" s="51" t="s">
        <v>134</v>
      </c>
      <c r="B20" s="51"/>
      <c r="C20" s="51"/>
      <c r="D20" s="51"/>
      <c r="E20" s="51"/>
      <c r="F20" s="51"/>
      <c r="G20" s="51"/>
      <c r="H20" s="51"/>
      <c r="I20" s="51"/>
      <c r="J20" s="51"/>
    </row>
    <row r="21" spans="1:10" ht="18" customHeight="1" x14ac:dyDescent="0.2">
      <c r="A21" s="52" t="s">
        <v>15</v>
      </c>
      <c r="B21" s="52" t="s">
        <v>135</v>
      </c>
      <c r="C21" s="52" t="s">
        <v>136</v>
      </c>
      <c r="D21" s="52" t="s">
        <v>137</v>
      </c>
      <c r="E21" s="52" t="s">
        <v>106</v>
      </c>
      <c r="F21" s="52" t="s">
        <v>107</v>
      </c>
      <c r="G21" s="52" t="s">
        <v>138</v>
      </c>
      <c r="H21" s="52" t="s">
        <v>139</v>
      </c>
      <c r="I21" s="50"/>
      <c r="J21" s="50"/>
    </row>
    <row r="22" spans="1:10" ht="18" customHeight="1" x14ac:dyDescent="0.2">
      <c r="A22" s="50" t="s">
        <v>60</v>
      </c>
      <c r="B22" s="55">
        <v>800</v>
      </c>
      <c r="C22" s="53">
        <v>0.25</v>
      </c>
      <c r="D22" s="53">
        <v>0.2</v>
      </c>
      <c r="E22" s="53">
        <v>0.15</v>
      </c>
      <c r="F22" s="53">
        <v>0.08</v>
      </c>
      <c r="G22" s="50" t="s">
        <v>140</v>
      </c>
      <c r="H22" s="50" t="s">
        <v>141</v>
      </c>
      <c r="I22" s="50"/>
      <c r="J22" s="50"/>
    </row>
    <row r="23" spans="1:10" ht="18" customHeight="1" x14ac:dyDescent="0.2">
      <c r="A23" s="50" t="s">
        <v>61</v>
      </c>
      <c r="B23" s="55">
        <v>400</v>
      </c>
      <c r="C23" s="53">
        <v>0.15</v>
      </c>
      <c r="D23" s="53">
        <v>0.1</v>
      </c>
      <c r="E23" s="53">
        <v>0.05</v>
      </c>
      <c r="F23" s="53">
        <v>0.02</v>
      </c>
      <c r="G23" s="50" t="s">
        <v>140</v>
      </c>
      <c r="H23" s="50" t="s">
        <v>142</v>
      </c>
      <c r="I23" s="50"/>
      <c r="J23" s="50"/>
    </row>
    <row r="24" spans="1:10" ht="18" customHeight="1" x14ac:dyDescent="0.2">
      <c r="A24" s="50"/>
      <c r="B24" s="50"/>
      <c r="C24" s="50"/>
      <c r="D24" s="50"/>
      <c r="E24" s="50"/>
      <c r="F24" s="50"/>
      <c r="G24" s="50"/>
      <c r="H24" s="50"/>
      <c r="I24" s="50"/>
      <c r="J24" s="50"/>
    </row>
    <row r="25" spans="1:10" ht="18" customHeight="1" x14ac:dyDescent="0.2">
      <c r="A25" s="50" t="s">
        <v>77</v>
      </c>
      <c r="B25" s="55">
        <v>550</v>
      </c>
      <c r="C25" s="53">
        <v>0.05</v>
      </c>
      <c r="D25" s="53">
        <v>0.05</v>
      </c>
      <c r="E25" s="53">
        <v>0.04</v>
      </c>
      <c r="F25" s="53">
        <v>0.03</v>
      </c>
      <c r="G25" s="50" t="s">
        <v>143</v>
      </c>
      <c r="H25" s="50" t="s">
        <v>144</v>
      </c>
      <c r="I25" s="50"/>
      <c r="J25" s="50"/>
    </row>
    <row r="26" spans="1:10" ht="18" customHeight="1" x14ac:dyDescent="0.2">
      <c r="A26" s="50"/>
      <c r="B26" s="50"/>
      <c r="C26" s="50"/>
      <c r="D26" s="50"/>
      <c r="E26" s="50"/>
      <c r="F26" s="50"/>
      <c r="G26" s="50"/>
      <c r="H26" s="50"/>
      <c r="I26" s="50"/>
      <c r="J26" s="50"/>
    </row>
    <row r="27" spans="1:10" ht="18" customHeight="1" x14ac:dyDescent="0.2">
      <c r="A27" s="50"/>
      <c r="B27" s="50"/>
      <c r="C27" s="50"/>
      <c r="D27" s="50"/>
      <c r="E27" s="50"/>
      <c r="F27" s="50"/>
      <c r="G27" s="50"/>
      <c r="H27" s="50"/>
      <c r="I27" s="50"/>
      <c r="J27" s="50"/>
    </row>
    <row r="28" spans="1:10" ht="18" customHeight="1" x14ac:dyDescent="0.2">
      <c r="A28" s="51" t="s">
        <v>145</v>
      </c>
      <c r="B28" s="51"/>
      <c r="C28" s="51"/>
      <c r="D28" s="51"/>
      <c r="E28" s="51"/>
      <c r="F28" s="51"/>
      <c r="G28" s="51"/>
      <c r="H28" s="51"/>
      <c r="I28" s="51"/>
      <c r="J28" s="51"/>
    </row>
    <row r="29" spans="1:10" ht="43.5" customHeight="1" x14ac:dyDescent="0.2">
      <c r="A29" s="52" t="s">
        <v>146</v>
      </c>
      <c r="B29" s="52" t="s">
        <v>147</v>
      </c>
      <c r="C29" s="52" t="s">
        <v>148</v>
      </c>
      <c r="D29" s="52" t="s">
        <v>149</v>
      </c>
      <c r="E29" s="52" t="s">
        <v>150</v>
      </c>
      <c r="F29" s="52" t="s">
        <v>151</v>
      </c>
      <c r="G29" s="52" t="s">
        <v>152</v>
      </c>
      <c r="H29" s="52" t="s">
        <v>153</v>
      </c>
      <c r="I29" s="52" t="s">
        <v>154</v>
      </c>
      <c r="J29" s="52" t="s">
        <v>155</v>
      </c>
    </row>
    <row r="30" spans="1:10" ht="31.5" customHeight="1" x14ac:dyDescent="0.2">
      <c r="A30" s="50" t="s">
        <v>52</v>
      </c>
      <c r="B30" s="50" t="s">
        <v>156</v>
      </c>
      <c r="C30" s="55">
        <v>2027</v>
      </c>
      <c r="D30" s="55">
        <v>2500</v>
      </c>
      <c r="E30" s="55">
        <v>6</v>
      </c>
      <c r="F30" s="53">
        <v>0.03</v>
      </c>
      <c r="G30" s="53">
        <v>0.5</v>
      </c>
      <c r="H30" s="53">
        <v>0</v>
      </c>
      <c r="I30" s="53">
        <v>0.4</v>
      </c>
      <c r="J30" s="54" t="s">
        <v>157</v>
      </c>
    </row>
    <row r="31" spans="1:10" ht="57.75" customHeight="1" x14ac:dyDescent="0.2">
      <c r="A31" s="50" t="s">
        <v>62</v>
      </c>
      <c r="B31" s="50" t="s">
        <v>64</v>
      </c>
      <c r="C31" s="55">
        <v>2027</v>
      </c>
      <c r="D31" s="55">
        <v>2000</v>
      </c>
      <c r="E31" s="55">
        <v>6</v>
      </c>
      <c r="F31" s="53">
        <v>0.02</v>
      </c>
      <c r="G31" s="53">
        <v>0.5</v>
      </c>
      <c r="H31" s="53">
        <v>0</v>
      </c>
      <c r="I31" s="53">
        <v>0.4</v>
      </c>
      <c r="J31" s="54" t="s">
        <v>158</v>
      </c>
    </row>
    <row r="32" spans="1:10" ht="57.75" customHeight="1" x14ac:dyDescent="0.2">
      <c r="A32" s="50" t="s">
        <v>66</v>
      </c>
      <c r="B32" s="50" t="s">
        <v>159</v>
      </c>
      <c r="C32" s="55">
        <v>2027</v>
      </c>
      <c r="D32" s="55">
        <v>3500</v>
      </c>
      <c r="E32" s="55">
        <v>7</v>
      </c>
      <c r="F32" s="53">
        <v>0.03</v>
      </c>
      <c r="G32" s="53">
        <v>0.5</v>
      </c>
      <c r="H32" s="53">
        <v>0</v>
      </c>
      <c r="I32" s="53">
        <v>0</v>
      </c>
      <c r="J32" s="54" t="s">
        <v>160</v>
      </c>
    </row>
    <row r="33" spans="1:10" ht="57.75" customHeight="1" x14ac:dyDescent="0.2">
      <c r="A33" s="50" t="s">
        <v>63</v>
      </c>
      <c r="B33" s="50" t="s">
        <v>64</v>
      </c>
      <c r="C33" s="55">
        <v>2029</v>
      </c>
      <c r="D33" s="55">
        <v>1500</v>
      </c>
      <c r="E33" s="55">
        <v>6</v>
      </c>
      <c r="F33" s="53">
        <v>0.02</v>
      </c>
      <c r="G33" s="53">
        <v>0.5</v>
      </c>
      <c r="H33" s="53">
        <v>0</v>
      </c>
      <c r="I33" s="53">
        <v>0</v>
      </c>
      <c r="J33" s="54" t="s">
        <v>161</v>
      </c>
    </row>
    <row r="34" spans="1:10" ht="57.75" customHeight="1" x14ac:dyDescent="0.2">
      <c r="A34" s="50"/>
      <c r="B34" s="50"/>
      <c r="C34" s="50"/>
      <c r="D34" s="50"/>
      <c r="E34" s="50"/>
      <c r="F34" s="50"/>
      <c r="G34" s="50"/>
      <c r="H34" s="50"/>
      <c r="I34" s="50"/>
      <c r="J34" s="50"/>
    </row>
    <row r="35" spans="1:10" ht="18" customHeight="1" x14ac:dyDescent="0.2">
      <c r="A35" s="51" t="s">
        <v>162</v>
      </c>
      <c r="B35" s="51"/>
      <c r="C35" s="51"/>
      <c r="D35" s="51"/>
      <c r="E35" s="51"/>
      <c r="F35" s="51"/>
      <c r="G35" s="51"/>
      <c r="H35" s="51"/>
      <c r="I35" s="51"/>
      <c r="J35" s="51"/>
    </row>
    <row r="36" spans="1:10" ht="57.75" customHeight="1" x14ac:dyDescent="0.2">
      <c r="A36" s="52" t="s">
        <v>146</v>
      </c>
      <c r="B36" s="52" t="s">
        <v>147</v>
      </c>
      <c r="C36" s="52" t="s">
        <v>148</v>
      </c>
      <c r="D36" s="52" t="s">
        <v>163</v>
      </c>
      <c r="E36" s="52" t="s">
        <v>164</v>
      </c>
      <c r="F36" s="52" t="s">
        <v>165</v>
      </c>
      <c r="G36" s="52" t="s">
        <v>150</v>
      </c>
      <c r="H36" s="52" t="s">
        <v>151</v>
      </c>
      <c r="I36" s="52" t="s">
        <v>152</v>
      </c>
      <c r="J36" s="52" t="s">
        <v>139</v>
      </c>
    </row>
    <row r="37" spans="1:10" ht="57.75" customHeight="1" x14ac:dyDescent="0.2">
      <c r="A37" s="50" t="s">
        <v>69</v>
      </c>
      <c r="B37" s="50" t="s">
        <v>166</v>
      </c>
      <c r="C37" s="55">
        <v>2032</v>
      </c>
      <c r="D37" s="55">
        <v>800</v>
      </c>
      <c r="E37" s="53">
        <v>0.55000000000000004</v>
      </c>
      <c r="F37" s="50">
        <f t="shared" ref="F37:F42" si="0">D37*E37</f>
        <v>440.00000000000006</v>
      </c>
      <c r="G37" s="55">
        <v>5</v>
      </c>
      <c r="H37" s="53">
        <v>0.02</v>
      </c>
      <c r="I37" s="53">
        <v>0.5</v>
      </c>
      <c r="J37" s="54" t="s">
        <v>167</v>
      </c>
    </row>
    <row r="38" spans="1:10" ht="57.75" customHeight="1" x14ac:dyDescent="0.2">
      <c r="A38" s="50" t="s">
        <v>168</v>
      </c>
      <c r="B38" s="50" t="s">
        <v>169</v>
      </c>
      <c r="C38" s="55">
        <v>2033</v>
      </c>
      <c r="D38" s="55">
        <v>1500</v>
      </c>
      <c r="E38" s="53">
        <v>0.4</v>
      </c>
      <c r="F38" s="50">
        <f t="shared" si="0"/>
        <v>600</v>
      </c>
      <c r="G38" s="55">
        <v>5</v>
      </c>
      <c r="H38" s="53">
        <v>0.03</v>
      </c>
      <c r="I38" s="53">
        <v>0.5</v>
      </c>
      <c r="J38" s="54" t="s">
        <v>170</v>
      </c>
    </row>
    <row r="39" spans="1:10" ht="57.75" customHeight="1" x14ac:dyDescent="0.2">
      <c r="A39" s="50" t="s">
        <v>71</v>
      </c>
      <c r="B39" s="50" t="s">
        <v>171</v>
      </c>
      <c r="C39" s="55">
        <v>2031</v>
      </c>
      <c r="D39" s="55">
        <v>2200</v>
      </c>
      <c r="E39" s="53">
        <v>0.5</v>
      </c>
      <c r="F39" s="50">
        <f t="shared" si="0"/>
        <v>1100</v>
      </c>
      <c r="G39" s="55">
        <v>6</v>
      </c>
      <c r="H39" s="53">
        <v>0.03</v>
      </c>
      <c r="I39" s="53">
        <v>0.5</v>
      </c>
      <c r="J39" s="54" t="s">
        <v>172</v>
      </c>
    </row>
    <row r="40" spans="1:10" ht="57.75" customHeight="1" x14ac:dyDescent="0.2">
      <c r="A40" s="50" t="s">
        <v>72</v>
      </c>
      <c r="B40" s="50" t="s">
        <v>173</v>
      </c>
      <c r="C40" s="55">
        <v>2034</v>
      </c>
      <c r="D40" s="55">
        <v>1000</v>
      </c>
      <c r="E40" s="53">
        <v>0.3</v>
      </c>
      <c r="F40" s="50">
        <f t="shared" si="0"/>
        <v>300</v>
      </c>
      <c r="G40" s="55">
        <v>5</v>
      </c>
      <c r="H40" s="53">
        <v>0.03</v>
      </c>
      <c r="I40" s="53">
        <v>0.5</v>
      </c>
      <c r="J40" s="54" t="s">
        <v>174</v>
      </c>
    </row>
    <row r="41" spans="1:10" ht="18" customHeight="1" x14ac:dyDescent="0.2">
      <c r="A41" s="50" t="s">
        <v>73</v>
      </c>
      <c r="B41" s="50" t="s">
        <v>175</v>
      </c>
      <c r="C41" s="55">
        <v>2035</v>
      </c>
      <c r="D41" s="55">
        <v>1000</v>
      </c>
      <c r="E41" s="53">
        <v>0.2</v>
      </c>
      <c r="F41" s="50">
        <f t="shared" si="0"/>
        <v>200</v>
      </c>
      <c r="G41" s="55">
        <v>5</v>
      </c>
      <c r="H41" s="53">
        <v>0.03</v>
      </c>
      <c r="I41" s="53">
        <v>0.5</v>
      </c>
      <c r="J41" s="54" t="s">
        <v>176</v>
      </c>
    </row>
    <row r="42" spans="1:10" ht="19.5" customHeight="1" x14ac:dyDescent="0.2">
      <c r="A42" s="50" t="s">
        <v>177</v>
      </c>
      <c r="B42" s="50" t="s">
        <v>178</v>
      </c>
      <c r="C42" s="55">
        <v>9999</v>
      </c>
      <c r="D42" s="55">
        <v>0</v>
      </c>
      <c r="E42" s="53">
        <v>0</v>
      </c>
      <c r="F42" s="50">
        <f t="shared" si="0"/>
        <v>0</v>
      </c>
      <c r="G42" s="55">
        <v>5</v>
      </c>
      <c r="H42" s="53">
        <v>0</v>
      </c>
      <c r="I42" s="53">
        <v>0.5</v>
      </c>
      <c r="J42" s="54" t="s">
        <v>179</v>
      </c>
    </row>
    <row r="43" spans="1:10" ht="31.5" customHeight="1" x14ac:dyDescent="0.2">
      <c r="A43" s="50"/>
      <c r="B43" s="50"/>
      <c r="C43" s="50"/>
      <c r="D43" s="50"/>
      <c r="E43" s="50"/>
      <c r="F43" s="50"/>
      <c r="G43" s="50"/>
      <c r="H43" s="50"/>
      <c r="I43" s="50"/>
      <c r="J43" s="50"/>
    </row>
    <row r="44" spans="1:10" ht="18" customHeight="1" x14ac:dyDescent="0.2">
      <c r="A44" s="51" t="s">
        <v>180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39.75" customHeight="1" x14ac:dyDescent="0.2">
      <c r="A45" s="50" t="s">
        <v>181</v>
      </c>
      <c r="B45" s="53">
        <v>0.214</v>
      </c>
      <c r="C45" s="53">
        <v>0.26300000000000001</v>
      </c>
      <c r="D45" s="53">
        <v>0.26300000000000001</v>
      </c>
      <c r="E45" s="53">
        <v>0.26</v>
      </c>
      <c r="F45" s="50" t="s">
        <v>182</v>
      </c>
      <c r="G45" s="50"/>
      <c r="H45" s="50"/>
      <c r="I45" s="50"/>
      <c r="J45" s="50"/>
    </row>
    <row r="46" spans="1:10" ht="39.75" customHeight="1" x14ac:dyDescent="0.2">
      <c r="A46" s="50"/>
      <c r="B46" s="50"/>
      <c r="C46" s="50"/>
      <c r="D46" s="50"/>
      <c r="E46" s="50"/>
      <c r="F46" s="50"/>
      <c r="G46" s="50"/>
      <c r="H46" s="50"/>
      <c r="I46" s="50"/>
      <c r="J46" s="50"/>
    </row>
    <row r="47" spans="1:10" ht="18" customHeight="1" x14ac:dyDescent="0.2">
      <c r="A47" s="51" t="s">
        <v>183</v>
      </c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39.75" customHeight="1" x14ac:dyDescent="0.2">
      <c r="A48" s="52" t="s">
        <v>15</v>
      </c>
      <c r="B48" s="52" t="s">
        <v>184</v>
      </c>
      <c r="C48" s="52" t="s">
        <v>185</v>
      </c>
      <c r="D48" s="52" t="s">
        <v>186</v>
      </c>
      <c r="E48" s="52" t="s">
        <v>187</v>
      </c>
      <c r="F48" s="52" t="s">
        <v>188</v>
      </c>
      <c r="G48" s="50"/>
      <c r="H48" s="50"/>
      <c r="I48" s="50"/>
      <c r="J48" s="50"/>
    </row>
    <row r="49" spans="1:10" ht="34" customHeight="1" x14ac:dyDescent="0.2">
      <c r="A49" s="50" t="s">
        <v>40</v>
      </c>
      <c r="B49" s="55">
        <v>9000</v>
      </c>
      <c r="C49" s="50" t="s">
        <v>189</v>
      </c>
      <c r="D49" s="54" t="s">
        <v>190</v>
      </c>
      <c r="E49" s="54" t="s">
        <v>191</v>
      </c>
      <c r="F49" s="54" t="s">
        <v>192</v>
      </c>
      <c r="G49" s="50"/>
      <c r="H49" s="50"/>
      <c r="I49" s="50"/>
      <c r="J49" s="50"/>
    </row>
    <row r="50" spans="1:10" ht="34" customHeight="1" x14ac:dyDescent="0.2">
      <c r="A50" s="50" t="s">
        <v>41</v>
      </c>
      <c r="B50" s="55">
        <v>2300</v>
      </c>
      <c r="C50" s="50" t="s">
        <v>189</v>
      </c>
      <c r="D50" s="54" t="s">
        <v>193</v>
      </c>
      <c r="E50" s="54" t="s">
        <v>194</v>
      </c>
      <c r="F50" s="54" t="s">
        <v>195</v>
      </c>
      <c r="G50" s="50"/>
      <c r="H50" s="50"/>
      <c r="I50" s="50"/>
      <c r="J50" s="50"/>
    </row>
    <row r="51" spans="1:10" ht="34" customHeight="1" x14ac:dyDescent="0.2">
      <c r="A51" s="50" t="s">
        <v>42</v>
      </c>
      <c r="B51" s="55">
        <v>3100</v>
      </c>
      <c r="C51" s="50" t="s">
        <v>189</v>
      </c>
      <c r="D51" s="54" t="s">
        <v>196</v>
      </c>
      <c r="E51" s="54" t="s">
        <v>194</v>
      </c>
      <c r="F51" s="54" t="s">
        <v>195</v>
      </c>
      <c r="G51" s="50"/>
      <c r="H51" s="50"/>
      <c r="I51" s="50"/>
      <c r="J51" s="50"/>
    </row>
    <row r="52" spans="1:10" ht="34" customHeight="1" x14ac:dyDescent="0.2">
      <c r="A52" s="50" t="s">
        <v>43</v>
      </c>
      <c r="B52" s="55">
        <v>1700</v>
      </c>
      <c r="C52" s="50" t="s">
        <v>189</v>
      </c>
      <c r="D52" s="54" t="s">
        <v>197</v>
      </c>
      <c r="E52" s="54" t="s">
        <v>194</v>
      </c>
      <c r="F52" s="54" t="s">
        <v>195</v>
      </c>
      <c r="G52" s="50"/>
      <c r="H52" s="50"/>
      <c r="I52" s="50"/>
      <c r="J52" s="50"/>
    </row>
    <row r="53" spans="1:10" ht="34" customHeight="1" x14ac:dyDescent="0.2">
      <c r="A53" s="50" t="s">
        <v>44</v>
      </c>
      <c r="B53" s="55">
        <v>4500</v>
      </c>
      <c r="C53" s="50" t="s">
        <v>189</v>
      </c>
      <c r="D53" s="54" t="s">
        <v>198</v>
      </c>
      <c r="E53" s="54" t="s">
        <v>194</v>
      </c>
      <c r="F53" s="54" t="s">
        <v>199</v>
      </c>
      <c r="G53" s="50"/>
      <c r="H53" s="50"/>
      <c r="I53" s="50"/>
      <c r="J53" s="50"/>
    </row>
    <row r="54" spans="1:10" ht="34" customHeight="1" x14ac:dyDescent="0.2">
      <c r="A54" s="50" t="s">
        <v>45</v>
      </c>
      <c r="B54" s="55">
        <v>8072.7</v>
      </c>
      <c r="C54" s="50" t="s">
        <v>200</v>
      </c>
      <c r="D54" s="54" t="s">
        <v>201</v>
      </c>
      <c r="E54" s="54" t="s">
        <v>194</v>
      </c>
      <c r="F54" s="54" t="s">
        <v>202</v>
      </c>
      <c r="G54" s="50"/>
      <c r="H54" s="50"/>
      <c r="I54" s="50"/>
      <c r="J54" s="50"/>
    </row>
    <row r="55" spans="1:10" ht="34" customHeight="1" x14ac:dyDescent="0.2">
      <c r="A55" s="50" t="s">
        <v>48</v>
      </c>
      <c r="B55" s="55">
        <v>5200</v>
      </c>
      <c r="C55" s="50" t="s">
        <v>189</v>
      </c>
      <c r="D55" s="54" t="s">
        <v>203</v>
      </c>
      <c r="E55" s="54" t="s">
        <v>204</v>
      </c>
      <c r="F55" s="54" t="s">
        <v>205</v>
      </c>
      <c r="G55" s="50"/>
      <c r="H55" s="50"/>
      <c r="I55" s="50"/>
      <c r="J55" s="50"/>
    </row>
    <row r="56" spans="1:10" ht="34" customHeight="1" x14ac:dyDescent="0.2">
      <c r="A56" s="50" t="s">
        <v>49</v>
      </c>
      <c r="B56" s="55">
        <v>800</v>
      </c>
      <c r="C56" s="50" t="s">
        <v>189</v>
      </c>
      <c r="D56" s="54" t="s">
        <v>206</v>
      </c>
      <c r="E56" s="54" t="s">
        <v>204</v>
      </c>
      <c r="F56" s="54" t="s">
        <v>205</v>
      </c>
      <c r="G56" s="50"/>
      <c r="H56" s="50"/>
      <c r="I56" s="50"/>
      <c r="J56" s="50"/>
    </row>
    <row r="57" spans="1:10" ht="34" customHeight="1" x14ac:dyDescent="0.2">
      <c r="A57" s="50" t="s">
        <v>50</v>
      </c>
      <c r="B57" s="55">
        <v>1100</v>
      </c>
      <c r="C57" s="50" t="s">
        <v>189</v>
      </c>
      <c r="D57" s="54" t="s">
        <v>207</v>
      </c>
      <c r="E57" s="54" t="s">
        <v>204</v>
      </c>
      <c r="F57" s="54" t="s">
        <v>208</v>
      </c>
      <c r="G57" s="50"/>
      <c r="H57" s="50"/>
      <c r="I57" s="50"/>
      <c r="J57" s="50"/>
    </row>
    <row r="58" spans="1:10" ht="34" customHeight="1" x14ac:dyDescent="0.2">
      <c r="A58" s="50" t="s">
        <v>51</v>
      </c>
      <c r="B58" s="55">
        <v>215</v>
      </c>
      <c r="C58" s="50" t="s">
        <v>200</v>
      </c>
      <c r="D58" s="54" t="s">
        <v>209</v>
      </c>
      <c r="E58" s="54" t="s">
        <v>204</v>
      </c>
      <c r="F58" s="54" t="s">
        <v>195</v>
      </c>
      <c r="G58" s="50"/>
      <c r="H58" s="50"/>
      <c r="I58" s="50"/>
      <c r="J58" s="50"/>
    </row>
    <row r="59" spans="1:10" ht="34" customHeight="1" x14ac:dyDescent="0.2">
      <c r="A59" s="50" t="s">
        <v>55</v>
      </c>
      <c r="B59" s="55">
        <v>620</v>
      </c>
      <c r="C59" s="50" t="s">
        <v>210</v>
      </c>
      <c r="D59" s="54" t="s">
        <v>211</v>
      </c>
      <c r="E59" s="54" t="s">
        <v>212</v>
      </c>
      <c r="F59" s="54" t="s">
        <v>213</v>
      </c>
      <c r="G59" s="50"/>
      <c r="H59" s="50"/>
      <c r="I59" s="50"/>
      <c r="J59" s="50"/>
    </row>
    <row r="60" spans="1:10" ht="34" customHeight="1" x14ac:dyDescent="0.2">
      <c r="A60" s="50" t="s">
        <v>56</v>
      </c>
      <c r="B60" s="55">
        <v>250</v>
      </c>
      <c r="C60" s="50" t="s">
        <v>214</v>
      </c>
      <c r="D60" s="54" t="s">
        <v>215</v>
      </c>
      <c r="E60" s="54" t="s">
        <v>212</v>
      </c>
      <c r="F60" s="54" t="s">
        <v>216</v>
      </c>
      <c r="G60" s="50"/>
      <c r="H60" s="50"/>
      <c r="I60" s="50"/>
      <c r="J60" s="50"/>
    </row>
    <row r="61" spans="1:10" ht="34" customHeight="1" x14ac:dyDescent="0.2">
      <c r="A61" s="50" t="s">
        <v>57</v>
      </c>
      <c r="B61" s="55">
        <v>930</v>
      </c>
      <c r="C61" s="50" t="s">
        <v>200</v>
      </c>
      <c r="D61" s="54" t="s">
        <v>217</v>
      </c>
      <c r="E61" s="54" t="s">
        <v>212</v>
      </c>
      <c r="F61" s="54" t="s">
        <v>218</v>
      </c>
      <c r="G61" s="50"/>
      <c r="H61" s="50"/>
      <c r="I61" s="50"/>
      <c r="J61" s="50"/>
    </row>
    <row r="62" spans="1:10" ht="34" customHeight="1" x14ac:dyDescent="0.2">
      <c r="A62" s="50" t="s">
        <v>60</v>
      </c>
      <c r="B62" s="55">
        <v>70</v>
      </c>
      <c r="C62" s="50" t="s">
        <v>219</v>
      </c>
      <c r="D62" s="54" t="s">
        <v>220</v>
      </c>
      <c r="E62" s="54" t="s">
        <v>221</v>
      </c>
      <c r="F62" s="54" t="s">
        <v>222</v>
      </c>
      <c r="G62" s="50"/>
      <c r="H62" s="50"/>
      <c r="I62" s="50"/>
      <c r="J62" s="50"/>
    </row>
    <row r="63" spans="1:10" ht="34" customHeight="1" x14ac:dyDescent="0.2">
      <c r="A63" s="50" t="s">
        <v>61</v>
      </c>
      <c r="B63" s="55">
        <v>44</v>
      </c>
      <c r="C63" s="50" t="s">
        <v>219</v>
      </c>
      <c r="D63" s="54" t="s">
        <v>220</v>
      </c>
      <c r="E63" s="54" t="s">
        <v>221</v>
      </c>
      <c r="F63" s="54" t="s">
        <v>222</v>
      </c>
      <c r="G63" s="50"/>
      <c r="H63" s="50"/>
      <c r="I63" s="50"/>
      <c r="J63" s="50"/>
    </row>
    <row r="64" spans="1:10" ht="34" customHeight="1" x14ac:dyDescent="0.2">
      <c r="A64" s="50" t="s">
        <v>77</v>
      </c>
      <c r="B64" s="55">
        <v>315</v>
      </c>
      <c r="C64" s="50" t="s">
        <v>223</v>
      </c>
      <c r="D64" s="54" t="s">
        <v>224</v>
      </c>
      <c r="E64" s="54" t="s">
        <v>225</v>
      </c>
      <c r="F64" s="54" t="s">
        <v>226</v>
      </c>
      <c r="G64" s="50"/>
      <c r="H64" s="50"/>
      <c r="I64" s="50"/>
      <c r="J64" s="50"/>
    </row>
    <row r="65" spans="1:10" ht="36" customHeight="1" x14ac:dyDescent="0.2">
      <c r="A65" s="50"/>
      <c r="B65" s="50"/>
      <c r="C65" s="50"/>
      <c r="D65" s="50"/>
      <c r="E65" s="50"/>
      <c r="F65" s="50"/>
      <c r="G65" s="50"/>
      <c r="H65" s="50"/>
      <c r="I65" s="50"/>
      <c r="J65" s="50"/>
    </row>
    <row r="66" spans="1:10" ht="36" customHeight="1" x14ac:dyDescent="0.2">
      <c r="A66" s="50"/>
      <c r="B66" s="50"/>
      <c r="C66" s="50"/>
      <c r="D66" s="50"/>
      <c r="E66" s="50"/>
      <c r="F66" s="50"/>
      <c r="G66" s="50"/>
      <c r="H66" s="50"/>
      <c r="I66" s="50"/>
      <c r="J66" s="50"/>
    </row>
    <row r="67" spans="1:10" ht="18" customHeight="1" x14ac:dyDescent="0.2">
      <c r="A67" s="51" t="s">
        <v>227</v>
      </c>
      <c r="B67" s="51"/>
      <c r="C67" s="51"/>
      <c r="D67" s="51"/>
      <c r="E67" s="51"/>
      <c r="F67" s="51"/>
      <c r="G67" s="51"/>
      <c r="H67" s="51"/>
      <c r="I67" s="51"/>
      <c r="J67" s="51"/>
    </row>
    <row r="68" spans="1:10" ht="36" customHeight="1" x14ac:dyDescent="0.2">
      <c r="A68" s="52" t="s">
        <v>146</v>
      </c>
      <c r="B68" s="52" t="s">
        <v>228</v>
      </c>
      <c r="C68" s="52" t="s">
        <v>147</v>
      </c>
      <c r="D68" s="52" t="s">
        <v>229</v>
      </c>
      <c r="E68" s="52" t="s">
        <v>230</v>
      </c>
      <c r="F68" s="52" t="s">
        <v>231</v>
      </c>
      <c r="G68" s="52" t="s">
        <v>232</v>
      </c>
      <c r="H68" s="52" t="s">
        <v>233</v>
      </c>
      <c r="I68" s="52" t="s">
        <v>234</v>
      </c>
      <c r="J68" s="52" t="s">
        <v>235</v>
      </c>
    </row>
    <row r="69" spans="1:10" ht="40" customHeight="1" x14ac:dyDescent="0.2">
      <c r="A69" s="50" t="s">
        <v>236</v>
      </c>
      <c r="B69" s="50" t="s">
        <v>62</v>
      </c>
      <c r="C69" s="50" t="s">
        <v>64</v>
      </c>
      <c r="D69" s="54" t="s">
        <v>237</v>
      </c>
      <c r="E69" s="54" t="s">
        <v>238</v>
      </c>
      <c r="F69" s="54" t="s">
        <v>239</v>
      </c>
      <c r="G69" s="54">
        <v>2027</v>
      </c>
      <c r="H69" s="54" t="s">
        <v>240</v>
      </c>
      <c r="I69" s="54" t="s">
        <v>241</v>
      </c>
      <c r="J69" s="54" t="s">
        <v>242</v>
      </c>
    </row>
    <row r="70" spans="1:10" ht="40" customHeight="1" x14ac:dyDescent="0.2">
      <c r="A70" s="50" t="s">
        <v>243</v>
      </c>
      <c r="B70" s="50" t="s">
        <v>60</v>
      </c>
      <c r="C70" s="50" t="s">
        <v>64</v>
      </c>
      <c r="D70" s="54" t="s">
        <v>244</v>
      </c>
      <c r="E70" s="54" t="s">
        <v>245</v>
      </c>
      <c r="F70" s="54" t="s">
        <v>246</v>
      </c>
      <c r="G70" s="54">
        <v>2026</v>
      </c>
      <c r="H70" s="54" t="s">
        <v>247</v>
      </c>
      <c r="I70" s="54" t="s">
        <v>248</v>
      </c>
      <c r="J70" s="54" t="s">
        <v>249</v>
      </c>
    </row>
    <row r="71" spans="1:10" ht="40" customHeight="1" x14ac:dyDescent="0.2">
      <c r="A71" s="50" t="s">
        <v>250</v>
      </c>
      <c r="B71" s="50" t="s">
        <v>61</v>
      </c>
      <c r="C71" s="50" t="s">
        <v>64</v>
      </c>
      <c r="D71" s="54" t="s">
        <v>251</v>
      </c>
      <c r="E71" s="54" t="s">
        <v>252</v>
      </c>
      <c r="F71" s="54" t="s">
        <v>253</v>
      </c>
      <c r="G71" s="54">
        <v>2026</v>
      </c>
      <c r="H71" s="54" t="s">
        <v>247</v>
      </c>
      <c r="I71" s="54" t="s">
        <v>254</v>
      </c>
      <c r="J71" s="54" t="s">
        <v>249</v>
      </c>
    </row>
    <row r="72" spans="1:10" ht="40" customHeight="1" x14ac:dyDescent="0.2">
      <c r="A72" s="50" t="s">
        <v>255</v>
      </c>
      <c r="B72" s="50" t="s">
        <v>63</v>
      </c>
      <c r="C72" s="50" t="s">
        <v>64</v>
      </c>
      <c r="D72" s="54" t="s">
        <v>256</v>
      </c>
      <c r="E72" s="54" t="s">
        <v>257</v>
      </c>
      <c r="F72" s="54" t="s">
        <v>258</v>
      </c>
      <c r="G72" s="54">
        <v>2029</v>
      </c>
      <c r="H72" s="54" t="s">
        <v>259</v>
      </c>
      <c r="I72" s="54" t="s">
        <v>260</v>
      </c>
      <c r="J72" s="54" t="s">
        <v>242</v>
      </c>
    </row>
    <row r="73" spans="1:10" ht="40" customHeight="1" x14ac:dyDescent="0.2">
      <c r="A73" s="50" t="s">
        <v>261</v>
      </c>
      <c r="B73" s="50" t="s">
        <v>262</v>
      </c>
      <c r="C73" s="50" t="s">
        <v>159</v>
      </c>
      <c r="D73" s="54" t="s">
        <v>263</v>
      </c>
      <c r="E73" s="54" t="s">
        <v>264</v>
      </c>
      <c r="F73" s="54" t="s">
        <v>265</v>
      </c>
      <c r="G73" s="54">
        <v>2027</v>
      </c>
      <c r="H73" s="54" t="s">
        <v>266</v>
      </c>
      <c r="I73" s="54" t="s">
        <v>267</v>
      </c>
      <c r="J73" s="54" t="s">
        <v>268</v>
      </c>
    </row>
    <row r="74" spans="1:10" ht="40" customHeight="1" x14ac:dyDescent="0.2">
      <c r="A74" s="50" t="s">
        <v>69</v>
      </c>
      <c r="B74" s="50" t="s">
        <v>269</v>
      </c>
      <c r="C74" s="50" t="s">
        <v>64</v>
      </c>
      <c r="D74" s="54" t="s">
        <v>166</v>
      </c>
      <c r="E74" s="54" t="s">
        <v>270</v>
      </c>
      <c r="F74" s="54" t="s">
        <v>271</v>
      </c>
      <c r="G74" s="54">
        <v>2032</v>
      </c>
      <c r="H74" s="54" t="s">
        <v>272</v>
      </c>
      <c r="I74" s="54" t="s">
        <v>273</v>
      </c>
      <c r="J74" s="54" t="s">
        <v>274</v>
      </c>
    </row>
    <row r="75" spans="1:10" ht="40" customHeight="1" x14ac:dyDescent="0.2">
      <c r="A75" s="50" t="s">
        <v>168</v>
      </c>
      <c r="B75" s="50" t="s">
        <v>275</v>
      </c>
      <c r="C75" s="50" t="s">
        <v>64</v>
      </c>
      <c r="D75" s="54" t="s">
        <v>169</v>
      </c>
      <c r="E75" s="54" t="s">
        <v>276</v>
      </c>
      <c r="F75" s="54" t="s">
        <v>277</v>
      </c>
      <c r="G75" s="54">
        <v>2033</v>
      </c>
      <c r="H75" s="54" t="s">
        <v>272</v>
      </c>
      <c r="I75" s="54" t="s">
        <v>278</v>
      </c>
      <c r="J75" s="54" t="s">
        <v>279</v>
      </c>
    </row>
    <row r="76" spans="1:10" ht="40" customHeight="1" x14ac:dyDescent="0.2">
      <c r="A76" s="50" t="s">
        <v>71</v>
      </c>
      <c r="B76" s="50" t="s">
        <v>280</v>
      </c>
      <c r="C76" s="50" t="s">
        <v>175</v>
      </c>
      <c r="D76" s="54" t="s">
        <v>281</v>
      </c>
      <c r="E76" s="54" t="s">
        <v>270</v>
      </c>
      <c r="F76" s="54" t="s">
        <v>282</v>
      </c>
      <c r="G76" s="54">
        <v>2031</v>
      </c>
      <c r="H76" s="54" t="s">
        <v>272</v>
      </c>
      <c r="I76" s="54" t="s">
        <v>283</v>
      </c>
      <c r="J76" s="54" t="s">
        <v>279</v>
      </c>
    </row>
    <row r="77" spans="1:10" ht="40" customHeight="1" x14ac:dyDescent="0.2">
      <c r="A77" s="50" t="s">
        <v>284</v>
      </c>
      <c r="B77" s="50" t="s">
        <v>285</v>
      </c>
      <c r="C77" s="50" t="s">
        <v>286</v>
      </c>
      <c r="D77" s="54" t="s">
        <v>173</v>
      </c>
      <c r="E77" s="54" t="s">
        <v>287</v>
      </c>
      <c r="F77" s="54" t="s">
        <v>288</v>
      </c>
      <c r="G77" s="54">
        <v>2034</v>
      </c>
      <c r="H77" s="54" t="s">
        <v>272</v>
      </c>
      <c r="I77" s="54" t="s">
        <v>289</v>
      </c>
      <c r="J77" s="54" t="s">
        <v>290</v>
      </c>
    </row>
    <row r="78" spans="1:10" ht="40" customHeight="1" x14ac:dyDescent="0.2">
      <c r="A78" s="50" t="s">
        <v>291</v>
      </c>
      <c r="B78" s="50" t="s">
        <v>292</v>
      </c>
      <c r="C78" s="50" t="s">
        <v>175</v>
      </c>
      <c r="D78" s="54" t="s">
        <v>293</v>
      </c>
      <c r="E78" s="54" t="s">
        <v>287</v>
      </c>
      <c r="F78" s="54" t="s">
        <v>294</v>
      </c>
      <c r="G78" s="54">
        <v>2035</v>
      </c>
      <c r="H78" s="54" t="s">
        <v>272</v>
      </c>
      <c r="I78" s="54" t="s">
        <v>295</v>
      </c>
      <c r="J78" s="54" t="s">
        <v>268</v>
      </c>
    </row>
    <row r="79" spans="1:10" ht="33.75" customHeight="1" x14ac:dyDescent="0.2">
      <c r="A79" s="50"/>
      <c r="B79" s="50"/>
      <c r="C79" s="50"/>
      <c r="D79" s="50"/>
      <c r="E79" s="50"/>
      <c r="F79" s="50"/>
      <c r="G79" s="50"/>
      <c r="H79" s="50"/>
      <c r="I79" s="50"/>
      <c r="J79" s="50"/>
    </row>
    <row r="80" spans="1:10" ht="18" customHeight="1" x14ac:dyDescent="0.2">
      <c r="A80" s="51" t="s">
        <v>296</v>
      </c>
      <c r="B80" s="51"/>
      <c r="C80" s="51"/>
      <c r="D80" s="51"/>
      <c r="E80" s="51"/>
      <c r="F80" s="51"/>
      <c r="G80" s="51"/>
      <c r="H80" s="51"/>
      <c r="I80" s="51"/>
      <c r="J80" s="51"/>
    </row>
    <row r="81" spans="1:10" ht="33.75" customHeight="1" x14ac:dyDescent="0.2">
      <c r="A81" s="56" t="s">
        <v>297</v>
      </c>
      <c r="B81" s="56" t="s">
        <v>298</v>
      </c>
      <c r="C81" s="56" t="s">
        <v>299</v>
      </c>
      <c r="D81" s="56" t="s">
        <v>300</v>
      </c>
      <c r="E81" s="56" t="s">
        <v>301</v>
      </c>
      <c r="F81" s="50"/>
      <c r="G81" s="50"/>
      <c r="H81" s="50"/>
      <c r="I81" s="50"/>
      <c r="J81" s="50"/>
    </row>
    <row r="82" spans="1:10" ht="34" customHeight="1" x14ac:dyDescent="0.2">
      <c r="A82" s="50" t="s">
        <v>302</v>
      </c>
      <c r="B82" s="54" t="s">
        <v>303</v>
      </c>
      <c r="C82" s="54" t="s">
        <v>304</v>
      </c>
      <c r="D82" s="54" t="s">
        <v>305</v>
      </c>
      <c r="E82" s="54" t="s">
        <v>306</v>
      </c>
      <c r="F82" s="50"/>
      <c r="G82" s="50"/>
      <c r="H82" s="50"/>
      <c r="I82" s="50"/>
      <c r="J82" s="50"/>
    </row>
    <row r="83" spans="1:10" ht="34" customHeight="1" x14ac:dyDescent="0.2">
      <c r="A83" s="50" t="s">
        <v>307</v>
      </c>
      <c r="B83" s="54" t="s">
        <v>308</v>
      </c>
      <c r="C83" s="54" t="s">
        <v>309</v>
      </c>
      <c r="D83" s="54" t="s">
        <v>310</v>
      </c>
      <c r="E83" s="54" t="s">
        <v>306</v>
      </c>
      <c r="F83" s="50"/>
      <c r="G83" s="50"/>
      <c r="H83" s="50"/>
      <c r="I83" s="50"/>
      <c r="J83" s="50"/>
    </row>
    <row r="84" spans="1:10" ht="34" customHeight="1" x14ac:dyDescent="0.2">
      <c r="A84" s="50" t="s">
        <v>311</v>
      </c>
      <c r="B84" s="54" t="s">
        <v>312</v>
      </c>
      <c r="C84" s="54" t="s">
        <v>313</v>
      </c>
      <c r="D84" s="54" t="s">
        <v>314</v>
      </c>
      <c r="E84" s="54" t="s">
        <v>306</v>
      </c>
      <c r="F84" s="50"/>
      <c r="G84" s="50"/>
      <c r="H84" s="50"/>
      <c r="I84" s="50"/>
      <c r="J84" s="50"/>
    </row>
    <row r="85" spans="1:10" ht="34" customHeight="1" x14ac:dyDescent="0.2">
      <c r="A85" s="50" t="s">
        <v>315</v>
      </c>
      <c r="B85" s="54" t="s">
        <v>316</v>
      </c>
      <c r="C85" s="54" t="s">
        <v>317</v>
      </c>
      <c r="D85" s="54" t="s">
        <v>318</v>
      </c>
      <c r="E85" s="54" t="s">
        <v>306</v>
      </c>
      <c r="F85" s="50"/>
      <c r="G85" s="50"/>
      <c r="H85" s="50"/>
      <c r="I85" s="50"/>
      <c r="J85" s="50"/>
    </row>
    <row r="86" spans="1:10" ht="34" customHeight="1" x14ac:dyDescent="0.2">
      <c r="A86" s="50" t="s">
        <v>319</v>
      </c>
      <c r="B86" s="54" t="s">
        <v>320</v>
      </c>
      <c r="C86" s="54" t="s">
        <v>321</v>
      </c>
      <c r="D86" s="54" t="s">
        <v>322</v>
      </c>
      <c r="E86" s="54" t="s">
        <v>306</v>
      </c>
      <c r="F86" s="50"/>
      <c r="G86" s="50"/>
      <c r="H86" s="50"/>
      <c r="I86" s="50"/>
      <c r="J86" s="50"/>
    </row>
    <row r="87" spans="1:10" ht="34" customHeight="1" x14ac:dyDescent="0.2">
      <c r="A87" s="50" t="s">
        <v>323</v>
      </c>
      <c r="B87" s="54" t="s">
        <v>324</v>
      </c>
      <c r="C87" s="54" t="s">
        <v>325</v>
      </c>
      <c r="D87" s="54" t="s">
        <v>326</v>
      </c>
      <c r="E87" s="54" t="s">
        <v>327</v>
      </c>
      <c r="F87" s="50"/>
      <c r="G87" s="50"/>
      <c r="H87" s="50"/>
      <c r="I87" s="50"/>
      <c r="J87" s="50"/>
    </row>
    <row r="88" spans="1:10" ht="34" customHeight="1" x14ac:dyDescent="0.2">
      <c r="A88" s="50" t="s">
        <v>328</v>
      </c>
      <c r="B88" s="54" t="s">
        <v>329</v>
      </c>
      <c r="C88" s="54" t="s">
        <v>330</v>
      </c>
      <c r="D88" s="54" t="s">
        <v>331</v>
      </c>
      <c r="E88" s="54" t="s">
        <v>332</v>
      </c>
      <c r="F88" s="50"/>
      <c r="G88" s="50"/>
      <c r="H88" s="50"/>
      <c r="I88" s="50"/>
      <c r="J88" s="50"/>
    </row>
    <row r="89" spans="1:10" ht="34" customHeight="1" x14ac:dyDescent="0.2">
      <c r="A89" s="50" t="s">
        <v>333</v>
      </c>
      <c r="B89" s="54" t="s">
        <v>334</v>
      </c>
      <c r="C89" s="54" t="s">
        <v>335</v>
      </c>
      <c r="D89" s="54" t="s">
        <v>336</v>
      </c>
      <c r="E89" s="54" t="s">
        <v>189</v>
      </c>
      <c r="F89" s="50"/>
      <c r="G89" s="50"/>
      <c r="H89" s="50"/>
      <c r="I89" s="50"/>
      <c r="J89" s="50"/>
    </row>
    <row r="90" spans="1:10" x14ac:dyDescent="0.2">
      <c r="A90" s="50"/>
      <c r="B90" s="50"/>
      <c r="C90" s="50"/>
      <c r="D90" s="50"/>
      <c r="E90" s="50"/>
      <c r="F90" s="50"/>
      <c r="G90" s="50"/>
      <c r="H90" s="50"/>
      <c r="I90" s="50"/>
      <c r="J90" s="50"/>
    </row>
    <row r="91" spans="1:10" x14ac:dyDescent="0.2">
      <c r="A91" s="50"/>
      <c r="B91" s="50"/>
      <c r="C91" s="50"/>
      <c r="D91" s="50"/>
      <c r="E91" s="50"/>
      <c r="F91" s="50"/>
      <c r="G91" s="50"/>
      <c r="H91" s="50"/>
      <c r="I91" s="50"/>
      <c r="J91" s="50"/>
    </row>
    <row r="92" spans="1:10" ht="18" customHeight="1" x14ac:dyDescent="0.2">
      <c r="A92" s="51" t="s">
        <v>337</v>
      </c>
      <c r="B92" s="51"/>
      <c r="C92" s="51"/>
      <c r="D92" s="51"/>
      <c r="E92" s="51"/>
      <c r="F92" s="51"/>
      <c r="G92" s="51"/>
      <c r="H92" s="51"/>
      <c r="I92" s="51"/>
      <c r="J92" s="51"/>
    </row>
    <row r="93" spans="1:10" ht="30" customHeight="1" x14ac:dyDescent="0.2">
      <c r="A93" s="57" t="s">
        <v>338</v>
      </c>
      <c r="B93" s="57"/>
      <c r="C93" s="57"/>
      <c r="D93" s="57"/>
      <c r="E93" s="57"/>
      <c r="F93" s="57"/>
      <c r="G93" s="57"/>
      <c r="H93" s="57"/>
      <c r="I93" s="57"/>
      <c r="J93" s="57"/>
    </row>
    <row r="94" spans="1:10" ht="30" customHeight="1" x14ac:dyDescent="0.2">
      <c r="A94" s="57" t="s">
        <v>339</v>
      </c>
      <c r="B94" s="57"/>
      <c r="C94" s="57"/>
      <c r="D94" s="57"/>
      <c r="E94" s="57"/>
      <c r="F94" s="57"/>
      <c r="G94" s="57"/>
      <c r="H94" s="57"/>
      <c r="I94" s="57"/>
      <c r="J94" s="57"/>
    </row>
    <row r="95" spans="1:10" ht="30" customHeight="1" x14ac:dyDescent="0.2">
      <c r="A95" s="57" t="s">
        <v>340</v>
      </c>
      <c r="B95" s="57"/>
      <c r="C95" s="57"/>
      <c r="D95" s="57"/>
      <c r="E95" s="57"/>
      <c r="F95" s="57"/>
      <c r="G95" s="57"/>
      <c r="H95" s="57"/>
      <c r="I95" s="57"/>
      <c r="J95" s="57"/>
    </row>
    <row r="96" spans="1:10" ht="30" customHeight="1" x14ac:dyDescent="0.2">
      <c r="A96" s="57" t="s">
        <v>341</v>
      </c>
      <c r="B96" s="57"/>
      <c r="C96" s="57"/>
      <c r="D96" s="57"/>
      <c r="E96" s="57"/>
      <c r="F96" s="57"/>
      <c r="G96" s="57"/>
      <c r="H96" s="57"/>
      <c r="I96" s="57"/>
      <c r="J96" s="57"/>
    </row>
    <row r="97" spans="1:10" ht="30" customHeight="1" x14ac:dyDescent="0.2">
      <c r="A97" s="57" t="s">
        <v>342</v>
      </c>
      <c r="B97" s="57"/>
      <c r="C97" s="57"/>
      <c r="D97" s="57"/>
      <c r="E97" s="57"/>
      <c r="F97" s="57"/>
      <c r="G97" s="57"/>
      <c r="H97" s="57"/>
      <c r="I97" s="57"/>
      <c r="J97" s="57"/>
    </row>
    <row r="98" spans="1:10" x14ac:dyDescent="0.2">
      <c r="A98" s="50"/>
      <c r="B98" s="50"/>
      <c r="C98" s="50"/>
      <c r="D98" s="50"/>
      <c r="E98" s="50"/>
      <c r="F98" s="50"/>
      <c r="G98" s="50"/>
      <c r="H98" s="50"/>
      <c r="I98" s="50"/>
      <c r="J98" s="50"/>
    </row>
    <row r="99" spans="1:10" x14ac:dyDescent="0.2">
      <c r="A99" s="50"/>
      <c r="B99" s="50"/>
      <c r="C99" s="50"/>
      <c r="D99" s="50"/>
      <c r="E99" s="50"/>
      <c r="F99" s="50"/>
      <c r="G99" s="50"/>
      <c r="H99" s="50"/>
      <c r="I99" s="50"/>
      <c r="J99" s="50"/>
    </row>
    <row r="100" spans="1:10" x14ac:dyDescent="0.2">
      <c r="A100" s="50"/>
      <c r="B100" s="50"/>
      <c r="C100" s="50"/>
      <c r="D100" s="50"/>
      <c r="E100" s="50"/>
      <c r="F100" s="50"/>
      <c r="G100" s="50"/>
      <c r="H100" s="50"/>
      <c r="I100" s="50"/>
      <c r="J100" s="50"/>
    </row>
    <row r="101" spans="1:10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</sheetData>
  <mergeCells count="1">
    <mergeCell ref="A2:J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Revenue_Model</vt:lpstr>
      <vt:lpstr>Assumptions_Sources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Shirsh Sawarna</cp:lastModifiedBy>
  <dcterms:created xsi:type="dcterms:W3CDTF">2026-09-14T04:39:13Z</dcterms:created>
  <dcterms:modified xsi:type="dcterms:W3CDTF">2026-09-14T04:39:28Z</dcterms:modified>
</cp:coreProperties>
</file>