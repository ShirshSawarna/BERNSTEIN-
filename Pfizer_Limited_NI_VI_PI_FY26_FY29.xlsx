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2e9f98df0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4029c158870c4c02"/>
    <x:sheet xmlns:r="http://schemas.openxmlformats.org/officeDocument/2006/relationships" name="Build" sheetId="2" r:id="R492fcb11a2c0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–"/>
    <x:numFmt numFmtId="201" formatCode="0.0%"/>
    <x:numFmt numFmtId="202" formatCode="#,##0.0"/>
    <x:numFmt numFmtId="203" formatCode="0.0;(0.0);–"/>
    <x:numFmt numFmtId="204" formatCode="0.0&quot;%&quot;"/>
    <x:numFmt numFmtId="205" formatCode="0.0"/>
  </x:numFmts>
  <x:fonts count="8">
    <x:font>
      <x:sz val="11"/>
      <x:name val="Carlito"/>
    </x:font>
    <x:font>
      <x:sz val="11"/>
      <x:color rgb="FF17324D"/>
      <x:name val="Arial"/>
    </x:font>
    <x:font>
      <x:b/>
      <x:sz val="20"/>
      <x:color rgb="FF003B7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17324D"/>
      <x:name val="Arial"/>
    </x:font>
    <x:font>
      <x:sz val="11"/>
      <x:color rgb="FF000000"/>
      <x:name val="Arial"/>
    </x:font>
    <x:font>
      <x:b/>
      <x:sz val="12"/>
      <x:color rgb="FF003B7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3B71"/>
      </x:patternFill>
    </x:fill>
    <x:fill>
      <x:patternFill patternType="solid">
        <x:fgColor rgb="FFEAF1F7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DE5EC"/>
      </x:bottom>
      <x:diagonal/>
    </x:border>
    <x:border>
      <x:left/>
      <x:right/>
      <x:top style="thin">
        <x:color rgb="FFDDE5EC"/>
      </x:top>
      <x:bottom style="thin">
        <x:color rgb="FFDDE5EC"/>
      </x:bottom>
      <x:diagonal/>
    </x:border>
    <x:border>
      <x:left/>
      <x:right/>
      <x:top style="thin">
        <x:color rgb="FFDDE5EC"/>
      </x:top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2" fontId="5" fillId="3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5" fillId="3" borderId="0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  <x:xf numFmtId="0" fontId="1" fillId="0" borderId="1" xfId="0" applyNumberFormat="1" applyFont="1" applyFill="1" applyBorder="1"/>
    <x:xf numFmtId="203" fontId="1" fillId="0" borderId="1" xfId="0" applyNumberFormat="1" applyFont="1" applyFill="1" applyBorder="1"/>
    <x:xf numFmtId="204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1" fillId="0" borderId="2" xfId="0" applyNumberFormat="1" applyFont="1" applyFill="1" applyBorder="1"/>
    <x:xf numFmtId="203" fontId="1" fillId="0" borderId="2" xfId="0" applyNumberFormat="1" applyFont="1" applyFill="1" applyBorder="1"/>
    <x:xf numFmtId="204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3" xfId="0" applyNumberFormat="1" applyFont="1" applyFill="1" applyBorder="1"/>
    <x:xf numFmtId="203" fontId="1" fillId="0" borderId="3" xfId="0" applyNumberFormat="1" applyFont="1" applyFill="1" applyBorder="1"/>
    <x:xf numFmtId="204" fontId="1" fillId="0" borderId="3" xfId="0" applyNumberFormat="1" applyFont="1" applyFill="1" applyBorder="1"/>
    <x:xf numFmtId="201" fontId="1" fillId="0" borderId="3" xfId="0" applyNumberFormat="1" applyFont="1" applyFill="1" applyBorder="1"/>
    <x:xf numFmtId="0" fontId="1" fillId="3" borderId="3" xfId="0" applyNumberFormat="1" applyFont="1" applyFill="1" applyBorder="1"/>
    <x:xf numFmtId="203" fontId="1" fillId="3" borderId="3" xfId="0" applyNumberFormat="1" applyFont="1" applyFill="1" applyBorder="1"/>
    <x:xf numFmtId="204" fontId="1" fillId="3" borderId="3" xfId="0" applyNumberFormat="1" applyFont="1" applyFill="1" applyBorder="1"/>
    <x:xf numFmtId="201" fontId="1" fillId="3" borderId="3" xfId="0" applyNumberFormat="1" applyFont="1" applyFill="1" applyBorder="1"/>
    <x:xf numFmtId="0" fontId="5" fillId="3" borderId="3" xfId="0" applyNumberFormat="1" applyFont="1" applyFill="1" applyBorder="1"/>
    <x:xf numFmtId="203" fontId="5" fillId="3" borderId="3" xfId="0" applyNumberFormat="1" applyFont="1" applyFill="1" applyBorder="1"/>
    <x:xf numFmtId="204" fontId="5" fillId="3" borderId="3" xfId="0" applyNumberFormat="1" applyFont="1" applyFill="1" applyBorder="1"/>
    <x:xf numFmtId="201" fontId="5" fillId="3" borderId="3" xfId="0" applyNumberFormat="1" applyFont="1" applyFill="1" applyBorder="1"/>
    <x:xf numFmtId="205" fontId="1" fillId="0" borderId="0" xfId="0" applyNumberFormat="1" applyFont="1" applyFill="1" applyBorder="1"/>
    <x:xf numFmtId="205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7" fillId="3" borderId="0" xfId="0" applyNumberFormat="1" applyFont="1" applyFill="1" applyBorder="1"/>
    <x:xf numFmtId="205" fontId="7" fillId="3" borderId="0" xfId="0" applyNumberFormat="1" applyFont="1" applyFill="1" applyBorder="1"/>
    <x:xf numFmtId="201" fontId="7" fillId="3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81ff41a564967" /><Relationship Type="http://schemas.openxmlformats.org/officeDocument/2006/relationships/theme" Target="/xl/theme/theme1.xml" Id="R69de3f9206f849f3" /><Relationship Type="http://schemas.openxmlformats.org/officeDocument/2006/relationships/sharedStrings" Target="/xl/sharedStrings.xml" Id="Rae7bba6babaa4b9f" /><Relationship Type="http://schemas.openxmlformats.org/officeDocument/2006/relationships/worksheet" Target="/xl/worksheets/sheet1.xml" Id="R4029c158870c4c02" /><Relationship Type="http://schemas.openxmlformats.org/officeDocument/2006/relationships/worksheet" Target="/xl/worksheets/sheet2.xml" Id="R492fcb11a2c04d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8b55bda5bc49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Annual growth: NI / VI / PI contribution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NI: launches / ramp (pp)</c:v>
          </c:tx>
          <c:spPr>
            <a:solidFill xmlns:a="http://schemas.openxmlformats.org/drawingml/2006/main">
              <a:srgbClr val="003B71"/>
            </a:solidFill>
          </c:spPr>
          <c:invertIfNegative val="0"/>
          <c:cat>
            <c:strRef>
              <c:f>'Chart data'!$A$6:$A$9</c:f>
              <c:strCache>
                <c:ptCount val="0"/>
              </c:strCache>
            </c:strRef>
          </c:cat>
          <c:val>
            <c:numRef>
              <c:f>'Chart data'!$B$6:$B$9</c:f>
              <c:numCache>
                <c:formatCode>0.0;(0.0);–</c:formatCode>
                <c:ptCount val="0"/>
              </c:numCache>
            </c:numRef>
          </c:val>
        </c:ser>
        <c:ser>
          <c:idx val="1"/>
          <c:order val="1"/>
          <c:tx>
            <c:v>VI: volume / mix, net adjustments (pp)</c:v>
          </c:tx>
          <c:spPr>
            <a:solidFill xmlns:a="http://schemas.openxmlformats.org/drawingml/2006/main">
              <a:srgbClr val="167CC1"/>
            </a:solidFill>
          </c:spPr>
          <c:invertIfNegative val="0"/>
          <c:cat>
            <c:strRef>
              <c:f>'Chart data'!$A$6:$A$9</c:f>
              <c:strCache>
                <c:ptCount val="0"/>
              </c:strCache>
            </c:strRef>
          </c:cat>
          <c:val>
            <c:numRef>
              <c:f>'Chart data'!$C$6:$C$9</c:f>
              <c:numCache>
                <c:formatCode>0.0;(0.0);–</c:formatCode>
                <c:ptCount val="0"/>
              </c:numCache>
            </c:numRef>
          </c:val>
        </c:ser>
        <c:ser>
          <c:idx val="2"/>
          <c:order val="2"/>
          <c:tx>
            <c:v>PI: price (pp)</c:v>
          </c:tx>
          <c:spPr>
            <a:solidFill xmlns:a="http://schemas.openxmlformats.org/drawingml/2006/main">
              <a:srgbClr val="C5D8EB"/>
            </a:solidFill>
          </c:spPr>
          <c:invertIfNegative val="0"/>
          <c:cat>
            <c:strRef>
              <c:f>'Chart data'!$A$6:$A$9</c:f>
              <c:strCache>
                <c:ptCount val="0"/>
              </c:strCache>
            </c:strRef>
          </c:cat>
          <c:val>
            <c:numRef>
              <c:f>'Chart data'!$D$6:$D$9</c:f>
              <c:numCache>
                <c:formatCode>0.0;(0.0);–</c:formatCode>
                <c:ptCount val="0"/>
              </c:numCache>
            </c:numRef>
          </c:val>
        </c:ser>
        <c:gapWidth val="9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8b55bda5bc496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452e1d2d6a43ab" /></Relationships>
</file>

<file path=xl/worksheets/sheet1.xml><?xml version="1.0" encoding="utf-8"?>
<x:worksheet xmlns:x="http://schemas.openxmlformats.org/spreadsheetml/2006/main">
  <x:sheetPr>
    <x:tabColor rgb="FF003B7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780000686645508" hidden="0" customWidth="1"/>
    <x:col min="2" max="2" width="16.670000076293945" hidden="0" customWidth="1"/>
    <x:col min="3" max="3" width="20.559999465942383" hidden="0" customWidth="1"/>
    <x:col min="4" max="4" width="14.4399995803833" hidden="0" customWidth="1"/>
    <x:col min="5" max="5" width="16.110000610351562" hidden="0" customWidth="1"/>
    <x:col min="6" max="6" width="16.670000076293945" hidden="0" customWidth="1"/>
    <x:col min="7" max="7" width="16.11000061035156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34" customHeight="1">
      <x:c r="A2" s="4" t="str">
        <x:v>Pfizer Limited: volume and launches lead growth</x:v>
      </x:c>
      <x:c r="B2" s="3"/>
      <x:c r="C2" s="3"/>
      <x:c r="D2" s="3"/>
      <x:c r="E2" s="3"/>
      <x:c r="F2" s="3"/>
      <x:c r="G2" s="3"/>
    </x:row>
    <x:row r="3" ht="34" customHeight="1">
      <x:c r="A3" s="3" t="str">
        <x:v>FY26A–FY29E revenue from operations. Driver contributions are percentage points of YoY growth; all attributions are estimates.</x:v>
      </x:c>
      <x:c r="B3" s="3"/>
      <x:c r="C3" s="3"/>
      <x:c r="D3" s="3"/>
      <x:c r="E3" s="3"/>
      <x:c r="F3" s="3"/>
      <x:c r="G3" s="3"/>
    </x:row>
    <x:row r="4" ht="22" customHeight="1">
      <x:c r="A4" s="1"/>
      <x:c r="B4" s="1"/>
      <x:c r="C4" s="1"/>
      <x:c r="D4" s="1"/>
      <x:c r="E4" s="1"/>
      <x:c r="F4" s="1"/>
      <x:c r="G4" s="1"/>
    </x:row>
    <x:row r="5" ht="42" customHeight="1">
      <x:c r="A5" s="8" t="str">
        <x:v>Year</x:v>
      </x:c>
      <x:c r="B5" s="8" t="str">
        <x:v>NI: launches / ramp (pp)</x:v>
      </x:c>
      <x:c r="C5" s="8" t="str">
        <x:v>VI: volume / mix, net adjustments (pp)</x:v>
      </x:c>
      <x:c r="D5" s="8" t="str">
        <x:v>PI: price (pp)</x:v>
      </x:c>
      <x:c r="E5" s="8" t="str">
        <x:v>Total YoY growth</x:v>
      </x:c>
      <x:c r="F5" s="8" t="str">
        <x:v>NI + VI share of growth</x:v>
      </x:c>
      <x:c r="G5" s="1"/>
    </x:row>
    <x:row r="6" ht="34" customHeight="1">
      <x:c r="A6" s="34" t="str">
        <x:v>FY26A*</x:v>
      </x:c>
      <x:c r="B6" s="35" t="n">
        <x:f>'Build'!C35</x:f>
        <x:v>4.73403905582221</x:v>
      </x:c>
      <x:c r="C6" s="35" t="n">
        <x:f>'Build'!C39</x:f>
        <x:v>4.218828325333669</x:v>
      </x:c>
      <x:c r="D6" s="35" t="n">
        <x:f>'Build'!C37</x:f>
        <x:v>1.4927021281258903</x:v>
      </x:c>
      <x:c r="E6" s="36" t="n">
        <x:f>'Build'!C40</x:f>
        <x:v>10.445569509281768</x:v>
      </x:c>
      <x:c r="F6" s="37" t="n">
        <x:f>'Build'!C43</x:f>
        <x:v>0.8570971044901383</x:v>
      </x:c>
      <x:c r="G6" s="1"/>
    </x:row>
    <x:row r="7" ht="34" customHeight="1">
      <x:c r="A7" s="38" t="str">
        <x:v>FY27E</x:v>
      </x:c>
      <x:c r="B7" s="39" t="n">
        <x:f>'Build'!D35</x:f>
        <x:v>1.8051515091381742</x:v>
      </x:c>
      <x:c r="C7" s="39" t="n">
        <x:f>'Build'!D39</x:f>
        <x:v>0.2390529793792815</x:v>
      </x:c>
      <x:c r="D7" s="39" t="n">
        <x:f>'Build'!D37</x:f>
        <x:v>1.2950036293786251</x:v>
      </x:c>
      <x:c r="E7" s="40" t="n">
        <x:f>'Build'!D40</x:f>
        <x:v>3.3392081178960806</x:v>
      </x:c>
      <x:c r="F7" s="41" t="n">
        <x:f>'Build'!D43</x:f>
        <x:v>0.6121824146155461</x:v>
      </x:c>
      <x:c r="G7" s="1"/>
    </x:row>
    <x:row r="8" ht="34" customHeight="1">
      <x:c r="A8" s="38" t="str">
        <x:v>FY28E</x:v>
      </x:c>
      <x:c r="B8" s="39" t="n">
        <x:f>'Build'!E35</x:f>
        <x:v>2.497002718431792</x:v>
      </x:c>
      <x:c r="C8" s="39" t="n">
        <x:f>'Build'!E39</x:f>
        <x:v>1.8709120860927595</x:v>
      </x:c>
      <x:c r="D8" s="39" t="n">
        <x:f>'Build'!E37</x:f>
        <x:v>1.284131235199531</x:v>
      </x:c>
      <x:c r="E8" s="40" t="n">
        <x:f>'Build'!E40</x:f>
        <x:v>5.652046039724082</x:v>
      </x:c>
      <x:c r="F8" s="41" t="n">
        <x:f>'Build'!E43</x:f>
        <x:v>0.772802410636022</x:v>
      </x:c>
      <x:c r="G8" s="1"/>
    </x:row>
    <x:row r="9" ht="34" customHeight="1">
      <x:c r="A9" s="50" t="str">
        <x:v>FY29E</x:v>
      </x:c>
      <x:c r="B9" s="51" t="n">
        <x:f>'Build'!F35</x:f>
        <x:v>3.9744279255661508</x:v>
      </x:c>
      <x:c r="C9" s="51" t="n">
        <x:f>'Build'!F39</x:f>
        <x:v>5.107393281588134</x:v>
      </x:c>
      <x:c r="D9" s="51" t="n">
        <x:f>'Build'!F37</x:f>
        <x:v>1.3031372896081808</x:v>
      </x:c>
      <x:c r="E9" s="52" t="n">
        <x:f>'Build'!F40</x:f>
        <x:v>10.384958496762465</x:v>
      </x:c>
      <x:c r="F9" s="53" t="n">
        <x:f>'Build'!F43</x:f>
        <x:v>0.8745168514621955</x:v>
      </x:c>
      <x:c r="G9" s="1"/>
    </x:row>
    <x:row r="10" ht="22" customHeight="1">
      <x:c r="A10" s="1"/>
      <x:c r="B10" s="1"/>
      <x:c r="C10" s="1"/>
      <x:c r="D10" s="1"/>
      <x:c r="E10" s="1"/>
      <x:c r="F10" s="1"/>
      <x:c r="G10" s="1"/>
    </x:row>
    <x:row r="11" ht="34" customHeight="1">
      <x:c r="A11" s="3" t="str">
        <x:v>* FY26 company revenue is actual; NI / VI / PI attribution is estimated. VI in the top table includes Minipress, Cipla and service adjustments.</x:v>
      </x:c>
      <x:c r="B11" s="3"/>
      <x:c r="C11" s="3"/>
      <x:c r="D11" s="3"/>
      <x:c r="E11" s="3"/>
      <x:c r="F11" s="3"/>
      <x:c r="G11" s="3"/>
    </x:row>
    <x:row r="12" ht="22" customHeight="1">
      <x:c r="A12" s="1"/>
      <x:c r="B12" s="1"/>
      <x:c r="C12" s="1"/>
      <x:c r="D12" s="1"/>
      <x:c r="E12" s="1"/>
      <x:c r="F12" s="1"/>
      <x:c r="G12" s="1"/>
    </x:row>
    <x:row r="13" ht="29" customHeight="1">
      <x:c r="A13" s="8" t="str">
        <x:v>Underlying drivers and the adjustments to reported revenue</x:v>
      </x:c>
      <x:c r="B13" s="8"/>
      <x:c r="C13" s="8"/>
      <x:c r="D13" s="8"/>
      <x:c r="E13" s="8"/>
      <x:c r="F13" s="8"/>
      <x:c r="G13" s="8"/>
    </x:row>
    <x:row r="14" ht="42" customHeight="1">
      <x:c r="A14" s="8" t="str">
        <x:v>Year</x:v>
      </x:c>
      <x:c r="B14" s="8" t="str">
        <x:v>NI (pp)</x:v>
      </x:c>
      <x:c r="C14" s="8" t="str">
        <x:v>Gross volume / mix (pp)</x:v>
      </x:c>
      <x:c r="D14" s="8" t="str">
        <x:v>PI (pp)</x:v>
      </x:c>
      <x:c r="E14" s="8" t="str">
        <x:v>Exit / other adjustments (pp)</x:v>
      </x:c>
      <x:c r="F14" s="8" t="str">
        <x:v>Total growth (%)</x:v>
      </x:c>
      <x:c r="G14" s="8" t="str">
        <x:v>Reconciliation (pp)</x:v>
      </x:c>
    </x:row>
    <x:row r="15" ht="34" customHeight="1">
      <x:c r="A15" s="34" t="str">
        <x:v>FY26A*</x:v>
      </x:c>
      <x:c r="B15" s="35" t="n">
        <x:f>'Build'!C35</x:f>
        <x:v>4.73403905582221</x:v>
      </x:c>
      <x:c r="C15" s="35" t="n">
        <x:f>'Build'!C36</x:f>
        <x:v>4.67689043767943</x:v>
      </x:c>
      <x:c r="D15" s="35" t="n">
        <x:f>'Build'!C37</x:f>
        <x:v>1.4927021281258903</x:v>
      </x:c>
      <x:c r="E15" s="35" t="n">
        <x:f>'Build'!C38</x:f>
        <x:v>-0.4580621123457612</x:v>
      </x:c>
      <x:c r="F15" s="35" t="n">
        <x:f>'Build'!C40</x:f>
        <x:v>10.445569509281768</x:v>
      </x:c>
      <x:c r="G15" s="35" t="n">
        <x:f>'Build'!C41</x:f>
        <x:v>1.7763568394002505e-15</x:v>
      </x:c>
    </x:row>
    <x:row r="16" ht="34" customHeight="1">
      <x:c r="A16" s="38" t="str">
        <x:v>FY27E</x:v>
      </x:c>
      <x:c r="B16" s="39" t="n">
        <x:f>'Build'!D35</x:f>
        <x:v>1.8051515091381742</x:v>
      </x:c>
      <x:c r="C16" s="39" t="n">
        <x:f>'Build'!D36</x:f>
        <x:v>4.594540652565301</x:v>
      </x:c>
      <x:c r="D16" s="39" t="n">
        <x:f>'Build'!D37</x:f>
        <x:v>1.2950036293786251</x:v>
      </x:c>
      <x:c r="E16" s="39" t="n">
        <x:f>'Build'!D38</x:f>
        <x:v>-4.355487673186019</x:v>
      </x:c>
      <x:c r="F16" s="39" t="n">
        <x:f>'Build'!D40</x:f>
        <x:v>3.3392081178960806</x:v>
      </x:c>
      <x:c r="G16" s="39" t="n">
        <x:f>'Build'!D41</x:f>
        <x:v>8.881784197001252e-16</x:v>
      </x:c>
    </x:row>
    <x:row r="17" ht="34" customHeight="1">
      <x:c r="A17" s="38" t="str">
        <x:v>FY28E</x:v>
      </x:c>
      <x:c r="B17" s="39" t="n">
        <x:f>'Build'!E35</x:f>
        <x:v>2.497002718431792</x:v>
      </x:c>
      <x:c r="C17" s="39" t="n">
        <x:f>'Build'!E36</x:f>
        <x:v>4.893200363341578</x:v>
      </x:c>
      <x:c r="D17" s="39" t="n">
        <x:f>'Build'!E37</x:f>
        <x:v>1.284131235199531</x:v>
      </x:c>
      <x:c r="E17" s="39" t="n">
        <x:f>'Build'!E38</x:f>
        <x:v>-3.0222882772488187</x:v>
      </x:c>
      <x:c r="F17" s="39" t="n">
        <x:f>'Build'!E40</x:f>
        <x:v>5.652046039724082</x:v>
      </x:c>
      <x:c r="G17" s="39" t="n">
        <x:f>'Build'!E41</x:f>
        <x:v>0</x:v>
      </x:c>
    </x:row>
    <x:row r="18" ht="34" customHeight="1">
      <x:c r="A18" s="42" t="str">
        <x:v>FY29E</x:v>
      </x:c>
      <x:c r="B18" s="43" t="n">
        <x:f>'Build'!F35</x:f>
        <x:v>3.9744279255661508</x:v>
      </x:c>
      <x:c r="C18" s="43" t="n">
        <x:f>'Build'!F36</x:f>
        <x:v>5.107393281588134</x:v>
      </x:c>
      <x:c r="D18" s="43" t="n">
        <x:f>'Build'!F37</x:f>
        <x:v>1.3031372896081808</x:v>
      </x:c>
      <x:c r="E18" s="43" t="n">
        <x:f>'Build'!F38</x:f>
        <x:v>0</x:v>
      </x:c>
      <x:c r="F18" s="43" t="n">
        <x:f>'Build'!F40</x:f>
        <x:v>10.384958496762465</x:v>
      </x:c>
      <x:c r="G18" s="43" t="n">
        <x:f>'Build'!F41</x:f>
        <x:v>0</x:v>
      </x:c>
    </x:row>
    <x:row r="19" ht="22" customHeight="1">
      <x:c r="A19" s="1"/>
      <x:c r="B19" s="1"/>
      <x:c r="C19" s="1"/>
      <x:c r="D19" s="1"/>
      <x:c r="E19" s="1"/>
      <x:c r="F19" s="1"/>
      <x:c r="G19" s="1"/>
    </x:row>
    <x:row r="20" ht="22" customHeight="1">
      <x:c r="A20" s="1"/>
      <x:c r="B20" s="1"/>
      <x:c r="C20" s="1"/>
      <x:c r="D20" s="1"/>
      <x:c r="E20" s="1"/>
      <x:c r="F20" s="1"/>
      <x:c r="G20" s="1"/>
    </x:row>
    <x:row r="21" ht="29" customHeight="1">
      <x:c r="A21" s="8" t="str">
        <x:v>Cumulative growth from FY26A to FY29E</x:v>
      </x:c>
      <x:c r="B21" s="8"/>
      <x:c r="C21" s="8"/>
      <x:c r="D21" s="8"/>
      <x:c r="E21" s="8"/>
      <x:c r="F21" s="8"/>
      <x:c r="G21" s="8"/>
    </x:row>
    <x:row r="22" ht="22" customHeight="1">
      <x:c r="A22" s="1"/>
      <x:c r="B22" s="1"/>
      <x:c r="C22" s="1"/>
      <x:c r="D22" s="1"/>
      <x:c r="E22" s="1"/>
      <x:c r="F22" s="1"/>
      <x:c r="G22" s="1"/>
    </x:row>
    <x:row r="23" ht="42" customHeight="1">
      <x:c r="A23" s="8" t="str">
        <x:v>Period</x:v>
      </x:c>
      <x:c r="B23" s="8" t="str">
        <x:v>NI contribution (pp)</x:v>
      </x:c>
      <x:c r="C23" s="8" t="str">
        <x:v>VI net contribution (pp)</x:v>
      </x:c>
      <x:c r="D23" s="8" t="str">
        <x:v>PI contribution (pp)</x:v>
      </x:c>
      <x:c r="E23" s="8" t="str">
        <x:v>Total growth (%)</x:v>
      </x:c>
      <x:c r="F23" s="8" t="str">
        <x:v>Revenue CAGR</x:v>
      </x:c>
      <x:c r="G23" s="8" t="str">
        <x:v>NI + VI share</x:v>
      </x:c>
    </x:row>
    <x:row r="24" ht="35" customHeight="1">
      <x:c r="A24" s="57" t="str">
        <x:v>FY26A–FY29E</x:v>
      </x:c>
      <x:c r="B24" s="58" t="n">
        <x:f>SUM('Build'!D27:F27)/'Build'!C9*100</x:f>
        <x:v>8.72481426682898</x:v>
      </x:c>
      <x:c r="C24" s="58" t="n">
        <x:f>SUM('Build'!D34:F34)/'Build'!C9*100</x:f>
        <x:v>7.748690072288994</x:v>
      </x:c>
      <x:c r="D24" s="58" t="n">
        <x:f>SUM('Build'!D25:F25)/'Build'!C9*100</x:f>
        <x:v>4.044779812029366</x:v>
      </x:c>
      <x:c r="E24" s="58" t="n">
        <x:f>('Build'!F9/'Build'!C9-1)*100</x:f>
        <x:v>20.518284151147338</x:v>
      </x:c>
      <x:c r="F24" s="59" t="n">
        <x:f>('Build'!F9/'Build'!C9)^(1/3)-1</x:f>
        <x:v>0.06418625828188795</x:v>
      </x:c>
      <x:c r="G24" s="59" t="n">
        <x:f>(B24+C24)/E24</x:f>
        <x:v>0.8028694903417063</x:v>
      </x:c>
    </x:row>
    <x:row r="25" ht="22" customHeight="1">
      <x:c r="A25" s="1"/>
      <x:c r="B25" s="1"/>
      <x:c r="C25" s="1"/>
      <x:c r="D25" s="1"/>
      <x:c r="E25" s="1"/>
      <x:c r="F25" s="1"/>
      <x:c r="G25" s="1"/>
    </x:row>
    <x:row r="26" ht="34" customHeight="1">
      <x:c r="A26" s="3" t="str">
        <x:v>Cumulative contributions use the sum of annual revenue increments divided by FY26 revenue. They reconcile to cumulative growth, rather than the sum of YoY rates.</x:v>
      </x:c>
      <x:c r="B26" s="3"/>
      <x:c r="C26" s="3"/>
      <x:c r="D26" s="3"/>
      <x:c r="E26" s="3"/>
      <x:c r="F26" s="3"/>
      <x:c r="G26" s="3"/>
    </x:row>
    <x:row r="27" ht="22" customHeight="1">
      <x:c r="A27" s="1"/>
      <x:c r="B27" s="1"/>
      <x:c r="C27" s="1"/>
      <x:c r="D27" s="1"/>
      <x:c r="E27" s="1"/>
      <x:c r="F27" s="1"/>
      <x:c r="G27" s="1"/>
    </x:row>
    <x:row r="28" ht="22" customHeight="1">
      <x:c r="A28" s="1"/>
      <x:c r="B28" s="1"/>
      <x:c r="C28" s="1"/>
      <x:c r="D28" s="1"/>
      <x:c r="E28" s="1"/>
      <x:c r="F28" s="1"/>
      <x:c r="G28" s="1"/>
    </x:row>
    <x:row r="29" ht="22" customHeight="1">
      <x:c r="A29" s="1"/>
      <x:c r="B29" s="1"/>
      <x:c r="C29" s="1"/>
      <x:c r="D29" s="1"/>
      <x:c r="E29" s="1"/>
      <x:c r="F29" s="1"/>
      <x:c r="G29" s="1"/>
    </x:row>
    <x:row r="30" ht="22" customHeight="1">
      <x:c r="A30" s="1"/>
      <x:c r="B30" s="1"/>
      <x:c r="C30" s="1"/>
      <x:c r="D30" s="1"/>
      <x:c r="E30" s="1"/>
      <x:c r="F30" s="1"/>
      <x:c r="G30" s="1"/>
    </x:row>
    <x:row r="31" ht="22" customHeight="1">
      <x:c r="A31" s="1"/>
      <x:c r="B31" s="1"/>
      <x:c r="C31" s="1"/>
      <x:c r="D31" s="1"/>
      <x:c r="E31" s="1"/>
      <x:c r="F31" s="1"/>
      <x:c r="G31" s="1"/>
    </x:row>
    <x:row r="32" ht="22" customHeight="1">
      <x:c r="A32" s="1"/>
      <x:c r="B32" s="1"/>
      <x:c r="C32" s="1"/>
      <x:c r="D32" s="1"/>
      <x:c r="E32" s="1"/>
      <x:c r="F32" s="1"/>
      <x:c r="G32" s="1"/>
    </x:row>
    <x:row r="33" ht="22" customHeight="1">
      <x:c r="A33" s="1"/>
      <x:c r="B33" s="1"/>
      <x:c r="C33" s="1"/>
      <x:c r="D33" s="1"/>
      <x:c r="E33" s="1"/>
      <x:c r="F33" s="1"/>
      <x:c r="G33" s="1"/>
    </x:row>
    <x:row r="34" ht="22" customHeight="1">
      <x:c r="A34" s="1"/>
      <x:c r="B34" s="1"/>
      <x:c r="C34" s="1"/>
      <x:c r="D34" s="1"/>
      <x:c r="E34" s="1"/>
      <x:c r="F34" s="1"/>
      <x:c r="G34" s="1"/>
    </x:row>
    <x:row r="35" ht="22" customHeight="1">
      <x:c r="A35" s="1"/>
      <x:c r="B35" s="1"/>
      <x:c r="C35" s="1"/>
      <x:c r="D35" s="1"/>
      <x:c r="E35" s="1"/>
      <x:c r="F35" s="1"/>
      <x:c r="G35" s="1"/>
    </x:row>
    <x:row r="36" ht="22" customHeight="1">
      <x:c r="A36" s="1"/>
      <x:c r="B36" s="1"/>
      <x:c r="C36" s="1"/>
      <x:c r="D36" s="1"/>
      <x:c r="E36" s="1"/>
      <x:c r="F36" s="1"/>
      <x:c r="G36" s="1"/>
    </x:row>
    <x:row r="37" ht="22" customHeight="1">
      <x:c r="A37" s="1"/>
      <x:c r="B37" s="1"/>
      <x:c r="C37" s="1"/>
      <x:c r="D37" s="1"/>
      <x:c r="E37" s="1"/>
      <x:c r="F37" s="1"/>
      <x:c r="G37" s="1"/>
    </x:row>
    <x:row r="38" ht="22" customHeight="1">
      <x:c r="A38" s="1"/>
      <x:c r="B38" s="1"/>
      <x:c r="C38" s="1"/>
      <x:c r="D38" s="1"/>
      <x:c r="E38" s="1"/>
      <x:c r="F38" s="1"/>
      <x:c r="G38" s="1"/>
    </x:row>
    <x:row r="39" ht="22" customHeight="1">
      <x:c r="A39" s="1"/>
      <x:c r="B39" s="1"/>
      <x:c r="C39" s="1"/>
      <x:c r="D39" s="1"/>
      <x:c r="E39" s="1"/>
      <x:c r="F39" s="1"/>
      <x:c r="G39" s="1"/>
    </x:row>
    <x:row r="40" ht="22" customHeight="1">
      <x:c r="A40" s="1"/>
      <x:c r="B40" s="1"/>
      <x:c r="C40" s="1"/>
      <x:c r="D40" s="1"/>
      <x:c r="E40" s="1"/>
      <x:c r="F40" s="1"/>
      <x:c r="G40" s="1"/>
    </x:row>
    <x:row r="41" ht="22" customHeight="1">
      <x:c r="A41" s="1"/>
      <x:c r="B41" s="1"/>
      <x:c r="C41" s="1"/>
      <x:c r="D41" s="1"/>
      <x:c r="E41" s="1"/>
      <x:c r="F41" s="1"/>
      <x:c r="G41" s="1"/>
    </x:row>
    <x:row r="42" ht="22" customHeight="1">
      <x:c r="A42" s="1"/>
      <x:c r="B42" s="1"/>
      <x:c r="C42" s="1"/>
      <x:c r="D42" s="1"/>
      <x:c r="E42" s="1"/>
      <x:c r="F42" s="1"/>
      <x:c r="G42" s="1"/>
    </x:row>
    <x:row r="43" ht="22" customHeight="1">
      <x:c r="A43" s="1"/>
      <x:c r="B43" s="1"/>
      <x:c r="C43" s="1"/>
      <x:c r="D43" s="1"/>
      <x:c r="E43" s="1"/>
      <x:c r="F43" s="1"/>
      <x:c r="G43" s="1"/>
    </x:row>
    <x:row r="44" ht="22" customHeight="1">
      <x:c r="A44" s="1"/>
      <x:c r="B44" s="1"/>
      <x:c r="C44" s="1"/>
      <x:c r="D44" s="1"/>
      <x:c r="E44" s="1"/>
      <x:c r="F44" s="1"/>
      <x:c r="G44" s="1"/>
    </x:row>
    <x:row r="45" ht="22" customHeight="1">
      <x:c r="A45" s="1"/>
      <x:c r="B45" s="1"/>
      <x:c r="C45" s="1"/>
      <x:c r="D45" s="1"/>
      <x:c r="E45" s="1"/>
      <x:c r="F45" s="1"/>
      <x:c r="G45" s="1"/>
    </x:row>
    <x:row r="46" ht="22" customHeight="1">
      <x:c r="A46" s="1"/>
      <x:c r="B46" s="1"/>
      <x:c r="C46" s="1"/>
      <x:c r="D46" s="1"/>
      <x:c r="E46" s="1"/>
      <x:c r="F46" s="1"/>
      <x:c r="G46" s="1"/>
    </x:row>
    <x:row r="47" ht="29" customHeight="1">
      <x:c r="A47" s="8" t="str">
        <x:v>Definitions and estimate basis</x:v>
      </x:c>
      <x:c r="B47" s="8"/>
      <x:c r="C47" s="8"/>
      <x:c r="D47" s="8"/>
      <x:c r="E47" s="8"/>
      <x:c r="F47" s="8"/>
      <x:c r="G47" s="8"/>
    </x:row>
    <x:row r="48" ht="40" customHeight="1">
      <x:c r="A48" s="3" t="str">
        <x:v>NI = incremental revenue from the FY26 launch cohort: Prevenar 20, Emblaveo and Nurtec, plus modelled Abrysvo in FY29. It includes launch ramp-up after the first year.</x:v>
      </x:c>
      <x:c r="B48" s="3"/>
      <x:c r="C48" s="3"/>
      <x:c r="D48" s="3"/>
      <x:c r="E48" s="3"/>
      <x:c r="F48" s="3"/>
      <x:c r="G48" s="3"/>
    </x:row>
    <x:row r="49" ht="36" customHeight="1">
      <x:c r="A49" s="3" t="str">
        <x:v>This is a fixed-cohort analytical NI measure, not IQVIA’s rolling new-introduction metric. Cohort sales and brand-level historicals are model estimates.</x:v>
      </x:c>
      <x:c r="B49" s="3"/>
      <x:c r="C49" s="3"/>
      <x:c r="D49" s="3"/>
      <x:c r="E49" s="3"/>
      <x:c r="F49" s="3"/>
      <x:c r="G49" s="3"/>
    </x:row>
    <x:row r="50" ht="40" customHeight="1">
      <x:c r="A50" s="3" t="str">
        <x:v>PI = 1.6% in FY26 and 1.5% thereafter, applied to the prior-year established-product price base. These are assumptions; the FY26 rate uses a public price-growth proxy.</x:v>
      </x:c>
      <x:c r="B50" s="3"/>
      <x:c r="C50" s="3"/>
      <x:c r="D50" s="3"/>
      <x:c r="E50" s="3"/>
      <x:c r="F50" s="3"/>
      <x:c r="G50" s="3"/>
    </x:row>
    <x:row r="51" ht="40" customHeight="1">
      <x:c r="A51" s="3" t="str">
        <x:v>VI = modelled volume / product mix residual. The main three-series chart nets portfolio and service adjustments into VI; the bridge above shows those items separately.</x:v>
      </x:c>
      <x:c r="B51" s="3"/>
      <x:c r="C51" s="3"/>
      <x:c r="D51" s="3"/>
      <x:c r="E51" s="3"/>
      <x:c r="F51" s="3"/>
      <x:c r="G51" s="3"/>
    </x:row>
    <x:row r="52" ht="40" customHeight="1">
      <x:c r="A52" s="3" t="str">
        <x:v>FY29 includes INR162m of contingent Abrysvo revenue from the current model. Launch timing and listed-company allocation are assumptions. No private-company product transfer is assumed.</x:v>
      </x:c>
      <x:c r="B52" s="3"/>
      <x:c r="C52" s="3"/>
      <x:c r="D52" s="3"/>
      <x:c r="E52" s="3"/>
      <x:c r="F52" s="3"/>
      <x:c r="G52" s="3"/>
    </x:row>
    <x:row r="53" ht="36" customHeight="1">
      <x:c r="A53" s="3" t="str">
        <x:v>Price is not set to force the conclusion: changing the price assumption reallocates PI and VI while preserving the total revenue forecast. NI follows the modelled launch cohort.</x:v>
      </x:c>
      <x:c r="B53" s="3"/>
      <x:c r="C53" s="3"/>
      <x:c r="D53" s="3"/>
      <x:c r="E53" s="3"/>
      <x:c r="F53" s="3"/>
      <x:c r="G53" s="3"/>
    </x:row>
    <x:row r="54" ht="22" customHeight="1">
      <x:c r="A54" s="1"/>
      <x:c r="B54" s="1"/>
      <x:c r="C54" s="1"/>
      <x:c r="D54" s="1"/>
      <x:c r="E54" s="1"/>
      <x:c r="F54" s="1"/>
      <x:c r="G54" s="1"/>
    </x:row>
    <x:row r="55" ht="22" customHeight="1">
      <x:c r="A55" s="1"/>
      <x:c r="B55" s="1"/>
      <x:c r="C55" s="1"/>
      <x:c r="D55" s="1"/>
      <x:c r="E55" s="1"/>
      <x:c r="F55" s="1"/>
      <x:c r="G55" s="1"/>
    </x:row>
    <x:row r="56" ht="22" customHeight="1">
      <x:c r="A56" s="1"/>
      <x:c r="B56" s="1"/>
      <x:c r="C56" s="1"/>
      <x:c r="D56" s="1"/>
      <x:c r="E56" s="1"/>
      <x:c r="F56" s="1"/>
      <x:c r="G56" s="1"/>
    </x:row>
    <x:row r="57" ht="22" customHeight="1">
      <x:c r="A57" s="1"/>
      <x:c r="B57" s="1"/>
      <x:c r="C57" s="1"/>
      <x:c r="D57" s="1"/>
      <x:c r="E57" s="1"/>
      <x:c r="F57" s="1"/>
      <x:c r="G57" s="1"/>
    </x:row>
    <x:row r="58" ht="22" customHeight="1">
      <x:c r="A58" s="1"/>
      <x:c r="B58" s="1"/>
      <x:c r="C58" s="1"/>
      <x:c r="D58" s="1"/>
      <x:c r="E58" s="1"/>
      <x:c r="F58" s="1"/>
      <x:c r="G58" s="1"/>
    </x:row>
    <x:row r="59" ht="22" customHeight="1">
      <x:c r="A59" s="1"/>
      <x:c r="B59" s="1"/>
      <x:c r="C59" s="1"/>
      <x:c r="D59" s="1"/>
      <x:c r="E59" s="1"/>
      <x:c r="F59" s="1"/>
      <x:c r="G59" s="1"/>
    </x:row>
    <x:row r="60" ht="22" customHeight="1">
      <x:c r="A60" s="1"/>
      <x:c r="B60" s="1"/>
      <x:c r="C60" s="1"/>
      <x:c r="D60" s="1"/>
      <x:c r="E60" s="1"/>
      <x:c r="F60" s="1"/>
      <x:c r="G60" s="1"/>
    </x:row>
    <x:row r="61" ht="22" customHeight="1">
      <x:c r="A61" s="1"/>
      <x:c r="B61" s="1"/>
      <x:c r="C61" s="1"/>
      <x:c r="D61" s="1"/>
      <x:c r="E61" s="1"/>
      <x:c r="F61" s="1"/>
      <x:c r="G61" s="1"/>
    </x:row>
    <x:row r="62" ht="22" customHeight="1">
      <x:c r="A62" s="1"/>
      <x:c r="B62" s="1"/>
      <x:c r="C62" s="1"/>
      <x:c r="D62" s="1"/>
      <x:c r="E62" s="1"/>
      <x:c r="F62" s="1"/>
      <x:c r="G62" s="1"/>
    </x:row>
    <x:row r="63" ht="22" customHeight="1">
      <x:c r="A63" s="1"/>
      <x:c r="B63" s="1"/>
      <x:c r="C63" s="1"/>
      <x:c r="D63" s="1"/>
      <x:c r="E63" s="1"/>
      <x:c r="F63" s="1"/>
      <x:c r="G63" s="1"/>
    </x:row>
    <x:row r="64" ht="22" customHeight="1">
      <x:c r="A64" s="1"/>
      <x:c r="B64" s="1"/>
      <x:c r="C64" s="1"/>
      <x:c r="D64" s="1"/>
      <x:c r="E64" s="1"/>
      <x:c r="F64" s="1"/>
      <x:c r="G64" s="1"/>
    </x:row>
    <x:row r="65" ht="22" customHeight="1">
      <x:c r="A65" s="1"/>
      <x:c r="B65" s="1"/>
      <x:c r="C65" s="1"/>
      <x:c r="D65" s="1"/>
      <x:c r="E65" s="1"/>
      <x:c r="F65" s="1"/>
      <x:c r="G65" s="1"/>
    </x:row>
    <x:row r="66" ht="22" customHeight="1">
      <x:c r="A66" s="1"/>
      <x:c r="B66" s="1"/>
      <x:c r="C66" s="1"/>
      <x:c r="D66" s="1"/>
      <x:c r="E66" s="1"/>
      <x:c r="F66" s="1"/>
      <x:c r="G66" s="1"/>
    </x:row>
    <x:row r="67" ht="22" customHeight="1">
      <x:c r="A67" s="1"/>
      <x:c r="B67" s="1"/>
      <x:c r="C67" s="1"/>
      <x:c r="D67" s="1"/>
      <x:c r="E67" s="1"/>
      <x:c r="F67" s="1"/>
      <x:c r="G67" s="1"/>
    </x:row>
    <x:row r="68" ht="22" customHeight="1">
      <x:c r="A68" s="1"/>
      <x:c r="B68" s="1"/>
      <x:c r="C68" s="1"/>
      <x:c r="D68" s="1"/>
      <x:c r="E68" s="1"/>
      <x:c r="F68" s="1"/>
      <x:c r="G68" s="1"/>
    </x:row>
    <x:row r="69" ht="22" customHeight="1">
      <x:c r="A69" s="1"/>
      <x:c r="B69" s="1"/>
      <x:c r="C69" s="1"/>
      <x:c r="D69" s="1"/>
      <x:c r="E69" s="1"/>
      <x:c r="F69" s="1"/>
      <x:c r="G69" s="1"/>
    </x:row>
    <x:row r="70" ht="22" customHeight="1">
      <x:c r="A70" s="1"/>
      <x:c r="B70" s="1"/>
      <x:c r="C70" s="1"/>
      <x:c r="D70" s="1"/>
      <x:c r="E70" s="1"/>
      <x:c r="F70" s="1"/>
      <x:c r="G70" s="1"/>
    </x:row>
    <x:row r="71" ht="22" customHeight="1">
      <x:c r="A71" s="1"/>
      <x:c r="B71" s="1"/>
      <x:c r="C71" s="1"/>
      <x:c r="D71" s="1"/>
      <x:c r="E71" s="1"/>
      <x:c r="F71" s="1"/>
      <x:c r="G71" s="1"/>
    </x:row>
    <x:row r="72" ht="22" customHeight="1">
      <x:c r="A72" s="1"/>
      <x:c r="B72" s="1"/>
      <x:c r="C72" s="1"/>
      <x:c r="D72" s="1"/>
      <x:c r="E72" s="1"/>
      <x:c r="F72" s="1"/>
      <x:c r="G72" s="1"/>
    </x:row>
    <x:row r="73" ht="22" customHeight="1">
      <x:c r="A73" s="1"/>
      <x:c r="B73" s="1"/>
      <x:c r="C73" s="1"/>
      <x:c r="D73" s="1"/>
      <x:c r="E73" s="1"/>
      <x:c r="F73" s="1"/>
      <x:c r="G73" s="1"/>
    </x:row>
    <x:row r="74" ht="22" customHeight="1">
      <x:c r="A74" s="1"/>
      <x:c r="B74" s="1"/>
      <x:c r="C74" s="1"/>
      <x:c r="D74" s="1"/>
      <x:c r="E74" s="1"/>
      <x:c r="F74" s="1"/>
      <x:c r="G74" s="1"/>
    </x:row>
    <x:row r="75" ht="22" customHeight="1">
      <x:c r="A75" s="1"/>
      <x:c r="B75" s="1"/>
      <x:c r="C75" s="1"/>
      <x:c r="D75" s="1"/>
      <x:c r="E75" s="1"/>
      <x:c r="F75" s="1"/>
      <x:c r="G75" s="1"/>
    </x:row>
    <x:row r="76" ht="22" customHeight="1">
      <x:c r="A76" s="1"/>
      <x:c r="B76" s="1"/>
      <x:c r="C76" s="1"/>
      <x:c r="D76" s="1"/>
      <x:c r="E76" s="1"/>
      <x:c r="F76" s="1"/>
      <x:c r="G76" s="1"/>
    </x:row>
    <x:row r="77" ht="22" customHeight="1">
      <x:c r="A77" s="1"/>
      <x:c r="B77" s="1"/>
      <x:c r="C77" s="1"/>
      <x:c r="D77" s="1"/>
      <x:c r="E77" s="1"/>
      <x:c r="F77" s="1"/>
      <x:c r="G77" s="1"/>
    </x:row>
    <x:row r="78" ht="22" customHeight="1">
      <x:c r="A78" s="1"/>
      <x:c r="B78" s="1"/>
      <x:c r="C78" s="1"/>
      <x:c r="D78" s="1"/>
      <x:c r="E78" s="1"/>
      <x:c r="F78" s="1"/>
      <x:c r="G78" s="1"/>
    </x:row>
    <x:row r="79" ht="22" customHeight="1">
      <x:c r="A79" s="1"/>
      <x:c r="B79" s="1"/>
      <x:c r="C79" s="1"/>
      <x:c r="D79" s="1"/>
      <x:c r="E79" s="1"/>
      <x:c r="F79" s="1"/>
      <x:c r="G79" s="1"/>
    </x:row>
    <x:row r="80" ht="22" customHeight="1">
      <x:c r="A80" s="1"/>
      <x:c r="B80" s="1"/>
      <x:c r="C80" s="1"/>
      <x:c r="D80" s="1"/>
      <x:c r="E80" s="1"/>
      <x:c r="F80" s="1"/>
      <x:c r="G80" s="1"/>
    </x:row>
    <x:row r="81" ht="22" customHeight="1">
      <x:c r="A81" s="1"/>
      <x:c r="B81" s="1"/>
      <x:c r="C81" s="1"/>
      <x:c r="D81" s="1"/>
      <x:c r="E81" s="1"/>
      <x:c r="F81" s="1"/>
      <x:c r="G81" s="1"/>
    </x:row>
    <x:row r="82" ht="22" customHeight="1">
      <x:c r="A82" s="1"/>
      <x:c r="B82" s="1"/>
      <x:c r="C82" s="1"/>
      <x:c r="D82" s="1"/>
      <x:c r="E82" s="1"/>
      <x:c r="F82" s="1"/>
      <x:c r="G82" s="1"/>
    </x:row>
    <x:row r="83" ht="22" customHeight="1">
      <x:c r="A83" s="1"/>
      <x:c r="B83" s="1"/>
      <x:c r="C83" s="1"/>
      <x:c r="D83" s="1"/>
      <x:c r="E83" s="1"/>
      <x:c r="F83" s="1"/>
      <x:c r="G83" s="1"/>
    </x:row>
    <x:row r="84" ht="22" customHeight="1">
      <x:c r="A84" s="1"/>
      <x:c r="B84" s="1"/>
      <x:c r="C84" s="1"/>
      <x:c r="D84" s="1"/>
      <x:c r="E84" s="1"/>
      <x:c r="F84" s="1"/>
      <x:c r="G84" s="1"/>
    </x:row>
    <x:row r="85" ht="22" customHeight="1">
      <x:c r="A85" s="1"/>
      <x:c r="B85" s="1"/>
      <x:c r="C85" s="1"/>
      <x:c r="D85" s="1"/>
      <x:c r="E85" s="1"/>
      <x:c r="F85" s="1"/>
      <x:c r="G85" s="1"/>
    </x:row>
  </x:sheetData>
  <x:mergeCells>
    <x:mergeCell ref="A2:G2"/>
    <x:mergeCell ref="A3:G3"/>
    <x:mergeCell ref="A13:G13"/>
    <x:mergeCell ref="A11:G11"/>
    <x:mergeCell ref="A21:G21"/>
    <x:mergeCell ref="A26:G26"/>
    <x:mergeCell ref="A47:G47"/>
    <x:mergeCell ref="A48:G48"/>
    <x:mergeCell ref="A49:G49"/>
    <x:mergeCell ref="A50:G50"/>
    <x:mergeCell ref="A51:G51"/>
    <x:mergeCell ref="A52:G52"/>
    <x:mergeCell ref="A53:G53"/>
  </x:mergeCells>
  <x:pageMargins left="0.7" right="0.7" top="0.75" bottom="0.75" header="0.3" footer="0.3"/>
  <x:drawing xmlns:r="http://schemas.openxmlformats.org/officeDocument/2006/relationships" r:id="R06452e1d2d6a43ab"/>
</x:worksheet>
</file>

<file path=xl/worksheets/sheet2.xml><?xml version="1.0" encoding="utf-8"?>
<x:worksheet xmlns:x="http://schemas.openxmlformats.org/spreadsheetml/2006/main">
  <x:sheetPr>
    <x:tabColor rgb="FF003B7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.560001373291016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37.77999877929687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34" customHeight="1">
      <x:c r="A2" s="4" t="str">
        <x:v>Source model and growth attribution</x:v>
      </x:c>
      <x:c r="B2" s="3"/>
      <x:c r="C2" s="3"/>
      <x:c r="D2" s="3"/>
      <x:c r="E2" s="3"/>
      <x:c r="F2" s="3"/>
      <x:c r="G2" s="3"/>
    </x:row>
    <x:row r="3" ht="32" customHeight="1">
      <x:c r="A3" s="3" t="str">
        <x:v>INR million unless stated. Blue inputs are source-model values or explicit assumptions; black formulas calculate the attribution.</x:v>
      </x:c>
      <x:c r="B3" s="3"/>
      <x:c r="C3" s="3"/>
      <x:c r="D3" s="3"/>
      <x:c r="E3" s="3"/>
      <x:c r="F3" s="3"/>
      <x:c r="G3" s="3"/>
    </x:row>
    <x:row r="4" ht="22" customHeight="1">
      <x:c r="A4" s="1"/>
      <x:c r="B4" s="1"/>
      <x:c r="C4" s="1"/>
      <x:c r="D4" s="1"/>
      <x:c r="E4" s="1"/>
      <x:c r="F4" s="1"/>
      <x:c r="G4" s="1"/>
    </x:row>
    <x:row r="5" ht="42" customHeight="1">
      <x:c r="A5" s="8" t="str">
        <x:v>Model / assumption</x:v>
      </x:c>
      <x:c r="B5" s="8" t="str">
        <x:v>FY25A</x:v>
      </x:c>
      <x:c r="C5" s="8" t="str">
        <x:v>FY26A</x:v>
      </x:c>
      <x:c r="D5" s="8" t="str">
        <x:v>FY27E</x:v>
      </x:c>
      <x:c r="E5" s="8" t="str">
        <x:v>FY28E</x:v>
      </x:c>
      <x:c r="F5" s="8" t="str">
        <x:v>FY29E</x:v>
      </x:c>
      <x:c r="G5" s="8" t="str">
        <x:v>Basis / source</x:v>
      </x:c>
    </x:row>
    <x:row r="6" ht="48" customHeight="1">
      <x:c r="A6" s="2" t="str">
        <x:v>Product revenue</x:v>
      </x:c>
      <x:c r="B6" s="11" t="n">
        <x:v>21283.6</x:v>
      </x:c>
      <x:c r="C6" s="11" t="n">
        <x:v>23771.1</x:v>
      </x:c>
      <x:c r="D6" s="11" t="n">
        <x:v>24612.463573425684</x:v>
      </x:c>
      <x:c r="E6" s="11" t="n">
        <x:v>26084.13561035625</x:v>
      </x:c>
      <x:c r="F6" s="11" t="n">
        <x:v>28940.989466143837</x:v>
      </x:c>
      <x:c r="G6" s="2" t="str">
        <x:v>PFZ_Rev.xlsx, Revenue Model!E8:F8,K8,P8:Q8; company totals actual through FY26.</x:v>
      </x:c>
    </x:row>
    <x:row r="7" ht="48" customHeight="1">
      <x:c r="A7" s="2" t="str">
        <x:v>Service revenue</x:v>
      </x:c>
      <x:c r="B7" s="11" t="n">
        <x:v>1526.4</x:v>
      </x:c>
      <x:c r="C7" s="11" t="n">
        <x:v>1421.6</x:v>
      </x:c>
      <x:c r="D7" s="11" t="n">
        <x:v>1421.6</x:v>
      </x:c>
      <x:c r="E7" s="11" t="n">
        <x:v>1421.6</x:v>
      </x:c>
      <x:c r="F7" s="11" t="n">
        <x:v>1421.6</x:v>
      </x:c>
      <x:c r="G7" s="2" t="str">
        <x:v>PFZ_Rev.xlsx, Revenue Model!E9:F9,K9,P9:Q9; flat forecast.</x:v>
      </x:c>
    </x:row>
    <x:row r="8" ht="48" customHeight="1">
      <x:c r="A8" s="2" t="str">
        <x:v>Other operating revenue</x:v>
      </x:c>
      <x:c r="B8" s="11" t="n">
        <x:v>3.5</x:v>
      </x:c>
      <x:c r="C8" s="11" t="n">
        <x:v>3.8</x:v>
      </x:c>
      <x:c r="D8" s="11" t="n">
        <x:v>3.8</x:v>
      </x:c>
      <x:c r="E8" s="11" t="n">
        <x:v>3.8</x:v>
      </x:c>
      <x:c r="F8" s="11" t="n">
        <x:v>3.8</x:v>
      </x:c>
      <x:c r="G8" s="2" t="str">
        <x:v>PFZ_Rev.xlsx, Revenue Model!E10:F10,K10,P10:Q10.</x:v>
      </x:c>
    </x:row>
    <x:row r="9" ht="22" customHeight="1">
      <x:c r="A9" s="16" t="str">
        <x:v>Revenue from operations</x:v>
      </x:c>
      <x:c r="B9" s="18" t="n">
        <x:f>SUM(B6:B8)</x:f>
        <x:v>22813.5</x:v>
      </x:c>
      <x:c r="C9" s="18" t="n">
        <x:f>SUM(C6:C8)</x:f>
        <x:v>25196.499999999996</x:v>
      </x:c>
      <x:c r="D9" s="18" t="n">
        <x:f>SUM(D6:D8)</x:f>
        <x:v>26037.863573425682</x:v>
      </x:c>
      <x:c r="E9" s="18" t="n">
        <x:f>SUM(E6:E8)</x:f>
        <x:v>27509.535610356248</x:v>
      </x:c>
      <x:c r="F9" s="18" t="n">
        <x:f>SUM(F6:F8)</x:f>
        <x:v>30366.389466143835</x:v>
      </x:c>
      <x:c r="G9" s="14"/>
    </x:row>
    <x:row r="10" ht="22" customHeight="1">
      <x:c r="A10" s="1"/>
      <x:c r="B10" s="12"/>
      <x:c r="C10" s="12"/>
      <x:c r="D10" s="12"/>
      <x:c r="E10" s="12"/>
      <x:c r="F10" s="12"/>
      <x:c r="G10" s="1"/>
    </x:row>
    <x:row r="11" ht="29" customHeight="1">
      <x:c r="A11" s="8" t="str">
        <x:v>NI cohort: increment from FY26 launches and modelled pipeline</x:v>
      </x:c>
      <x:c r="B11" s="23"/>
      <x:c r="C11" s="23"/>
      <x:c r="D11" s="23"/>
      <x:c r="E11" s="23"/>
      <x:c r="F11" s="23"/>
      <x:c r="G11" s="8"/>
    </x:row>
    <x:row r="12" ht="48" customHeight="1">
      <x:c r="A12" s="2" t="str">
        <x:v>Prevenar 20</x:v>
      </x:c>
      <x:c r="B12" s="11" t="n">
        <x:v>0</x:v>
      </x:c>
      <x:c r="C12" s="11" t="n">
        <x:v>820</x:v>
      </x:c>
      <x:c r="D12" s="11" t="n">
        <x:v>1140.21</x:v>
      </x:c>
      <x:c r="E12" s="11" t="n">
        <x:v>1585.4620050000008</x:v>
      </x:c>
      <x:c r="F12" s="11" t="n">
        <x:v>2204.5849179525017</x:v>
      </x:c>
      <x:c r="G12" s="2" t="str">
        <x:v>Model estimates: Revenue Model!E19:F19,K19,P19:Q19.</x:v>
      </x:c>
    </x:row>
    <x:row r="13" ht="48" customHeight="1">
      <x:c r="A13" s="2" t="str">
        <x:v>Emblaveo</x:v>
      </x:c>
      <x:c r="B13" s="11" t="n">
        <x:v>0</x:v>
      </x:c>
      <x:c r="C13" s="11" t="n">
        <x:v>180</x:v>
      </x:c>
      <x:c r="D13" s="11" t="n">
        <x:v>267.525</x:v>
      </x:c>
      <x:c r="E13" s="11" t="n">
        <x:v>397.60903124999993</x:v>
      </x:c>
      <x:c r="F13" s="11" t="n">
        <x:v>590.9464226953123</x:v>
      </x:c>
      <x:c r="G13" s="2" t="str">
        <x:v>Model estimates: Revenue Model!E29:F29,K29,P29:Q29.</x:v>
      </x:c>
    </x:row>
    <x:row r="14" ht="48" customHeight="1">
      <x:c r="A14" s="2" t="str">
        <x:v>Nurtec</x:v>
      </x:c>
      <x:c r="B14" s="11" t="n">
        <x:v>0</x:v>
      </x:c>
      <x:c r="C14" s="11" t="n">
        <x:v>80</x:v>
      </x:c>
      <x:c r="D14" s="11" t="n">
        <x:v>127.1</x:v>
      </x:c>
      <x:c r="E14" s="11" t="n">
        <x:v>201.93012499999998</x:v>
      </x:c>
      <x:c r="F14" s="11" t="n">
        <x:v>320.8164860937499</x:v>
      </x:c>
      <x:c r="G14" s="2" t="str">
        <x:v>Model estimates: Revenue Model!E73:F73,K73,P73:Q73.</x:v>
      </x:c>
    </x:row>
    <x:row r="15" ht="48" customHeight="1">
      <x:c r="A15" s="2" t="str">
        <x:v>Abrysvo (contingent pipeline)</x:v>
      </x:c>
      <x:c r="B15" s="11" t="n">
        <x:v>0</x:v>
      </x:c>
      <x:c r="C15" s="11" t="n">
        <x:v>0</x:v>
      </x:c>
      <x:c r="D15" s="11" t="n">
        <x:v>0</x:v>
      </x:c>
      <x:c r="E15" s="11" t="n">
        <x:v>0</x:v>
      </x:c>
      <x:c r="F15" s="11" t="n">
        <x:v>162</x:v>
      </x:c>
      <x:c r="G15" s="2" t="str">
        <x:v>Model estimate: Revenue Model!Q21; listed allocation and timing remain unconfirmed.</x:v>
      </x:c>
    </x:row>
    <x:row r="16" ht="22" customHeight="1">
      <x:c r="A16" s="16" t="str">
        <x:v>Total FY26+ launch cohort</x:v>
      </x:c>
      <x:c r="B16" s="18" t="n">
        <x:f>SUM(B12:B15)</x:f>
        <x:v>0</x:v>
      </x:c>
      <x:c r="C16" s="18" t="n">
        <x:f>SUM(C12:C15)</x:f>
        <x:v>1080</x:v>
      </x:c>
      <x:c r="D16" s="18" t="n">
        <x:f>SUM(D12:D15)</x:f>
        <x:v>1534.835</x:v>
      </x:c>
      <x:c r="E16" s="18" t="n">
        <x:f>SUM(E12:E15)</x:f>
        <x:v>2185.0011612500007</x:v>
      </x:c>
      <x:c r="F16" s="18" t="n">
        <x:f>SUM(F12:F15)</x:f>
        <x:v>3278.347826741564</x:v>
      </x:c>
      <x:c r="G16" s="14"/>
    </x:row>
    <x:row r="17" ht="22" customHeight="1">
      <x:c r="A17" s="1"/>
      <x:c r="B17" s="12"/>
      <x:c r="C17" s="12"/>
      <x:c r="D17" s="12"/>
      <x:c r="E17" s="12"/>
      <x:c r="F17" s="12"/>
      <x:c r="G17" s="1"/>
    </x:row>
    <x:row r="18" ht="48" customHeight="1">
      <x:c r="A18" s="2" t="str">
        <x:v>Minipress XL</x:v>
      </x:c>
      <x:c r="B18" s="11" t="n">
        <x:v>1600</x:v>
      </x:c>
      <x:c r="C18" s="11" t="n">
        <x:v>1725</x:v>
      </x:c>
      <x:c r="D18" s="11" t="n">
        <x:v>786.9392984256848</x:v>
      </x:c>
      <x:c r="E18" s="11" t="n">
        <x:v>0</x:v>
      </x:c>
      <x:c r="F18" s="11" t="n">
        <x:v>0</x:v>
      </x:c>
      <x:c r="G18" s="2" t="str">
        <x:v>Model estimates: Revenue Model!E35:F35,K35,P35:Q35; exit effective 7 Sep 2026.</x:v>
      </x:c>
    </x:row>
    <x:row r="19" ht="22" customHeight="1">
      <x:c r="A19" s="1"/>
      <x:c r="B19" s="12"/>
      <x:c r="C19" s="12"/>
      <x:c r="D19" s="12"/>
      <x:c r="E19" s="12"/>
      <x:c r="F19" s="12"/>
      <x:c r="G19" s="1"/>
    </x:row>
    <x:row r="20" ht="48" customHeight="1">
      <x:c r="A20" s="2" t="str">
        <x:v>Cipla transition adjustment</x:v>
      </x:c>
      <x:c r="B20" s="11" t="n">
        <x:v>0</x:v>
      </x:c>
      <x:c r="C20" s="11" t="n">
        <x:v>0</x:v>
      </x:c>
      <x:c r="D20" s="28" t="n">
        <x:f>SUM(F50:F53)</x:f>
        <x:v>-159.36974999999995</x:v>
      </x:c>
      <x:c r="E20" s="11" t="n">
        <x:v>0</x:v>
      </x:c>
      <x:c r="F20" s="11" t="n">
        <x:v>0</x:v>
      </x:c>
      <x:c r="G20" s="2" t="str">
        <x:v>FY27 model haircut on Neksium, Corex DX / LS and Dolonex. Calculated below.</x:v>
      </x:c>
    </x:row>
    <x:row r="21" ht="22" customHeight="1">
      <x:c r="A21" s="1"/>
      <x:c r="B21" s="1"/>
      <x:c r="C21" s="1"/>
      <x:c r="D21" s="1"/>
      <x:c r="E21" s="1"/>
      <x:c r="F21" s="1"/>
      <x:c r="G21" s="1"/>
    </x:row>
    <x:row r="22" ht="48" customHeight="1">
      <x:c r="A22" s="2" t="str">
        <x:v>Assumed price uplift</x:v>
      </x:c>
      <x:c r="B22" s="13"/>
      <x:c r="C22" s="13" t="n">
        <x:v>0.016</x:v>
      </x:c>
      <x:c r="D22" s="13" t="n">
        <x:v>0.015</x:v>
      </x:c>
      <x:c r="E22" s="13" t="n">
        <x:v>0.015</x:v>
      </x:c>
      <x:c r="F22" s="13" t="n">
        <x:v>0.015</x:v>
      </x:c>
      <x:c r="G22" s="2" t="str">
        <x:v>FY26 calibrated to public 1.6% price proxy; FY27–FY29 are analyst assumptions, not disclosed company price growth.</x:v>
      </x:c>
    </x:row>
    <x:row r="23" ht="29" customHeight="1">
      <x:c r="A23" s="8" t="str">
        <x:v>Annual attribution: price is assumed, volume / mix is the residual</x:v>
      </x:c>
      <x:c r="B23" s="8"/>
      <x:c r="C23" s="8"/>
      <x:c r="D23" s="8"/>
      <x:c r="E23" s="8"/>
      <x:c r="F23" s="8"/>
      <x:c r="G23" s="8"/>
    </x:row>
    <x:row r="24" ht="22" customHeight="1">
      <x:c r="A24" s="1" t="str">
        <x:v>Established-product price base</x:v>
      </x:c>
      <x:c r="B24" s="1"/>
      <x:c r="C24" s="12" t="n">
        <x:f>B6-B16-MAX(B18-C18,0)</x:f>
        <x:v>21283.6</x:v>
      </x:c>
      <x:c r="D24" s="12" t="n">
        <x:f>C6-C16-MAX(C18-D18,0)</x:f>
        <x:v>21753.039298425683</x:v>
      </x:c>
      <x:c r="E24" s="12" t="n">
        <x:f>D6-D16-MAX(D18-E18,0)</x:f>
        <x:v>22290.689275</x:v>
      </x:c>
      <x:c r="F24" s="12" t="n">
        <x:f>E6-E16-MAX(E18-F18,0)</x:f>
        <x:v>23899.13444910625</x:v>
      </x:c>
      <x:c r="G24" s="1"/>
    </x:row>
    <x:row r="25" ht="22" customHeight="1">
      <x:c r="A25" s="1" t="str">
        <x:v>Price contribution (INR mn)</x:v>
      </x:c>
      <x:c r="B25" s="1"/>
      <x:c r="C25" s="12" t="n">
        <x:f>C24*C22</x:f>
        <x:v>340.5376</x:v>
      </x:c>
      <x:c r="D25" s="12" t="n">
        <x:f>D24*D22</x:f>
        <x:v>326.29558947638526</x:v>
      </x:c>
      <x:c r="E25" s="12" t="n">
        <x:f>E24*E22</x:f>
        <x:v>334.360339125</x:v>
      </x:c>
      <x:c r="F25" s="12" t="n">
        <x:f>F24*F22</x:f>
        <x:v>358.4870167365937</x:v>
      </x:c>
      <x:c r="G25" s="1"/>
    </x:row>
    <x:row r="26" ht="22" customHeight="1">
      <x:c r="A26" s="1"/>
      <x:c r="B26" s="1"/>
      <x:c r="C26" s="12"/>
      <x:c r="D26" s="12"/>
      <x:c r="E26" s="12"/>
      <x:c r="F26" s="12"/>
      <x:c r="G26" s="1"/>
    </x:row>
    <x:row r="27" ht="22" customHeight="1">
      <x:c r="A27" s="1" t="str">
        <x:v>NI: launch-cohort increase (INR mn)</x:v>
      </x:c>
      <x:c r="B27" s="1"/>
      <x:c r="C27" s="12" t="n">
        <x:f>C16-B16</x:f>
        <x:v>1080</x:v>
      </x:c>
      <x:c r="D27" s="12" t="n">
        <x:f>D16-C16</x:f>
        <x:v>454.83500000000004</x:v>
      </x:c>
      <x:c r="E27" s="12" t="n">
        <x:f>E16-D16</x:f>
        <x:v>650.1661612500006</x:v>
      </x:c>
      <x:c r="F27" s="12" t="n">
        <x:f>F16-E16</x:f>
        <x:v>1093.3466654915633</x:v>
      </x:c>
      <x:c r="G27" s="1"/>
    </x:row>
    <x:row r="28" ht="22" customHeight="1">
      <x:c r="A28" s="1" t="str">
        <x:v>Minipress exit adjustment (INR mn)</x:v>
      </x:c>
      <x:c r="B28" s="1"/>
      <x:c r="C28" s="12" t="n">
        <x:f>MIN(C18-B18,0)</x:f>
        <x:v>0</x:v>
      </x:c>
      <x:c r="D28" s="12" t="n">
        <x:f>MIN(D18-C18,0)</x:f>
        <x:v>-938.0607015743152</x:v>
      </x:c>
      <x:c r="E28" s="12" t="n">
        <x:f>MIN(E18-D18,0)</x:f>
        <x:v>-786.9392984256848</x:v>
      </x:c>
      <x:c r="F28" s="12" t="n">
        <x:f>MIN(F18-E18,0)</x:f>
        <x:v>0</x:v>
      </x:c>
      <x:c r="G28" s="1"/>
    </x:row>
    <x:row r="29" ht="22" customHeight="1">
      <x:c r="A29" s="1" t="str">
        <x:v>Service / other change (INR mn)</x:v>
      </x:c>
      <x:c r="B29" s="1"/>
      <x:c r="C29" s="12" t="n">
        <x:f>SUM(C7:C8)-SUM(B7:B8)</x:f>
        <x:v>-104.50000000000023</x:v>
      </x:c>
      <x:c r="D29" s="12" t="n">
        <x:f>SUM(D7:D8)-SUM(C7:C8)</x:f>
        <x:v>0</x:v>
      </x:c>
      <x:c r="E29" s="12" t="n">
        <x:f>SUM(E7:E8)-SUM(D7:D8)</x:f>
        <x:v>0</x:v>
      </x:c>
      <x:c r="F29" s="12" t="n">
        <x:f>SUM(F7:F8)-SUM(E7:E8)</x:f>
        <x:v>0</x:v>
      </x:c>
      <x:c r="G29" s="1"/>
    </x:row>
    <x:row r="30" ht="22" customHeight="1">
      <x:c r="A30" s="1" t="str">
        <x:v>Cipla transition adjustment (INR mn)</x:v>
      </x:c>
      <x:c r="B30" s="1"/>
      <x:c r="C30" s="12" t="n">
        <x:f>C20</x:f>
        <x:v>0</x:v>
      </x:c>
      <x:c r="D30" s="12" t="n">
        <x:f>D20</x:f>
        <x:v>-159.36974999999995</x:v>
      </x:c>
      <x:c r="E30" s="12" t="n">
        <x:f>E20</x:f>
        <x:v>0</x:v>
      </x:c>
      <x:c r="F30" s="12" t="n">
        <x:f>F20</x:f>
        <x:v>0</x:v>
      </x:c>
      <x:c r="G30" s="1"/>
    </x:row>
    <x:row r="31" ht="22" customHeight="1">
      <x:c r="A31" s="16" t="str">
        <x:v>Total adjustments (INR mn)</x:v>
      </x:c>
      <x:c r="B31" s="16"/>
      <x:c r="C31" s="17" t="n">
        <x:f>SUM(C28:C30)</x:f>
        <x:v>-104.50000000000023</x:v>
      </x:c>
      <x:c r="D31" s="17" t="n">
        <x:f>SUM(D28:D30)</x:f>
        <x:v>-1097.4304515743152</x:v>
      </x:c>
      <x:c r="E31" s="17" t="n">
        <x:f>SUM(E28:E30)</x:f>
        <x:v>-786.9392984256848</x:v>
      </x:c>
      <x:c r="F31" s="17" t="n">
        <x:f>SUM(F28:F30)</x:f>
        <x:v>0</x:v>
      </x:c>
      <x:c r="G31" s="1"/>
    </x:row>
    <x:row r="32" ht="22" customHeight="1">
      <x:c r="A32" s="16" t="str">
        <x:v>Total revenue increase (INR mn)</x:v>
      </x:c>
      <x:c r="B32" s="16"/>
      <x:c r="C32" s="17" t="n">
        <x:f>C9-B9</x:f>
        <x:v>2382.9999999999964</x:v>
      </x:c>
      <x:c r="D32" s="17" t="n">
        <x:f>D9-C9</x:f>
        <x:v>841.3635734256859</x:v>
      </x:c>
      <x:c r="E32" s="17" t="n">
        <x:f>E9-D9</x:f>
        <x:v>1471.6720369305658</x:v>
      </x:c>
      <x:c r="F32" s="17" t="n">
        <x:f>F9-E9</x:f>
        <x:v>2856.8538557875872</x:v>
      </x:c>
      <x:c r="G32" s="1"/>
    </x:row>
    <x:row r="33" ht="22" customHeight="1">
      <x:c r="A33" s="1" t="str">
        <x:v>Gross volume / mix residual (INR mn)</x:v>
      </x:c>
      <x:c r="B33" s="1"/>
      <x:c r="C33" s="12" t="n">
        <x:f>C32-C27-C25-C31</x:f>
        <x:v>1066.9623999999967</x:v>
      </x:c>
      <x:c r="D33" s="12" t="n">
        <x:f>D32-D27-D25-D31</x:f>
        <x:v>1157.6634355236158</x:v>
      </x:c>
      <x:c r="E33" s="12" t="n">
        <x:f>E32-E27-E25-E31</x:f>
        <x:v>1274.08483498125</x:v>
      </x:c>
      <x:c r="F33" s="12" t="n">
        <x:f>F32-F27-F25-F31</x:f>
        <x:v>1405.0201735594303</x:v>
      </x:c>
      <x:c r="G33" s="1"/>
    </x:row>
    <x:row r="34" ht="22" customHeight="1">
      <x:c r="A34" s="16" t="str">
        <x:v>VI net of adjustments (INR mn)</x:v>
      </x:c>
      <x:c r="B34" s="16"/>
      <x:c r="C34" s="17" t="n">
        <x:f>C33+C31</x:f>
        <x:v>962.4623999999965</x:v>
      </x:c>
      <x:c r="D34" s="17" t="n">
        <x:f>D33+D31</x:f>
        <x:v>60.23298394930066</x:v>
      </x:c>
      <x:c r="E34" s="17" t="n">
        <x:f>E33+E31</x:f>
        <x:v>487.1455365555652</x:v>
      </x:c>
      <x:c r="F34" s="17" t="n">
        <x:f>F33+F31</x:f>
        <x:v>1405.0201735594303</x:v>
      </x:c>
      <x:c r="G34" s="1"/>
    </x:row>
    <x:row r="35" ht="22" customHeight="1">
      <x:c r="A35" s="1" t="str">
        <x:v>NI contribution (pp)</x:v>
      </x:c>
      <x:c r="B35" s="1"/>
      <x:c r="C35" s="24" t="n">
        <x:f>C27/B9*100</x:f>
        <x:v>4.73403905582221</x:v>
      </x:c>
      <x:c r="D35" s="24" t="n">
        <x:f>D27/C9*100</x:f>
        <x:v>1.8051515091381742</x:v>
      </x:c>
      <x:c r="E35" s="24" t="n">
        <x:f>E27/D9*100</x:f>
        <x:v>2.497002718431792</x:v>
      </x:c>
      <x:c r="F35" s="24" t="n">
        <x:f>F27/E9*100</x:f>
        <x:v>3.9744279255661508</x:v>
      </x:c>
      <x:c r="G35" s="1"/>
    </x:row>
    <x:row r="36" ht="22" customHeight="1">
      <x:c r="A36" s="1" t="str">
        <x:v>Gross volume / mix contribution (pp)</x:v>
      </x:c>
      <x:c r="B36" s="1"/>
      <x:c r="C36" s="24" t="n">
        <x:f>C33/B9*100</x:f>
        <x:v>4.67689043767943</x:v>
      </x:c>
      <x:c r="D36" s="24" t="n">
        <x:f>D33/C9*100</x:f>
        <x:v>4.594540652565301</x:v>
      </x:c>
      <x:c r="E36" s="24" t="n">
        <x:f>E33/D9*100</x:f>
        <x:v>4.893200363341578</x:v>
      </x:c>
      <x:c r="F36" s="24" t="n">
        <x:f>F33/E9*100</x:f>
        <x:v>5.107393281588134</x:v>
      </x:c>
      <x:c r="G36" s="1"/>
    </x:row>
    <x:row r="37" ht="22" customHeight="1">
      <x:c r="A37" s="1" t="str">
        <x:v>PI contribution (pp)</x:v>
      </x:c>
      <x:c r="B37" s="1"/>
      <x:c r="C37" s="24" t="n">
        <x:f>C25/B9*100</x:f>
        <x:v>1.4927021281258903</x:v>
      </x:c>
      <x:c r="D37" s="24" t="n">
        <x:f>D25/C9*100</x:f>
        <x:v>1.2950036293786251</x:v>
      </x:c>
      <x:c r="E37" s="24" t="n">
        <x:f>E25/D9*100</x:f>
        <x:v>1.284131235199531</x:v>
      </x:c>
      <x:c r="F37" s="24" t="n">
        <x:f>F25/E9*100</x:f>
        <x:v>1.3031372896081808</x:v>
      </x:c>
      <x:c r="G37" s="1"/>
    </x:row>
    <x:row r="38" ht="22" customHeight="1">
      <x:c r="A38" s="1" t="str">
        <x:v>Adjustments contribution (pp)</x:v>
      </x:c>
      <x:c r="B38" s="1"/>
      <x:c r="C38" s="24" t="n">
        <x:f>C31/B9*100</x:f>
        <x:v>-0.4580621123457612</x:v>
      </x:c>
      <x:c r="D38" s="24" t="n">
        <x:f>D31/C9*100</x:f>
        <x:v>-4.355487673186019</x:v>
      </x:c>
      <x:c r="E38" s="24" t="n">
        <x:f>E31/D9*100</x:f>
        <x:v>-3.0222882772488187</x:v>
      </x:c>
      <x:c r="F38" s="24" t="n">
        <x:f>F31/E9*100</x:f>
        <x:v>0</x:v>
      </x:c>
      <x:c r="G38" s="1"/>
    </x:row>
    <x:row r="39" ht="22" customHeight="1">
      <x:c r="A39" s="1" t="str">
        <x:v>VI net of adjustments (pp)</x:v>
      </x:c>
      <x:c r="B39" s="1"/>
      <x:c r="C39" s="24" t="n">
        <x:f>C34/B9*100</x:f>
        <x:v>4.218828325333669</x:v>
      </x:c>
      <x:c r="D39" s="24" t="n">
        <x:f>D34/C9*100</x:f>
        <x:v>0.2390529793792815</x:v>
      </x:c>
      <x:c r="E39" s="24" t="n">
        <x:f>E34/D9*100</x:f>
        <x:v>1.8709120860927595</x:v>
      </x:c>
      <x:c r="F39" s="24" t="n">
        <x:f>F34/E9*100</x:f>
        <x:v>5.107393281588134</x:v>
      </x:c>
      <x:c r="G39" s="1"/>
    </x:row>
    <x:row r="40" ht="22" customHeight="1">
      <x:c r="A40" s="16" t="str">
        <x:v>Total YoY revenue growth (%)</x:v>
      </x:c>
      <x:c r="B40" s="16"/>
      <x:c r="C40" s="27" t="n">
        <x:f>C32/B9*100</x:f>
        <x:v>10.445569509281768</x:v>
      </x:c>
      <x:c r="D40" s="27" t="n">
        <x:f>D32/C9*100</x:f>
        <x:v>3.3392081178960806</x:v>
      </x:c>
      <x:c r="E40" s="27" t="n">
        <x:f>E32/D9*100</x:f>
        <x:v>5.652046039724082</x:v>
      </x:c>
      <x:c r="F40" s="27" t="n">
        <x:f>F32/E9*100</x:f>
        <x:v>10.384958496762465</x:v>
      </x:c>
      <x:c r="G40" s="1"/>
    </x:row>
    <x:row r="41" ht="22" customHeight="1">
      <x:c r="A41" s="1" t="str">
        <x:v>Attribution reconciliation (pp)</x:v>
      </x:c>
      <x:c r="B41" s="1"/>
      <x:c r="C41" s="24" t="n">
        <x:f>SUM(C35:C38)-C40</x:f>
        <x:v>1.7763568394002505e-15</x:v>
      </x:c>
      <x:c r="D41" s="24" t="n">
        <x:f>SUM(D35:D38)-D40</x:f>
        <x:v>8.881784197001252e-16</x:v>
      </x:c>
      <x:c r="E41" s="24" t="n">
        <x:f>SUM(E35:E38)-E40</x:f>
        <x:v>0</x:v>
      </x:c>
      <x:c r="F41" s="24" t="n">
        <x:f>SUM(F35:F38)-F40</x:f>
        <x:v>0</x:v>
      </x:c>
      <x:c r="G41" s="1"/>
    </x:row>
    <x:row r="42" ht="22" customHeight="1">
      <x:c r="A42" s="1"/>
      <x:c r="B42" s="1"/>
      <x:c r="C42" s="1"/>
      <x:c r="D42" s="1"/>
      <x:c r="E42" s="1"/>
      <x:c r="F42" s="1"/>
      <x:c r="G42" s="1"/>
    </x:row>
    <x:row r="43" ht="22" customHeight="1">
      <x:c r="A43" s="1" t="str">
        <x:v>NI + VI share of revenue increase</x:v>
      </x:c>
      <x:c r="B43" s="1"/>
      <x:c r="C43" s="25" t="n">
        <x:f>(C27+C34)/C32</x:f>
        <x:v>0.8570971044901383</x:v>
      </x:c>
      <x:c r="D43" s="25" t="n">
        <x:f>(D27+D34)/D32</x:f>
        <x:v>0.6121824146155461</x:v>
      </x:c>
      <x:c r="E43" s="25" t="n">
        <x:f>(E27+E34)/E32</x:f>
        <x:v>0.772802410636022</x:v>
      </x:c>
      <x:c r="F43" s="25" t="n">
        <x:f>(F27+F34)/F32</x:f>
        <x:v>0.8745168514621955</x:v>
      </x:c>
      <x:c r="G43" s="1"/>
    </x:row>
    <x:row r="44" ht="22" customHeight="1">
      <x:c r="A44" s="1" t="str">
        <x:v>Product revenue YoY growth</x:v>
      </x:c>
      <x:c r="B44" s="1"/>
      <x:c r="C44" s="25" t="n">
        <x:f>C6/B6-1</x:f>
        <x:v>0.11687402507094657</x:v>
      </x:c>
      <x:c r="D44" s="25" t="n">
        <x:f>D6/C6-1</x:f>
        <x:v>0.03539438954973417</x:v>
      </x:c>
      <x:c r="E44" s="25" t="n">
        <x:f>E6/D6-1</x:f>
        <x:v>0.0597937720675612</x:v>
      </x:c>
      <x:c r="F44" s="25" t="n">
        <x:f>F6/E6-1</x:f>
        <x:v>0.1095245745714235</x:v>
      </x:c>
      <x:c r="G44" s="1"/>
    </x:row>
    <x:row r="45" ht="22" customHeight="1">
      <x:c r="A45" s="1" t="str">
        <x:v>Total revenue YoY growth</x:v>
      </x:c>
      <x:c r="B45" s="1"/>
      <x:c r="C45" s="25" t="n">
        <x:f>C9/B9-1</x:f>
        <x:v>0.10445569509281771</x:v>
      </x:c>
      <x:c r="D45" s="25" t="n">
        <x:f>D9/C9-1</x:f>
        <x:v>0.03339208117896075</x:v>
      </x:c>
      <x:c r="E45" s="25" t="n">
        <x:f>E9/D9-1</x:f>
        <x:v>0.0565204603972409</x:v>
      </x:c>
      <x:c r="F45" s="25" t="n">
        <x:f>F9/E9-1</x:f>
        <x:v>0.10384958496762464</x:v>
      </x:c>
      <x:c r="G45" s="1"/>
    </x:row>
    <x:row r="46" ht="22" customHeight="1">
      <x:c r="A46" s="1"/>
      <x:c r="B46" s="1"/>
      <x:c r="C46" s="1"/>
      <x:c r="D46" s="1"/>
      <x:c r="E46" s="1"/>
      <x:c r="F46" s="1"/>
      <x:c r="G46" s="1"/>
    </x:row>
    <x:row r="47" ht="22" customHeight="1">
      <x:c r="A47" s="1"/>
      <x:c r="B47" s="1"/>
      <x:c r="C47" s="1"/>
      <x:c r="D47" s="1"/>
      <x:c r="E47" s="1"/>
      <x:c r="F47" s="1"/>
      <x:c r="G47" s="1"/>
    </x:row>
    <x:row r="48" ht="29" customHeight="1">
      <x:c r="A48" s="8" t="str">
        <x:v>Cipla transition estimate: model haircut in FY27</x:v>
      </x:c>
      <x:c r="B48" s="8"/>
      <x:c r="C48" s="8"/>
      <x:c r="D48" s="8"/>
      <x:c r="E48" s="8"/>
      <x:c r="F48" s="8"/>
      <x:c r="G48" s="8"/>
    </x:row>
    <x:row r="49" ht="42" customHeight="1">
      <x:c r="A49" s="8" t="str">
        <x:v>Listed brand</x:v>
      </x:c>
      <x:c r="B49" s="8" t="str">
        <x:v>FY26 model sales</x:v>
      </x:c>
      <x:c r="C49" s="8" t="str">
        <x:v>FY27 normal growth</x:v>
      </x:c>
      <x:c r="D49" s="8" t="str">
        <x:v>FY27 retained factor</x:v>
      </x:c>
      <x:c r="E49" s="8" t="str">
        <x:v>Before transition</x:v>
      </x:c>
      <x:c r="F49" s="8" t="str">
        <x:v>Revenue adjustment</x:v>
      </x:c>
      <x:c r="G49" s="8" t="str">
        <x:v>Source</x:v>
      </x:c>
    </x:row>
    <x:row r="50" ht="40" customHeight="1">
      <x:c r="A50" s="2" t="str">
        <x:v>Neksium</x:v>
      </x:c>
      <x:c r="B50" s="32" t="n">
        <x:v>350</x:v>
      </x:c>
      <x:c r="C50" s="13" t="n">
        <x:v>0.1124</x:v>
      </x:c>
      <x:c r="D50" s="13" t="n">
        <x:v>0.91</x:v>
      </x:c>
      <x:c r="E50" s="19" t="n">
        <x:f>B50*(1+C50)</x:f>
        <x:v>389.34000000000003</x:v>
      </x:c>
      <x:c r="F50" s="19" t="n">
        <x:f>E50*(D50-1)</x:f>
        <x:v>-35.04059999999999</x:v>
      </x:c>
      <x:c r="G50" s="2" t="str">
        <x:v>PFZ_Rev.xlsx, Assumptions: relevant brand growth and FY27 factor.</x:v>
      </x:c>
    </x:row>
    <x:row r="51" ht="40" customHeight="1">
      <x:c r="A51" s="2" t="str">
        <x:v>Corex DX</x:v>
      </x:c>
      <x:c r="B51" s="32" t="n">
        <x:v>500</x:v>
      </x:c>
      <x:c r="C51" s="13" t="n">
        <x:v>0.1124</x:v>
      </x:c>
      <x:c r="D51" s="13" t="n">
        <x:v>0.91</x:v>
      </x:c>
      <x:c r="E51" s="19" t="n">
        <x:f>B51*(1+C51)</x:f>
        <x:v>556.2</x:v>
      </x:c>
      <x:c r="F51" s="19" t="n">
        <x:f>E51*(D51-1)</x:f>
        <x:v>-50.057999999999986</x:v>
      </x:c>
      <x:c r="G51" s="2" t="str">
        <x:v>PFZ_Rev.xlsx, Assumptions: relevant brand growth and FY27 factor.</x:v>
      </x:c>
    </x:row>
    <x:row r="52" ht="40" customHeight="1">
      <x:c r="A52" s="2" t="str">
        <x:v>Corex LS</x:v>
      </x:c>
      <x:c r="B52" s="32" t="n">
        <x:v>400</x:v>
      </x:c>
      <x:c r="C52" s="13" t="n">
        <x:v>0.1124</x:v>
      </x:c>
      <x:c r="D52" s="13" t="n">
        <x:v>0.91</x:v>
      </x:c>
      <x:c r="E52" s="19" t="n">
        <x:f>B52*(1+C52)</x:f>
        <x:v>444.96000000000004</x:v>
      </x:c>
      <x:c r="F52" s="19" t="n">
        <x:f>E52*(D52-1)</x:f>
        <x:v>-40.04639999999999</x:v>
      </x:c>
      <x:c r="G52" s="2" t="str">
        <x:v>PFZ_Rev.xlsx, Assumptions: relevant brand growth and FY27 factor.</x:v>
      </x:c>
    </x:row>
    <x:row r="53" ht="40" customHeight="1">
      <x:c r="A53" s="2" t="str">
        <x:v>Dolonex</x:v>
      </x:c>
      <x:c r="B53" s="32" t="n">
        <x:v>350</x:v>
      </x:c>
      <x:c r="C53" s="13" t="n">
        <x:v>0.0865</x:v>
      </x:c>
      <x:c r="D53" s="13" t="n">
        <x:v>0.91</x:v>
      </x:c>
      <x:c r="E53" s="19" t="n">
        <x:f>B53*(1+C53)</x:f>
        <x:v>380.27500000000003</x:v>
      </x:c>
      <x:c r="F53" s="19" t="n">
        <x:f>E53*(D53-1)</x:f>
        <x:v>-34.22474999999999</x:v>
      </x:c>
      <x:c r="G53" s="2" t="str">
        <x:v>PFZ_Rev.xlsx, Assumptions: relevant brand growth and FY27 factor.</x:v>
      </x:c>
    </x:row>
    <x:row r="54" ht="22" customHeight="1">
      <x:c r="A54" s="1"/>
      <x:c r="B54" s="1"/>
      <x:c r="C54" s="1"/>
      <x:c r="D54" s="1"/>
      <x:c r="E54" s="1"/>
      <x:c r="F54" s="1"/>
      <x:c r="G54" s="1"/>
    </x:row>
    <x:row r="55" ht="22" customHeight="1">
      <x:c r="A55" s="1"/>
      <x:c r="B55" s="1"/>
      <x:c r="C55" s="1"/>
      <x:c r="D55" s="1"/>
      <x:c r="E55" s="1"/>
      <x:c r="F55" s="1"/>
      <x:c r="G55" s="1"/>
    </x:row>
    <x:row r="56" ht="29" customHeight="1">
      <x:c r="A56" s="8" t="str">
        <x:v>Sources and attribution conventions</x:v>
      </x:c>
      <x:c r="B56" s="8"/>
      <x:c r="C56" s="8"/>
      <x:c r="D56" s="8"/>
      <x:c r="E56" s="8"/>
      <x:c r="F56" s="8"/>
      <x:c r="G56" s="8"/>
    </x:row>
    <x:row r="57" ht="22" customHeight="1">
      <x:c r="A57" s="1"/>
      <x:c r="B57" s="1"/>
      <x:c r="C57" s="1"/>
      <x:c r="D57" s="1"/>
      <x:c r="E57" s="1"/>
      <x:c r="F57" s="1"/>
      <x:c r="G57" s="1"/>
    </x:row>
    <x:row r="58" ht="42" customHeight="1">
      <x:c r="A58" s="3" t="str">
        <x:v>Primary model: PFZ_Rev.xlsx, current version 2, read 26 October 2026. Forecast totals and product assumptions are copied unchanged; this workbook is a separate attribution exhibit.</x:v>
      </x:c>
      <x:c r="B58" s="3"/>
      <x:c r="C58" s="3"/>
      <x:c r="D58" s="3"/>
      <x:c r="E58" s="3"/>
      <x:c r="F58" s="3"/>
      <x:c r="G58" s="3"/>
    </x:row>
    <x:row r="59" ht="42" customHeight="1">
      <x:c r="A59" s="3" t="str">
        <x:v>Source-model references use Excel coordinates. FY25 / FY26 are columns E / F, FY27 is K, FY28 is P and FY29 is Q in Revenue Model. Product-level historical revenue is estimated in that model.</x:v>
      </x:c>
      <x:c r="B59" s="3"/>
      <x:c r="C59" s="3"/>
      <x:c r="D59" s="3"/>
      <x:c r="E59" s="3"/>
      <x:c r="F59" s="3"/>
      <x:c r="G59" s="3"/>
    </x:row>
    <x:row r="60" ht="42" customHeight="1">
      <x:c r="A60" s="3" t="str">
        <x:v>Actual company totals: Pfizer FY26 annual report, revenue from operations and sale of products. FY26 total growth = 25,196.5 / 22,813.5 - 1 = 10.4456%.</x:v>
      </x:c>
      <x:c r="B60" s="3"/>
      <x:c r="C60" s="3"/>
      <x:c r="D60" s="3"/>
      <x:c r="E60" s="3"/>
      <x:c r="F60" s="3"/>
      <x:c r="G60" s="3"/>
    </x:row>
    <x:row r="61" ht="30" customHeight="1">
      <x:c r="A61" s="3" t="str">
        <x:v>https://nsearchives.nseindia.com/annual_reports/AR_29599_PFIZER_2025_2026_A_33771767_06072026215157.pdf</x:v>
      </x:c>
      <x:c r="B61" s="3"/>
      <x:c r="C61" s="3"/>
      <x:c r="D61" s="3"/>
      <x:c r="E61" s="3"/>
      <x:c r="F61" s="3"/>
      <x:c r="G61" s="3"/>
    </x:row>
    <x:row r="62" ht="42" customHeight="1">
      <x:c r="A62" s="3" t="str">
        <x:v>Price calibration only: ICICI Securities, 10 July 2026, p.2 reports FY26 price contribution of 1.6%. Its complete brand/entity scope is not verified as listed-only; it is not treated as a company-disclosed split.</x:v>
      </x:c>
      <x:c r="B62" s="3"/>
      <x:c r="C62" s="3"/>
      <x:c r="D62" s="3"/>
      <x:c r="E62" s="3"/>
      <x:c r="F62" s="3"/>
      <x:c r="G62" s="3"/>
    </x:row>
    <x:row r="63" ht="30" customHeight="1">
      <x:c r="A63" s="3" t="str">
        <x:v>https://images.moneycontrol.com/static-mcnews/2026/07/20260713060119_Pfizer-1307026-icici.pdf</x:v>
      </x:c>
      <x:c r="B63" s="3"/>
      <x:c r="C63" s="3"/>
      <x:c r="D63" s="3"/>
      <x:c r="E63" s="3"/>
      <x:c r="F63" s="3"/>
      <x:c r="G63" s="3"/>
    </x:row>
    <x:row r="64" ht="42" customHeight="1">
      <x:c r="A64" s="3" t="str">
        <x:v>Minipress: Pfizer Limited filing, 7 September 2026, confirms discontinuation of marketing, distribution and sale from that date. Compensation is excluded from operating revenue.</x:v>
      </x:c>
      <x:c r="B64" s="3"/>
      <x:c r="C64" s="3"/>
      <x:c r="D64" s="3"/>
      <x:c r="E64" s="3"/>
      <x:c r="F64" s="3"/>
      <x:c r="G64" s="3"/>
    </x:row>
    <x:row r="65" ht="30" customHeight="1">
      <x:c r="A65" s="3" t="str">
        <x:v>https://www.pfizerltd.co.in/files/Stock_Exchange_Intimation_-_Outcome_of_the_Board_Meeting_07092026.pdf</x:v>
      </x:c>
      <x:c r="B65" s="3"/>
      <x:c r="C65" s="3"/>
      <x:c r="D65" s="3"/>
      <x:c r="E65" s="3"/>
      <x:c r="F65" s="3"/>
      <x:c r="G65" s="3"/>
    </x:row>
    <x:row r="66" ht="42" customHeight="1">
      <x:c r="A66" s="3" t="str">
        <x:v>NI and PI do not double count: price is applied only to prior-year established-product revenue outside the fixed launch cohort, reduced for lost Minipress revenue.</x:v>
      </x:c>
      <x:c r="B66" s="3"/>
      <x:c r="C66" s="3"/>
      <x:c r="D66" s="3"/>
      <x:c r="E66" s="3"/>
      <x:c r="F66" s="3"/>
      <x:c r="G66" s="3"/>
    </x:row>
    <x:row r="67" ht="42" customHeight="1">
      <x:c r="A67" s="3" t="str">
        <x:v>Gross VI includes underlying unit growth, mix, any price/volume interaction, cannibalisation and residual model error. It is not an independently measured unit-growth statistic.</x:v>
      </x:c>
      <x:c r="B67" s="3"/>
      <x:c r="C67" s="3"/>
      <x:c r="D67" s="3"/>
      <x:c r="E67" s="3"/>
      <x:c r="F67" s="3"/>
      <x:c r="G67" s="3"/>
    </x:row>
    <x:row r="68" ht="42" customHeight="1">
      <x:c r="A68" s="3" t="str">
        <x:v>FY26 has no negative Minipress adjustment because modelled sales increased. Only the negative FY27/FY28 change is treated as an exit adjustment.</x:v>
      </x:c>
      <x:c r="B68" s="3"/>
      <x:c r="C68" s="3"/>
      <x:c r="D68" s="3"/>
      <x:c r="E68" s="3"/>
      <x:c r="F68" s="3"/>
      <x:c r="G68" s="3"/>
    </x:row>
    <x:row r="69" ht="42" customHeight="1">
      <x:c r="A69" s="3" t="str">
        <x:v>Cipla adjustment is isolated only in FY27, when the model applies a 0.91 factor. Later model growth runs from the reduced base; there is no assumed reversal.</x:v>
      </x:c>
      <x:c r="B69" s="3"/>
      <x:c r="C69" s="3"/>
      <x:c r="D69" s="3"/>
      <x:c r="E69" s="3"/>
      <x:c r="F69" s="3"/>
      <x:c r="G69" s="3"/>
    </x:row>
    <x:row r="70" ht="42" customHeight="1">
      <x:c r="A70" s="3" t="str">
        <x:v>All attributions are estimates. FY26A denotes the total revenue actual, not an audited NI/VI/PI decomposition.</x:v>
      </x:c>
      <x:c r="B70" s="3"/>
      <x:c r="C70" s="3"/>
      <x:c r="D70" s="3"/>
      <x:c r="E70" s="3"/>
      <x:c r="F70" s="3"/>
      <x:c r="G70" s="3"/>
    </x:row>
    <x:row r="71" ht="22" customHeight="1">
      <x:c r="A71" s="1"/>
      <x:c r="B71" s="1"/>
      <x:c r="C71" s="1"/>
      <x:c r="D71" s="1"/>
      <x:c r="E71" s="1"/>
      <x:c r="F71" s="1"/>
      <x:c r="G71" s="1"/>
    </x:row>
    <x:row r="72" ht="22" customHeight="1">
      <x:c r="A72" s="1"/>
      <x:c r="B72" s="1"/>
      <x:c r="C72" s="1"/>
      <x:c r="D72" s="1"/>
      <x:c r="E72" s="1"/>
      <x:c r="F72" s="1"/>
      <x:c r="G72" s="1"/>
    </x:row>
    <x:row r="73" ht="22" customHeight="1">
      <x:c r="A73" s="1"/>
      <x:c r="B73" s="1"/>
      <x:c r="C73" s="1"/>
      <x:c r="D73" s="1"/>
      <x:c r="E73" s="1"/>
      <x:c r="F73" s="1"/>
      <x:c r="G73" s="1"/>
    </x:row>
    <x:row r="74" ht="22" customHeight="1">
      <x:c r="A74" s="1"/>
      <x:c r="B74" s="1"/>
      <x:c r="C74" s="1"/>
      <x:c r="D74" s="1"/>
      <x:c r="E74" s="1"/>
      <x:c r="F74" s="1"/>
      <x:c r="G74" s="1"/>
    </x:row>
    <x:row r="75" ht="22" customHeight="1">
      <x:c r="A75" s="1"/>
      <x:c r="B75" s="1"/>
      <x:c r="C75" s="1"/>
      <x:c r="D75" s="1"/>
      <x:c r="E75" s="1"/>
      <x:c r="F75" s="1"/>
      <x:c r="G75" s="1"/>
    </x:row>
    <x:row r="76" ht="22" customHeight="1">
      <x:c r="A76" s="1"/>
      <x:c r="B76" s="1"/>
      <x:c r="C76" s="1"/>
      <x:c r="D76" s="1"/>
      <x:c r="E76" s="1"/>
      <x:c r="F76" s="1"/>
      <x:c r="G76" s="1"/>
    </x:row>
    <x:row r="77" ht="22" customHeight="1">
      <x:c r="A77" s="1"/>
      <x:c r="B77" s="1"/>
      <x:c r="C77" s="1"/>
      <x:c r="D77" s="1"/>
      <x:c r="E77" s="1"/>
      <x:c r="F77" s="1"/>
      <x:c r="G77" s="1"/>
    </x:row>
    <x:row r="78" ht="22" customHeight="1">
      <x:c r="A78" s="1"/>
      <x:c r="B78" s="1"/>
      <x:c r="C78" s="1"/>
      <x:c r="D78" s="1"/>
      <x:c r="E78" s="1"/>
      <x:c r="F78" s="1"/>
      <x:c r="G78" s="1"/>
    </x:row>
    <x:row r="79" ht="22" customHeight="1">
      <x:c r="A79" s="1"/>
      <x:c r="B79" s="1"/>
      <x:c r="C79" s="1"/>
      <x:c r="D79" s="1"/>
      <x:c r="E79" s="1"/>
      <x:c r="F79" s="1"/>
      <x:c r="G79" s="1"/>
    </x:row>
    <x:row r="80" ht="22" customHeight="1">
      <x:c r="A80" s="1"/>
      <x:c r="B80" s="1"/>
      <x:c r="C80" s="1"/>
      <x:c r="D80" s="1"/>
      <x:c r="E80" s="1"/>
      <x:c r="F80" s="1"/>
      <x:c r="G80" s="1"/>
    </x:row>
    <x:row r="81" ht="22" customHeight="1">
      <x:c r="A81" s="1"/>
      <x:c r="B81" s="1"/>
      <x:c r="C81" s="1"/>
      <x:c r="D81" s="1"/>
      <x:c r="E81" s="1"/>
      <x:c r="F81" s="1"/>
      <x:c r="G81" s="1"/>
    </x:row>
    <x:row r="82" ht="22" customHeight="1">
      <x:c r="A82" s="1"/>
      <x:c r="B82" s="1"/>
      <x:c r="C82" s="1"/>
      <x:c r="D82" s="1"/>
      <x:c r="E82" s="1"/>
      <x:c r="F82" s="1"/>
      <x:c r="G82" s="1"/>
    </x:row>
    <x:row r="83" ht="22" customHeight="1">
      <x:c r="A83" s="1"/>
      <x:c r="B83" s="1"/>
      <x:c r="C83" s="1"/>
      <x:c r="D83" s="1"/>
      <x:c r="E83" s="1"/>
      <x:c r="F83" s="1"/>
      <x:c r="G83" s="1"/>
    </x:row>
    <x:row r="84" ht="22" customHeight="1">
      <x:c r="A84" s="1"/>
      <x:c r="B84" s="1"/>
      <x:c r="C84" s="1"/>
      <x:c r="D84" s="1"/>
      <x:c r="E84" s="1"/>
      <x:c r="F84" s="1"/>
      <x:c r="G84" s="1"/>
    </x:row>
    <x:row r="85" ht="22" customHeight="1">
      <x:c r="A85" s="1"/>
      <x:c r="B85" s="1"/>
      <x:c r="C85" s="1"/>
      <x:c r="D85" s="1"/>
      <x:c r="E85" s="1"/>
      <x:c r="F85" s="1"/>
      <x:c r="G85" s="1"/>
    </x:row>
  </x:sheetData>
  <x:mergeCells>
    <x:mergeCell ref="A2:G2"/>
    <x:mergeCell ref="A3:G3"/>
    <x:mergeCell ref="A11:G11"/>
    <x:mergeCell ref="A23:G23"/>
    <x:mergeCell ref="A48:G48"/>
    <x:mergeCell ref="A56:G56"/>
    <x:mergeCell ref="A58:G58"/>
    <x:mergeCell ref="A59:G59"/>
    <x:mergeCell ref="A60:G60"/>
    <x:mergeCell ref="A61:G61"/>
    <x:mergeCell ref="A62:G62"/>
    <x:mergeCell ref="A63:G63"/>
    <x:mergeCell ref="A64:G64"/>
    <x:mergeCell ref="A65:G65"/>
    <x:mergeCell ref="A66:G66"/>
    <x:mergeCell ref="A67:G67"/>
    <x:mergeCell ref="A68:G68"/>
    <x:mergeCell ref="A69:G69"/>
    <x:mergeCell ref="A70:G70"/>
  </x:mergeCells>
  <x:conditionalFormatting sqref="C41:F41">
    <x:cfRule type="cellIs" dxfId="0" priority="1" operator="greaterThan">
      <x:formula>0.000001</x:formula>
    </x:cfRule>
  </x:conditionalFormatting>
  <x:pageMargins left="0.7" right="0.7" top="0.75" bottom="0.75" header="0.3" footer="0.3"/>
</x:worksheet>
</file>