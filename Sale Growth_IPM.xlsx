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9c1717e0d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trends" sheetId="1" r:id="R7ab4d0f5f4064de1"/>
    <x:sheet xmlns:r="http://schemas.openxmlformats.org/officeDocument/2006/relationships" name="Source data" sheetId="2" r:id="R094fd3bcbdca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–"/>
    <x:numFmt numFmtId="201" formatCode="#,##0;(#,##0);–"/>
    <x:numFmt numFmtId="202" formatCode="0.0%;(0.0%);–"/>
    <x:numFmt numFmtId="203" formatCode="#,##0"/>
    <x:numFmt numFmtId="204" formatCode="0.0%;(0.0%)"/>
  </x:numFmts>
  <x:fonts count="11">
    <x:font>
      <x:sz val="11"/>
      <x:name val="Carlito"/>
    </x:font>
    <x:font>
      <x:sz val="10"/>
      <x:color rgb="FF111827"/>
      <x:name val="Arial"/>
    </x:font>
    <x:font>
      <x:b/>
      <x:sz val="15"/>
      <x:color rgb="FF003C71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i/>
      <x:sz val="10"/>
      <x:color rgb="FF6B7280"/>
      <x:name val="Arial"/>
    </x:font>
    <x:font>
      <x:b/>
      <x:sz val="10"/>
      <x:color rgb="FF003C71"/>
      <x:name val="Arial"/>
    </x:font>
    <x:font>
      <x:sz val="10"/>
      <x:color rgb="FF000000"/>
      <x:name val="Arial"/>
    </x:font>
    <x:font>
      <x:b/>
      <x:sz val="15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3C71"/>
      </x:patternFill>
    </x:fill>
    <x:fill>
      <x:patternFill patternType="solid">
        <x:fgColor rgb="FFEAF1F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2" fontId="5" fillId="3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1" fillId="4" borderId="0" xfId="0" applyNumberFormat="1" applyFont="1" applyFill="1" applyBorder="1" applyAlignment="1">
      <x:alignment horizontal="right"/>
    </x:xf>
    <x:xf numFmtId="202" fontId="1" fillId="4" borderId="0" xfId="0" applyNumberFormat="1" applyFont="1" applyFill="1" applyBorder="1" applyAlignment="1">
      <x:alignment horizontal="right"/>
    </x:xf>
    <x:xf numFmtId="202" fontId="5" fillId="4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/>
    </x:xf>
    <x:xf numFmtId="203" fontId="1" fillId="4" borderId="0" xfId="0" applyNumberFormat="1" applyFont="1" applyFill="1" applyBorder="1" applyAlignment="1">
      <x:alignment horizontal="right"/>
    </x:xf>
    <x:xf numFmtId="204" fontId="1" fillId="4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201" fontId="7" fillId="4" borderId="0" xfId="0" applyNumberFormat="1" applyFont="1" applyFill="1" applyBorder="1" applyAlignment="1">
      <x:alignment horizontal="right"/>
    </x:xf>
    <x:xf numFmtId="202" fontId="7" fillId="4" borderId="0" xfId="0" applyNumberFormat="1" applyFont="1" applyFill="1" applyBorder="1" applyAlignment="1">
      <x:alignment horizontal="right"/>
    </x:xf>
    <x:xf numFmtId="202" fontId="9" fillId="4" borderId="0" xfId="0" applyNumberFormat="1" applyFont="1" applyFill="1" applyBorder="1" applyAlignment="1">
      <x:alignment horizontal="right"/>
    </x:xf>
    <x:xf numFmtId="0" fontId="7" fillId="4" borderId="0" xfId="0" applyNumberFormat="1" applyFont="1" applyFill="1" applyBorder="1" applyAlignment="1">
      <x:alignment horizontal="right"/>
    </x:xf>
    <x:xf numFmtId="0" fontId="10" fillId="4" borderId="0" xfId="0" applyNumberFormat="1" applyFont="1" applyFill="1" applyBorder="1" applyAlignment="1">
      <x:alignment horizontal="right"/>
    </x:xf>
    <x:xf numFmtId="203" fontId="7" fillId="4" borderId="0" xfId="0" applyNumberFormat="1" applyFont="1" applyFill="1" applyBorder="1" applyAlignment="1">
      <x:alignment horizontal="right"/>
    </x:xf>
    <x:xf numFmtId="204" fontId="7" fillId="4" borderId="0" xfId="0" applyNumberFormat="1" applyFont="1" applyFill="1" applyBorder="1" applyAlignment="1">
      <x:alignment horizontal="right"/>
    </x:xf>
    <x:xf numFmtId="0" fontId="10" fillId="4" borderId="0" xfId="0" applyNumberFormat="1" applyFont="1" applyFill="1" applyBorder="1"/>
    <x:xf numFmtId="200" fontId="4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20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fd258e98947f0" /><Relationship Type="http://schemas.openxmlformats.org/officeDocument/2006/relationships/theme" Target="/xl/theme/theme1.xml" Id="R57d3567b57d94742" /><Relationship Type="http://schemas.openxmlformats.org/officeDocument/2006/relationships/sharedStrings" Target="/xl/sharedStrings.xml" Id="Rebb5e4f4fabe4e6b" /><Relationship Type="http://schemas.openxmlformats.org/officeDocument/2006/relationships/worksheet" Target="/xl/worksheets/sheet1.xml" Id="R7ab4d0f5f4064de1" /><Relationship Type="http://schemas.openxmlformats.org/officeDocument/2006/relationships/worksheet" Target="/xl/worksheets/sheet2.xml" Id="R094fd3bcbdca42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1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</x:row>
    <x:row r="2" ht="21" customHeight="1">
      <x:c r="A2" s="45" t="str">
        <x:v>India pharma sales trends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</x:row>
    <x:row r="3" ht="21" customHeight="1">
      <x:c r="A3" s="46" t="str">
        <x:v>Revenue from operations, INR crore. Five completed years: FY22–FY26; Sanofi CY21–CY25.</x:v>
      </x:c>
      <x:c r="B3" s="46"/>
      <x:c r="C3" s="46"/>
      <x:c r="D3" s="46"/>
      <x:c r="E3" s="46"/>
      <x:c r="F3" s="46"/>
      <x:c r="G3" s="46"/>
      <x:c r="H3" s="46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</x:row>
    <x:row r="4" ht="21" customHeight="1">
      <x:c r="A4" s="46" t="str">
        <x:v>Sales rounded for display. YoY uses underlying source values. Reported growth includes acquisitions and disposals.</x:v>
      </x:c>
      <x:c r="B4" s="46"/>
      <x:c r="C4" s="46"/>
      <x:c r="D4" s="46"/>
      <x:c r="E4" s="46"/>
      <x:c r="F4" s="46"/>
      <x:c r="G4" s="46"/>
      <x:c r="H4" s="46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</x:row>
    <x:row r="5" ht="21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</x:row>
    <x:row r="6" ht="27" customHeight="1">
      <x:c r="A6" s="47" t="str">
        <x:v>India-listed MNCs</x:v>
      </x:c>
      <x:c r="B6" s="47" t="str">
        <x:v>Metric</x:v>
      </x:c>
      <x:c r="C6" s="47" t="str">
        <x:v>FY22</x:v>
      </x:c>
      <x:c r="D6" s="47" t="str">
        <x:v>FY23</x:v>
      </x:c>
      <x:c r="E6" s="47" t="str">
        <x:v>FY24</x:v>
      </x:c>
      <x:c r="F6" s="47" t="str">
        <x:v>FY25</x:v>
      </x:c>
      <x:c r="G6" s="47" t="str">
        <x:v>FY26</x:v>
      </x:c>
      <x:c r="H6" s="47" t="str">
        <x:v>FY22–26 CAGR</x:v>
      </x:c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</x:row>
    <x:row r="7" ht="21" customHeight="1">
      <x:c r="A7" s="44" t="str">
        <x:v>GSK India</x:v>
      </x:c>
      <x:c r="B7" s="44" t="str">
        <x:v>Sales</x:v>
      </x:c>
      <x:c r="C7" s="48" t="n">
        <x:f>'Source data'!D6</x:f>
        <x:v>3217.51</x:v>
      </x:c>
      <x:c r="D7" s="48" t="n">
        <x:f>'Source data'!E6</x:f>
        <x:v>3216.34</x:v>
      </x:c>
      <x:c r="E7" s="48" t="n">
        <x:f>'Source data'!F6</x:f>
        <x:v>3407.25</x:v>
      </x:c>
      <x:c r="F7" s="48" t="n">
        <x:f>'Source data'!G6</x:f>
        <x:v>3723.49</x:v>
      </x:c>
      <x:c r="G7" s="48" t="n">
        <x:f>'Source data'!H6</x:f>
        <x:v>3790.2</x:v>
      </x:c>
      <x:c r="H7" s="49" t="n">
        <x:f>(G7/C7)^(1/4)-1</x:f>
        <x:v>0.04180288431801604</x:v>
      </x:c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</x:row>
    <x:row r="8" ht="21" customHeight="1">
      <x:c r="A8" s="44"/>
      <x:c r="B8" s="46" t="str">
        <x:v>YoY growth</x:v>
      </x:c>
      <x:c r="C8" s="50" t="n">
        <x:f>'Source data'!D6/'Source data'!C6-1</x:f>
        <x:v>0.10170588396427993</x:v>
      </x:c>
      <x:c r="D8" s="50" t="n">
        <x:f>'Source data'!E6/'Source data'!D6-1</x:f>
        <x:v>-0.00036363523345694926</x:v>
      </x:c>
      <x:c r="E8" s="50" t="n">
        <x:f>'Source data'!F6/'Source data'!E6-1</x:f>
        <x:v>0.05935628695971196</x:v>
      </x:c>
      <x:c r="F8" s="50" t="n">
        <x:f>'Source data'!G6/'Source data'!F6-1</x:f>
        <x:v>0.09281385281385268</x:v>
      </x:c>
      <x:c r="G8" s="50" t="n">
        <x:f>'Source data'!H6/'Source data'!G6-1</x:f>
        <x:v>0.01791598742040401</x:v>
      </x:c>
      <x:c r="H8" s="50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</x:row>
    <x:row r="9" ht="21" customHeight="1">
      <x:c r="A9" s="44" t="str">
        <x:v>Abbott India</x:v>
      </x:c>
      <x:c r="B9" s="44" t="str">
        <x:v>Sales</x:v>
      </x:c>
      <x:c r="C9" s="48" t="n">
        <x:f>'Source data'!D7</x:f>
        <x:v>4919.27</x:v>
      </x:c>
      <x:c r="D9" s="48" t="n">
        <x:f>'Source data'!E7</x:f>
        <x:v>5348.73</x:v>
      </x:c>
      <x:c r="E9" s="48" t="n">
        <x:f>'Source data'!F7</x:f>
        <x:v>5848.91</x:v>
      </x:c>
      <x:c r="F9" s="48" t="n">
        <x:f>'Source data'!G7</x:f>
        <x:v>6409.15</x:v>
      </x:c>
      <x:c r="G9" s="48" t="n">
        <x:f>'Source data'!H7</x:f>
        <x:v>6929.05</x:v>
      </x:c>
      <x:c r="H9" s="49" t="n">
        <x:f>(G9/C9)^(1/4)-1</x:f>
        <x:v>0.08941476944615445</x:v>
      </x:c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</x:row>
    <x:row r="10" ht="21" customHeight="1">
      <x:c r="A10" s="44"/>
      <x:c r="B10" s="46" t="str">
        <x:v>YoY growth</x:v>
      </x:c>
      <x:c r="C10" s="50" t="n">
        <x:f>'Source data'!D7/'Source data'!C7-1</x:f>
        <x:v>0.14135665263734265</x:v>
      </x:c>
      <x:c r="D10" s="50" t="n">
        <x:f>'Source data'!E7/'Source data'!D7-1</x:f>
        <x:v>0.08730157116807957</x:v>
      </x:c>
      <x:c r="E10" s="50" t="n">
        <x:f>'Source data'!F7/'Source data'!E7-1</x:f>
        <x:v>0.0935137873850429</x:v>
      </x:c>
      <x:c r="F10" s="50" t="n">
        <x:f>'Source data'!G7/'Source data'!F7-1</x:f>
        <x:v>0.09578536855585051</x:v>
      </x:c>
      <x:c r="G10" s="50" t="n">
        <x:f>'Source data'!H7/'Source data'!G7-1</x:f>
        <x:v>0.08111840103601886</x:v>
      </x:c>
      <x:c r="H10" s="50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</x:row>
    <x:row r="11" ht="21" customHeight="1">
      <x:c r="A11" s="44" t="str">
        <x:v>Pfizer Limited</x:v>
      </x:c>
      <x:c r="B11" s="44" t="str">
        <x:v>Sales</x:v>
      </x:c>
      <x:c r="C11" s="48" t="n">
        <x:f>'Source data'!D8</x:f>
        <x:v>2610.99</x:v>
      </x:c>
      <x:c r="D11" s="48" t="n">
        <x:f>'Source data'!E8</x:f>
        <x:v>2424.76</x:v>
      </x:c>
      <x:c r="E11" s="48" t="n">
        <x:f>'Source data'!F8</x:f>
        <x:v>2193.17</x:v>
      </x:c>
      <x:c r="F11" s="48" t="n">
        <x:f>'Source data'!G8</x:f>
        <x:v>2281.35</x:v>
      </x:c>
      <x:c r="G11" s="48" t="n">
        <x:f>'Source data'!H8</x:f>
        <x:v>2519.65</x:v>
      </x:c>
      <x:c r="H11" s="49" t="n">
        <x:f>(G11/C11)^(1/4)-1</x:f>
        <x:v>-0.008862855475882947</x:v>
      </x:c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</x:row>
    <x:row r="12" ht="21" customHeight="1">
      <x:c r="A12" s="44"/>
      <x:c r="B12" s="46" t="str">
        <x:v>YoY growth</x:v>
      </x:c>
      <x:c r="C12" s="50" t="n">
        <x:f>'Source data'!D8/'Source data'!C8-1</x:f>
        <x:v>0.16637555560519068</x:v>
      </x:c>
      <x:c r="D12" s="50" t="n">
        <x:f>'Source data'!E8/'Source data'!D8-1</x:f>
        <x:v>-0.07132543594575225</x:v>
      </x:c>
      <x:c r="E12" s="50" t="n">
        <x:f>'Source data'!F8/'Source data'!E8-1</x:f>
        <x:v>-0.09551048351177027</x:v>
      </x:c>
      <x:c r="F12" s="50" t="n">
        <x:f>'Source data'!G8/'Source data'!F8-1</x:f>
        <x:v>0.04020664152801645</x:v>
      </x:c>
      <x:c r="G12" s="50" t="n">
        <x:f>'Source data'!H8/'Source data'!G8-1</x:f>
        <x:v>0.10445569509281794</x:v>
      </x:c>
      <x:c r="H12" s="50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</x:row>
    <x:row r="13" ht="21" customHeight="1">
      <x:c r="A13" s="44" t="str">
        <x:v>AstraZeneca Pharma India</x:v>
      </x:c>
      <x:c r="B13" s="44" t="str">
        <x:v>Sales</x:v>
      </x:c>
      <x:c r="C13" s="48" t="n">
        <x:f>'Source data'!D9</x:f>
        <x:v>805.6</x:v>
      </x:c>
      <x:c r="D13" s="48" t="n">
        <x:f>'Source data'!E9</x:f>
        <x:v>1002.97</x:v>
      </x:c>
      <x:c r="E13" s="48" t="n">
        <x:f>'Source data'!F9</x:f>
        <x:v>1295.53</x:v>
      </x:c>
      <x:c r="F13" s="48" t="n">
        <x:f>'Source data'!G9</x:f>
        <x:v>1716.29</x:v>
      </x:c>
      <x:c r="G13" s="48" t="n">
        <x:f>'Source data'!H9</x:f>
        <x:v>2275.58</x:v>
      </x:c>
      <x:c r="H13" s="49" t="n">
        <x:f>(G13/C13)^(1/4)-1</x:f>
        <x:v>0.2964123590943879</x:v>
      </x:c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</x:row>
    <x:row r="14" ht="21" customHeight="1">
      <x:c r="A14" s="44"/>
      <x:c r="B14" s="46" t="str">
        <x:v>YoY growth</x:v>
      </x:c>
      <x:c r="C14" s="50" t="n">
        <x:f>'Source data'!D9/'Source data'!C9-1</x:f>
        <x:v>-0.009784158513201135</x:v>
      </x:c>
      <x:c r="D14" s="50" t="n">
        <x:f>'Source data'!E9/'Source data'!D9-1</x:f>
        <x:v>0.24499751737835163</x:v>
      </x:c>
      <x:c r="E14" s="50" t="n">
        <x:f>'Source data'!F9/'Source data'!E9-1</x:f>
        <x:v>0.2916936698006918</x:v>
      </x:c>
      <x:c r="F14" s="50" t="n">
        <x:f>'Source data'!G9/'Source data'!F9-1</x:f>
        <x:v>0.324778276072341</x:v>
      </x:c>
      <x:c r="G14" s="50" t="n">
        <x:f>'Source data'!H9/'Source data'!G9-1</x:f>
        <x:v>0.32587150190235925</x:v>
      </x:c>
      <x:c r="H14" s="50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</x:row>
    <x:row r="15" ht="21" customHeight="1">
      <x:c r="A15" s="44" t="str">
        <x:v>Novartis India</x:v>
      </x:c>
      <x:c r="B15" s="44" t="str">
        <x:v>Sales</x:v>
      </x:c>
      <x:c r="C15" s="48" t="n">
        <x:f>'Source data'!D10</x:f>
        <x:v>399.87</x:v>
      </x:c>
      <x:c r="D15" s="48" t="n">
        <x:f>'Source data'!E10</x:f>
        <x:v>378.74</x:v>
      </x:c>
      <x:c r="E15" s="48" t="n">
        <x:f>'Source data'!F10</x:f>
        <x:v>335.07</x:v>
      </x:c>
      <x:c r="F15" s="48" t="n">
        <x:f>'Source data'!G10</x:f>
        <x:v>356.27</x:v>
      </x:c>
      <x:c r="G15" s="48" t="n">
        <x:f>'Source data'!H10</x:f>
        <x:v>354.33</x:v>
      </x:c>
      <x:c r="H15" s="49" t="n">
        <x:f>(G15/C15)^(1/4)-1</x:f>
        <x:v>-0.02977541465267941</x:v>
      </x:c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</x:row>
    <x:row r="16" ht="21" customHeight="1">
      <x:c r="A16" s="44"/>
      <x:c r="B16" s="46" t="str">
        <x:v>YoY growth</x:v>
      </x:c>
      <x:c r="C16" s="50" t="n">
        <x:f>'Source data'!D10/'Source data'!C10-1</x:f>
        <x:v>0.04856431100039327</x:v>
      </x:c>
      <x:c r="D16" s="50" t="n">
        <x:f>'Source data'!E10/'Source data'!D10-1</x:f>
        <x:v>-0.05284217370645461</x:v>
      </x:c>
      <x:c r="E16" s="50" t="n">
        <x:f>'Source data'!F10/'Source data'!E10-1</x:f>
        <x:v>-0.11530337434651738</x:v>
      </x:c>
      <x:c r="F16" s="50" t="n">
        <x:f>'Source data'!G10/'Source data'!F10-1</x:f>
        <x:v>0.06327036141701736</x:v>
      </x:c>
      <x:c r="G16" s="50" t="n">
        <x:f>'Source data'!H10/'Source data'!G10-1</x:f>
        <x:v>-0.005445308333567267</x:v>
      </x:c>
      <x:c r="H16" s="50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</x:row>
    <x:row r="17" ht="21" customHeight="1">
      <x:c r="A17" s="44"/>
      <x:c r="B17" s="44"/>
      <x:c r="C17" s="51"/>
      <x:c r="D17" s="51"/>
      <x:c r="E17" s="51"/>
      <x:c r="F17" s="51"/>
      <x:c r="G17" s="51"/>
      <x:c r="H17" s="51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</x:row>
    <x:row r="18" ht="21" customHeight="1">
      <x:c r="A18" s="44"/>
      <x:c r="B18" s="44"/>
      <x:c r="C18" s="51"/>
      <x:c r="D18" s="51"/>
      <x:c r="E18" s="51"/>
      <x:c r="F18" s="51"/>
      <x:c r="G18" s="51"/>
      <x:c r="H18" s="51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</x:row>
    <x:row r="19" ht="27" customHeight="1">
      <x:c r="A19" s="47" t="str">
        <x:v>Domestic-heavy peers</x:v>
      </x:c>
      <x:c r="B19" s="47" t="str">
        <x:v>Metric</x:v>
      </x:c>
      <x:c r="C19" s="52" t="str">
        <x:v>FY22</x:v>
      </x:c>
      <x:c r="D19" s="52" t="str">
        <x:v>FY23</x:v>
      </x:c>
      <x:c r="E19" s="52" t="str">
        <x:v>FY24</x:v>
      </x:c>
      <x:c r="F19" s="52" t="str">
        <x:v>FY25</x:v>
      </x:c>
      <x:c r="G19" s="52" t="str">
        <x:v>FY26</x:v>
      </x:c>
      <x:c r="H19" s="52" t="str">
        <x:v>FY22–26 CAGR</x:v>
      </x:c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</x:row>
    <x:row r="20" ht="21" customHeight="1">
      <x:c r="A20" s="44" t="str">
        <x:v>Mankind Pharma</x:v>
      </x:c>
      <x:c r="B20" s="44" t="str">
        <x:v>Sales</x:v>
      </x:c>
      <x:c r="C20" s="48" t="n">
        <x:f>'Source data'!D11</x:f>
        <x:v>7781.56</x:v>
      </x:c>
      <x:c r="D20" s="48" t="n">
        <x:f>'Source data'!E11</x:f>
        <x:v>8749.43</x:v>
      </x:c>
      <x:c r="E20" s="48" t="n">
        <x:f>'Source data'!F11</x:f>
        <x:v>10260.44</x:v>
      </x:c>
      <x:c r="F20" s="48" t="n">
        <x:f>'Source data'!G11</x:f>
        <x:v>12207.44</x:v>
      </x:c>
      <x:c r="G20" s="48" t="n">
        <x:f>'Source data'!H11</x:f>
        <x:v>14277.64</x:v>
      </x:c>
      <x:c r="H20" s="49" t="n">
        <x:f>(G20/C20)^(1/4)-1</x:f>
        <x:v>0.16385114779364907</x:v>
      </x:c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</x:row>
    <x:row r="21" ht="21" customHeight="1">
      <x:c r="A21" s="44"/>
      <x:c r="B21" s="46" t="str">
        <x:v>YoY growth</x:v>
      </x:c>
      <x:c r="C21" s="50" t="n">
        <x:f>'Source data'!D11/'Source data'!C11-1</x:f>
        <x:v>0.2522626327647248</x:v>
      </x:c>
      <x:c r="D21" s="50" t="n">
        <x:f>'Source data'!E11/'Source data'!D11-1</x:f>
        <x:v>0.12437994438133226</x:v>
      </x:c>
      <x:c r="E21" s="50" t="n">
        <x:f>'Source data'!F11/'Source data'!E11-1</x:f>
        <x:v>0.17269810719098277</x:v>
      </x:c>
      <x:c r="F21" s="50" t="n">
        <x:f>'Source data'!G11/'Source data'!F11-1</x:f>
        <x:v>0.18975794410376157</x:v>
      </x:c>
      <x:c r="G21" s="50" t="n">
        <x:f>'Source data'!H11/'Source data'!G11-1</x:f>
        <x:v>0.16958510547665995</x:v>
      </x:c>
      <x:c r="H21" s="50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</x:row>
    <x:row r="22" ht="21" customHeight="1">
      <x:c r="A22" s="44" t="str">
        <x:v>Eris Lifesciences</x:v>
      </x:c>
      <x:c r="B22" s="44" t="str">
        <x:v>Sales</x:v>
      </x:c>
      <x:c r="C22" s="48" t="n">
        <x:f>'Source data'!D12</x:f>
        <x:v>1347.04</x:v>
      </x:c>
      <x:c r="D22" s="48" t="n">
        <x:f>'Source data'!E12</x:f>
        <x:v>1685.15</x:v>
      </x:c>
      <x:c r="E22" s="48" t="n">
        <x:f>'Source data'!F12</x:f>
        <x:v>2009.14</x:v>
      </x:c>
      <x:c r="F22" s="48" t="n">
        <x:f>'Source data'!G12</x:f>
        <x:v>2893.64</x:v>
      </x:c>
      <x:c r="G22" s="48" t="n">
        <x:f>'Source data'!H12</x:f>
        <x:v>3129.42</x:v>
      </x:c>
      <x:c r="H22" s="49" t="n">
        <x:f>(G22/C22)^(1/4)-1</x:f>
        <x:v>0.23458455751885277</x:v>
      </x:c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</x:row>
    <x:row r="23" ht="21" customHeight="1">
      <x:c r="A23" s="44"/>
      <x:c r="B23" s="46" t="str">
        <x:v>YoY growth</x:v>
      </x:c>
      <x:c r="C23" s="50" t="n">
        <x:f>'Source data'!D12/'Source data'!C12-1</x:f>
        <x:v>0.111544786828214</x:v>
      </x:c>
      <x:c r="D23" s="50" t="n">
        <x:f>'Source data'!E12/'Source data'!D12-1</x:f>
        <x:v>0.2510021974106189</x:v>
      </x:c>
      <x:c r="E23" s="50" t="n">
        <x:f>'Source data'!F12/'Source data'!E12-1</x:f>
        <x:v>0.19226181645550833</x:v>
      </x:c>
      <x:c r="F23" s="50" t="n">
        <x:f>'Source data'!G12/'Source data'!F12-1</x:f>
        <x:v>0.44023811182894157</x:v>
      </x:c>
      <x:c r="G23" s="50" t="n">
        <x:f>'Source data'!H12/'Source data'!G12-1</x:f>
        <x:v>0.08148214705353807</x:v>
      </x:c>
      <x:c r="H23" s="50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</x:row>
    <x:row r="24" ht="21" customHeight="1">
      <x:c r="A24" s="44" t="str">
        <x:v>JB Pharma</x:v>
      </x:c>
      <x:c r="B24" s="44" t="str">
        <x:v>Sales</x:v>
      </x:c>
      <x:c r="C24" s="48" t="n">
        <x:f>'Source data'!D13</x:f>
        <x:v>2424.24</x:v>
      </x:c>
      <x:c r="D24" s="48" t="n">
        <x:f>'Source data'!E13</x:f>
        <x:v>3149.28</x:v>
      </x:c>
      <x:c r="E24" s="48" t="n">
        <x:f>'Source data'!F13</x:f>
        <x:v>3484.18</x:v>
      </x:c>
      <x:c r="F24" s="48" t="n">
        <x:f>'Source data'!G13</x:f>
        <x:v>3917.99</x:v>
      </x:c>
      <x:c r="G24" s="48" t="n">
        <x:f>'Source data'!H13</x:f>
        <x:v>4147.79</x:v>
      </x:c>
      <x:c r="H24" s="49" t="n">
        <x:f>(G24/C24)^(1/4)-1</x:f>
        <x:v>0.14369516955052308</x:v>
      </x:c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</x:row>
    <x:row r="25" ht="21" customHeight="1">
      <x:c r="A25" s="44"/>
      <x:c r="B25" s="46" t="str">
        <x:v>YoY growth</x:v>
      </x:c>
      <x:c r="C25" s="50" t="n">
        <x:f>'Source data'!D13/'Source data'!C13-1</x:f>
        <x:v>0.18688678691028726</x:v>
      </x:c>
      <x:c r="D25" s="50" t="n">
        <x:f>'Source data'!E13/'Source data'!D13-1</x:f>
        <x:v>0.2990792990792992</x:v>
      </x:c>
      <x:c r="E25" s="50" t="n">
        <x:f>'Source data'!F13/'Source data'!E13-1</x:f>
        <x:v>0.10634176700706188</x:v>
      </x:c>
      <x:c r="F25" s="50" t="n">
        <x:f>'Source data'!G13/'Source data'!F13-1</x:f>
        <x:v>0.12450849267259434</x:v>
      </x:c>
      <x:c r="G25" s="50" t="n">
        <x:f>'Source data'!H13/'Source data'!G13-1</x:f>
        <x:v>0.05865252336019244</x:v>
      </x:c>
      <x:c r="H25" s="50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</x:row>
    <x:row r="26" ht="21" customHeight="1">
      <x:c r="A26" s="44" t="str">
        <x:v>Torrent Pharma</x:v>
      </x:c>
      <x:c r="B26" s="44" t="str">
        <x:v>Sales</x:v>
      </x:c>
      <x:c r="C26" s="48" t="n">
        <x:f>'Source data'!D14</x:f>
        <x:v>8508</x:v>
      </x:c>
      <x:c r="D26" s="48" t="n">
        <x:f>'Source data'!E14</x:f>
        <x:v>9620</x:v>
      </x:c>
      <x:c r="E26" s="48" t="n">
        <x:f>'Source data'!F14</x:f>
        <x:v>10728</x:v>
      </x:c>
      <x:c r="F26" s="48" t="n">
        <x:f>'Source data'!G14</x:f>
        <x:v>11516</x:v>
      </x:c>
      <x:c r="G26" s="48" t="n">
        <x:f>'Source data'!H14</x:f>
        <x:v>13980</x:v>
      </x:c>
      <x:c r="H26" s="49" t="n">
        <x:f>(G26/C26)^(1/4)-1</x:f>
        <x:v>0.13219158466775727</x:v>
      </x:c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</x:row>
    <x:row r="27" ht="21" customHeight="1">
      <x:c r="A27" s="44"/>
      <x:c r="B27" s="46" t="str">
        <x:v>YoY growth</x:v>
      </x:c>
      <x:c r="C27" s="50" t="n">
        <x:f>'Source data'!D14/'Source data'!C14-1</x:f>
        <x:v>0.06283572767020607</x:v>
      </x:c>
      <x:c r="D27" s="50" t="n">
        <x:f>'Source data'!E14/'Source data'!D14-1</x:f>
        <x:v>0.13070051716031972</x:v>
      </x:c>
      <x:c r="E27" s="50" t="n">
        <x:f>'Source data'!F14/'Source data'!E14-1</x:f>
        <x:v>0.11517671517671513</x:v>
      </x:c>
      <x:c r="F27" s="50" t="n">
        <x:f>'Source data'!G14/'Source data'!F14-1</x:f>
        <x:v>0.0734526472781507</x:v>
      </x:c>
      <x:c r="G27" s="50" t="n">
        <x:f>'Source data'!H14/'Source data'!G14-1</x:f>
        <x:v>0.2139631816602987</x:v>
      </x:c>
      <x:c r="H27" s="50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</x:row>
    <x:row r="28" ht="21" customHeight="1">
      <x:c r="A28" s="44" t="str">
        <x:v>Alkem Laboratories</x:v>
      </x:c>
      <x:c r="B28" s="44" t="str">
        <x:v>Sales</x:v>
      </x:c>
      <x:c r="C28" s="48" t="n">
        <x:f>'Source data'!D15</x:f>
        <x:v>10634.19</x:v>
      </x:c>
      <x:c r="D28" s="48" t="n">
        <x:f>'Source data'!E15</x:f>
        <x:v>11599.26</x:v>
      </x:c>
      <x:c r="E28" s="48" t="n">
        <x:f>'Source data'!F15</x:f>
        <x:v>12667.58</x:v>
      </x:c>
      <x:c r="F28" s="48" t="n">
        <x:f>'Source data'!G15</x:f>
        <x:v>12964.52</x:v>
      </x:c>
      <x:c r="G28" s="48" t="n">
        <x:f>'Source data'!H15</x:f>
        <x:v>14712.27</x:v>
      </x:c>
      <x:c r="H28" s="49" t="n">
        <x:f>(G28/C28)^(1/4)-1</x:f>
        <x:v>0.08453561345510585</x:v>
      </x:c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</x:row>
    <x:row r="29" ht="21" customHeight="1">
      <x:c r="A29" s="44"/>
      <x:c r="B29" s="46" t="str">
        <x:v>YoY growth</x:v>
      </x:c>
      <x:c r="C29" s="50" t="n">
        <x:f>'Source data'!D15/'Source data'!C15-1</x:f>
        <x:v>0.19956886681458896</x:v>
      </x:c>
      <x:c r="D29" s="50" t="n">
        <x:f>'Source data'!E15/'Source data'!D15-1</x:f>
        <x:v>0.09075162283164029</x:v>
      </x:c>
      <x:c r="E29" s="50" t="n">
        <x:f>'Source data'!F15/'Source data'!E15-1</x:f>
        <x:v>0.09210242722380557</x:v>
      </x:c>
      <x:c r="F29" s="50" t="n">
        <x:f>'Source data'!G15/'Source data'!F15-1</x:f>
        <x:v>0.023440941363701784</x:v>
      </x:c>
      <x:c r="G29" s="50" t="n">
        <x:f>'Source data'!H15/'Source data'!G15-1</x:f>
        <x:v>0.1348102359362322</x:v>
      </x:c>
      <x:c r="H29" s="50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</x:row>
    <x:row r="30" ht="21" customHeight="1">
      <x:c r="A30" s="44"/>
      <x:c r="B30" s="44"/>
      <x:c r="C30" s="51"/>
      <x:c r="D30" s="51"/>
      <x:c r="E30" s="51"/>
      <x:c r="F30" s="51"/>
      <x:c r="G30" s="51"/>
      <x:c r="H30" s="51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</x:row>
    <x:row r="31" ht="21" customHeight="1">
      <x:c r="A31" s="44" t="str">
        <x:v>Indian peers use consolidated sales, including exports. These are selected domestic-heavy listed peers, not an exhaustive ranking.</x:v>
      </x:c>
      <x:c r="B31" s="44"/>
      <x:c r="C31" s="51"/>
      <x:c r="D31" s="51"/>
      <x:c r="E31" s="51"/>
      <x:c r="F31" s="51"/>
      <x:c r="G31" s="51"/>
      <x:c r="H31" s="51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</x:row>
    <x:row r="32" ht="21" customHeight="1">
      <x:c r="A32" s="44"/>
      <x:c r="B32" s="44"/>
      <x:c r="C32" s="51"/>
      <x:c r="D32" s="51"/>
      <x:c r="E32" s="51"/>
      <x:c r="F32" s="51"/>
      <x:c r="G32" s="51"/>
      <x:c r="H32" s="51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</x:row>
    <x:row r="33" ht="21" customHeight="1">
      <x:c r="A33" s="44"/>
      <x:c r="B33" s="44"/>
      <x:c r="C33" s="51"/>
      <x:c r="D33" s="51"/>
      <x:c r="E33" s="51"/>
      <x:c r="F33" s="51"/>
      <x:c r="G33" s="51"/>
      <x:c r="H33" s="51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</x:row>
    <x:row r="34" ht="27" customHeight="1">
      <x:c r="A34" s="47" t="str">
        <x:v>Sanofi India</x:v>
      </x:c>
      <x:c r="B34" s="47" t="str">
        <x:v>Metric</x:v>
      </x:c>
      <x:c r="C34" s="52" t="str">
        <x:v>CY21</x:v>
      </x:c>
      <x:c r="D34" s="52" t="str">
        <x:v>CY22</x:v>
      </x:c>
      <x:c r="E34" s="52" t="str">
        <x:v>CY23</x:v>
      </x:c>
      <x:c r="F34" s="52" t="str">
        <x:v>CY24</x:v>
      </x:c>
      <x:c r="G34" s="52" t="str">
        <x:v>CY25</x:v>
      </x:c>
      <x:c r="H34" s="52" t="str">
        <x:v>CY21–25 CAGR</x:v>
      </x:c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</x:row>
    <x:row r="35" ht="21" customHeight="1">
      <x:c r="A35" s="44" t="str">
        <x:v>Sanofi India</x:v>
      </x:c>
      <x:c r="B35" s="44" t="str">
        <x:v>Sales</x:v>
      </x:c>
      <x:c r="C35" s="48" t="n">
        <x:f>'Source data'!D26</x:f>
        <x:v>2956.6</x:v>
      </x:c>
      <x:c r="D35" s="48" t="n">
        <x:f>'Source data'!E26</x:f>
        <x:v>2770.1</x:v>
      </x:c>
      <x:c r="E35" s="48" t="n">
        <x:f>'Source data'!F26</x:f>
        <x:v>2851.1</x:v>
      </x:c>
      <x:c r="F35" s="48" t="n">
        <x:f>'Source data'!G26</x:f>
        <x:v>2013.2</x:v>
      </x:c>
      <x:c r="G35" s="48" t="n">
        <x:f>'Source data'!H26</x:f>
        <x:v>1837.4</x:v>
      </x:c>
      <x:c r="H35" s="49" t="str">
        <x:v>n.m.</x:v>
      </x:c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</x:row>
    <x:row r="36" ht="21" customHeight="1">
      <x:c r="A36" s="44"/>
      <x:c r="B36" s="46" t="str">
        <x:v>YoY growth</x:v>
      </x:c>
      <x:c r="C36" s="50" t="n">
        <x:f>'Source data'!D26/'Source data'!C26-1</x:f>
        <x:v>0.018849719149522715</x:v>
      </x:c>
      <x:c r="D36" s="50" t="n">
        <x:f>'Source data'!E26/'Source data'!D26-1</x:f>
        <x:v>-0.063079212609078</x:v>
      </x:c>
      <x:c r="E36" s="50" t="n">
        <x:f>'Source data'!F26/'Source data'!E26-1</x:f>
        <x:v>0.029240821630988068</x:v>
      </x:c>
      <x:c r="F36" s="50" t="n">
        <x:f>'Source data'!G26/'Source data'!F26-1</x:f>
        <x:v>-0.2938865700957525</x:v>
      </x:c>
      <x:c r="G36" s="50" t="n">
        <x:f>'Source data'!H26/'Source data'!G26-1</x:f>
        <x:v>-0.08732366381879597</x:v>
      </x:c>
      <x:c r="H36" s="50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</x:row>
    <x:row r="37" ht="21" customHeight="1">
      <x:c r="A37" s="44" t="str">
        <x:v>Sanofi continuing scope</x:v>
      </x:c>
      <x:c r="B37" s="44" t="str">
        <x:v>Sales</x:v>
      </x:c>
      <x:c r="C37" s="51"/>
      <x:c r="D37" s="51"/>
      <x:c r="E37" s="53" t="n">
        <x:f>'Source data'!F27</x:f>
        <x:v>1996.1</x:v>
      </x:c>
      <x:c r="F37" s="53" t="n">
        <x:f>'Source data'!G27</x:f>
        <x:v>2013.2</x:v>
      </x:c>
      <x:c r="G37" s="53" t="n">
        <x:f>'Source data'!H27</x:f>
        <x:v>1837.4</x:v>
      </x:c>
      <x:c r="H37" s="51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</x:row>
    <x:row r="38" ht="21" customHeight="1">
      <x:c r="A38" s="44"/>
      <x:c r="B38" s="44" t="str">
        <x:v>YoY growth</x:v>
      </x:c>
      <x:c r="C38" s="51"/>
      <x:c r="D38" s="51"/>
      <x:c r="E38" s="51"/>
      <x:c r="F38" s="54" t="n">
        <x:f>F37/E37-1</x:f>
        <x:v>0.008566705074896097</x:v>
      </x:c>
      <x:c r="G38" s="54" t="n">
        <x:f>G37/F37-1</x:f>
        <x:v>-0.08732366381879597</x:v>
      </x:c>
      <x:c r="H38" s="51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</x:row>
    <x:row r="39" ht="21" customHeight="1">
      <x:c r="A39" s="44"/>
      <x:c r="B39" s="44"/>
      <x:c r="C39" s="51"/>
      <x:c r="D39" s="51"/>
      <x:c r="E39" s="51"/>
      <x:c r="F39" s="51"/>
      <x:c r="G39" s="51"/>
      <x:c r="H39" s="51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</x:row>
    <x:row r="40" ht="21" customHeight="1">
      <x:c r="A40" s="44" t="str">
        <x:v>Sanofi raw CY24 YoY crosses the consumer-health demerger. Comparable continuing growth was +0.9%.</x:v>
      </x:c>
      <x:c r="B40" s="44"/>
      <x:c r="C40" s="51"/>
      <x:c r="D40" s="51"/>
      <x:c r="E40" s="51"/>
      <x:c r="F40" s="51"/>
      <x:c r="G40" s="51"/>
      <x:c r="H40" s="51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</x:row>
    <x:row r="41" ht="21" customHeight="1">
      <x:c r="A41" s="44"/>
      <x:c r="B41" s="44"/>
      <x:c r="C41" s="51"/>
      <x:c r="D41" s="51"/>
      <x:c r="E41" s="51"/>
      <x:c r="F41" s="51"/>
      <x:c r="G41" s="51"/>
      <x:c r="H41" s="51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</x:row>
    <x:row r="42" ht="21" customHeight="1">
      <x:c r="A42" s="44"/>
      <x:c r="B42" s="44"/>
      <x:c r="C42" s="51"/>
      <x:c r="D42" s="51"/>
      <x:c r="E42" s="51"/>
      <x:c r="F42" s="51"/>
      <x:c r="G42" s="51"/>
      <x:c r="H42" s="51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</x:row>
    <x:row r="43" ht="27" customHeight="1">
      <x:c r="A43" s="47" t="str">
        <x:v>India business only</x:v>
      </x:c>
      <x:c r="B43" s="47" t="str">
        <x:v>Metric</x:v>
      </x:c>
      <x:c r="C43" s="52" t="str">
        <x:v>FY22</x:v>
      </x:c>
      <x:c r="D43" s="52" t="str">
        <x:v>FY23</x:v>
      </x:c>
      <x:c r="E43" s="52" t="str">
        <x:v>FY24</x:v>
      </x:c>
      <x:c r="F43" s="52" t="str">
        <x:v>FY25</x:v>
      </x:c>
      <x:c r="G43" s="52" t="str">
        <x:v>FY26</x:v>
      </x:c>
      <x:c r="H43" s="52" t="str">
        <x:v>FY22–26 CAGR</x:v>
      </x:c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</x:row>
    <x:row r="44" ht="21" customHeight="1">
      <x:c r="A44" s="44" t="str">
        <x:v>Torrent India business</x:v>
      </x:c>
      <x:c r="B44" s="44" t="str">
        <x:v>Sales</x:v>
      </x:c>
      <x:c r="C44" s="48" t="n">
        <x:f>'Source data'!D20</x:f>
        <x:v>4286</x:v>
      </x:c>
      <x:c r="D44" s="48" t="n">
        <x:f>'Source data'!E20</x:f>
        <x:v>4984</x:v>
      </x:c>
      <x:c r="E44" s="48" t="n">
        <x:f>'Source data'!F20</x:f>
        <x:v>5666</x:v>
      </x:c>
      <x:c r="F44" s="48" t="n">
        <x:f>'Source data'!G20</x:f>
        <x:v>6393</x:v>
      </x:c>
      <x:c r="G44" s="48" t="n">
        <x:f>'Source data'!H20</x:f>
        <x:v>7645</x:v>
      </x:c>
      <x:c r="H44" s="49" t="n">
        <x:f>(G44/C44)^(1/4)-1</x:f>
        <x:v>0.15566332396071592</x:v>
      </x:c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</x:row>
    <x:row r="45" ht="21" customHeight="1">
      <x:c r="A45" s="44"/>
      <x:c r="B45" s="46" t="str">
        <x:v>YoY growth</x:v>
      </x:c>
      <x:c r="C45" s="50" t="str">
        <x:v>n.a.</x:v>
      </x:c>
      <x:c r="D45" s="50" t="n">
        <x:f>'Source data'!E20/'Source data'!D20-1</x:f>
        <x:v>0.16285580961269241</x:v>
      </x:c>
      <x:c r="E45" s="50" t="n">
        <x:f>'Source data'!F20/'Source data'!E20-1</x:f>
        <x:v>0.1368378812199036</x:v>
      </x:c>
      <x:c r="F45" s="50" t="n">
        <x:f>'Source data'!G20/'Source data'!F20-1</x:f>
        <x:v>0.12830921284857033</x:v>
      </x:c>
      <x:c r="G45" s="50" t="n">
        <x:f>'Source data'!H20/'Source data'!G20-1</x:f>
        <x:v>0.19583919912404202</x:v>
      </x:c>
      <x:c r="H45" s="50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</x:row>
    <x:row r="46" ht="21" customHeight="1">
      <x:c r="A46" s="44" t="str">
        <x:v>Alkem India sales</x:v>
      </x:c>
      <x:c r="B46" s="44" t="str">
        <x:v>Sales</x:v>
      </x:c>
      <x:c r="C46" s="48" t="n">
        <x:f>'Source data'!D21</x:f>
        <x:v>7404.5</x:v>
      </x:c>
      <x:c r="D46" s="48" t="n">
        <x:f>'Source data'!E21</x:f>
        <x:v>8001.1</x:v>
      </x:c>
      <x:c r="E46" s="48" t="n">
        <x:f>'Source data'!F21</x:f>
        <x:v>8433.6</x:v>
      </x:c>
      <x:c r="F46" s="48" t="n">
        <x:f>'Source data'!G21</x:f>
        <x:v>8983.7</x:v>
      </x:c>
      <x:c r="G46" s="48" t="n">
        <x:f>'Source data'!H21</x:f>
        <x:v>9851.4</x:v>
      </x:c>
      <x:c r="H46" s="49" t="n">
        <x:f>(G46/C46)^(1/4)-1</x:f>
        <x:v>0.07399078222560651</x:v>
      </x:c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</x:row>
    <x:row r="47" ht="21" customHeight="1">
      <x:c r="A47" s="44"/>
      <x:c r="B47" s="46" t="str">
        <x:v>YoY growth</x:v>
      </x:c>
      <x:c r="C47" s="50" t="n">
        <x:f>'Source data'!D21/'Source data'!C21-1</x:f>
        <x:v>0.2991262544739981</x:v>
      </x:c>
      <x:c r="D47" s="50" t="n">
        <x:f>'Source data'!E21/'Source data'!D21-1</x:f>
        <x:v>0.08057262475521654</x:v>
      </x:c>
      <x:c r="E47" s="50" t="n">
        <x:f>'Source data'!F21/'Source data'!E21-1</x:f>
        <x:v>0.05405506742822852</x:v>
      </x:c>
      <x:c r="F47" s="50" t="n">
        <x:f>'Source data'!G21/'Source data'!F21-1</x:f>
        <x:v>0.06522718649212678</x:v>
      </x:c>
      <x:c r="G47" s="50" t="n">
        <x:f>'Source data'!H21/'Source data'!G21-1</x:f>
        <x:v>0.09658603915981145</x:v>
      </x:c>
      <x:c r="H47" s="50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</x:row>
    <x:row r="48" ht="21" customHeight="1">
      <x:c r="A48" s="44" t="str">
        <x:v>JB domestic formulations</x:v>
      </x:c>
      <x:c r="B48" s="44" t="str">
        <x:v>Sales</x:v>
      </x:c>
      <x:c r="C48" s="48" t="n">
        <x:f>'Source data'!D22</x:f>
        <x:v>1173.178</x:v>
      </x:c>
      <x:c r="D48" s="48" t="n">
        <x:f>'Source data'!E22</x:f>
        <x:v>1640</x:v>
      </x:c>
      <x:c r="E48" s="48" t="n">
        <x:f>'Source data'!F22</x:f>
        <x:v>1897</x:v>
      </x:c>
      <x:c r="F48" s="48" t="n">
        <x:f>'Source data'!G22</x:f>
        <x:v>2269</x:v>
      </x:c>
      <x:c r="G48" s="48" t="n">
        <x:f>'Source data'!H22</x:f>
        <x:v>2461</x:v>
      </x:c>
      <x:c r="H48" s="49" t="n">
        <x:f>(G48/C48)^(1/4)-1</x:f>
        <x:v>0.20347459216592045</x:v>
      </x:c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</x:row>
    <x:row r="49" ht="21" customHeight="1">
      <x:c r="A49" s="44"/>
      <x:c r="B49" s="46" t="str">
        <x:v>YoY growth</x:v>
      </x:c>
      <x:c r="C49" s="50" t="n">
        <x:f>'Source data'!D22/'Source data'!C22-1</x:f>
        <x:v>0.3153529185416666</x:v>
      </x:c>
      <x:c r="D49" s="50" t="n">
        <x:f>'Source data'!E22/'Source data'!D22-1</x:f>
        <x:v>0.3979123372582847</x:v>
      </x:c>
      <x:c r="E49" s="50" t="n">
        <x:f>'Source data'!F22/'Source data'!E22-1</x:f>
        <x:v>0.15670731707317076</x:v>
      </x:c>
      <x:c r="F49" s="50" t="n">
        <x:f>'Source data'!G22/'Source data'!F22-1</x:f>
        <x:v>0.1960991038481814</x:v>
      </x:c>
      <x:c r="G49" s="50" t="n">
        <x:f>'Source data'!H22/'Source data'!G22-1</x:f>
        <x:v>0.0846187747906566</x:v>
      </x:c>
      <x:c r="H49" s="50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</x:row>
    <x:row r="50" ht="21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</x:row>
    <x:row r="51" ht="21" customHeight="1">
      <x:c r="A51" s="55" t="str">
        <x:v>Reading the comparison</x:v>
      </x:c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</x:row>
    <x:row r="52" ht="21" customHeight="1">
      <x:c r="A52" s="44" t="str">
        <x:v>MNC rows represent the named listed entities. They do not capture each global parent’s entire India franchise.</x:v>
      </x:c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</x:row>
    <x:row r="53" ht="21" customHeight="1">
      <x:c r="A53" s="44" t="str">
        <x:v>GSK uses standalone sales and its restated FY21 comparative. Pfizer sales include other operating revenue.</x:v>
      </x:c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</x:row>
    <x:row r="54" ht="21" customHeight="1">
      <x:c r="A54" s="44" t="str">
        <x:v>Mankind FY24 uses the restated continuing-operations figure. Earlier years follow the company’s disclosed history.</x:v>
      </x:c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</x:row>
    <x:row r="55" ht="21" customHeight="1">
      <x:c r="A55" s="44" t="str">
        <x:v>Mankind/BSV, Eris/Biocon portfolios, JB acquired brands and Torrent/Curatio/JB affect reported growth.</x:v>
      </x:c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</x:row>
    <x:row r="56" ht="21" customHeight="1">
      <x:c r="A56" s="44" t="str">
        <x:v>Torrent FY26 includes JB from 21 January 2026. No peer-group aggregate is presented because of overlap.</x:v>
      </x:c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</x:row>
    <x:row r="57" ht="21" customHeight="1">
      <x:c r="A57" s="44" t="str">
        <x:v>Alkem India sales follow operational earnings releases. Geographic revenue in annual reports has a broader definition.</x:v>
      </x:c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</x:row>
    <x:row r="58" ht="21" customHeight="1">
      <x:c r="A58" s="44" t="str">
        <x:v>FY26 domestic sales: Mankind ₹12,217 crore (+14.4%; organic +8.6%); Eris DBF ₹2,778 crore (+10.5%).</x:v>
      </x:c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</x:row>
    <x:row r="59" ht="21" customHeight="1">
      <x:c r="A59" s="44" t="str">
        <x:v>CAGR covers four intervals across the five displayed years. n.a. means the prior-year source was not retrieved.</x:v>
      </x:c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</x:row>
    <x:row r="60" ht="21" customHeight="1">
      <x:c r="A60" s="44" t="str">
        <x:v>Sources and definitions sit alongside the original inputs. As of 19 October 2026.</x:v>
      </x:c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</x:row>
    <x:row r="61" ht="21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</x:row>
    <x:row r="62" ht="21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</x:row>
    <x:row r="63" ht="21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</x:row>
    <x:row r="64" ht="21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</x:row>
    <x:row r="65" ht="21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</x:row>
    <x:row r="66" ht="21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</x:row>
    <x:row r="67" ht="21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</x:row>
    <x:row r="68" ht="21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</x:row>
    <x:row r="69" ht="21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</x:row>
    <x:row r="70" ht="21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</x:row>
    <x:row r="71" ht="21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</x:row>
    <x:row r="72" ht="21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</x:row>
    <x:row r="73" ht="21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</x:row>
    <x:row r="74" ht="21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</x:row>
    <x:row r="75" ht="21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</x:row>
    <x:row r="76" ht="21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</x:row>
    <x:row r="77" ht="21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</x:row>
    <x:row r="78" ht="21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</x:row>
    <x:row r="79" ht="21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</x:row>
    <x:row r="80" ht="21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</x:row>
    <x:row r="81" ht="21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</x:row>
    <x:row r="82" ht="21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</x:row>
    <x:row r="83" ht="21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</x:row>
    <x:row r="84" ht="21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</x:row>
    <x:row r="85" ht="21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</x:row>
    <x:row r="86" ht="21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</x:row>
    <x:row r="87" ht="21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</x:row>
    <x:row r="88" ht="21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</x:row>
    <x:row r="89" ht="21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</x:row>
    <x:row r="90" ht="21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</x:row>
    <x:row r="91" ht="21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</x:row>
    <x:row r="92" ht="21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</x:row>
    <x:row r="93" ht="21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</x:row>
    <x:row r="94" ht="21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</x:row>
    <x:row r="95" ht="21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</x:row>
    <x:row r="96" ht="21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</x:row>
    <x:row r="97" ht="21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</x:row>
    <x:row r="98" ht="21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</x:row>
    <x:row r="99" ht="21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</x:row>
    <x:row r="100" ht="21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10" max="10" width="54" hidden="0" customWidth="1"/>
    <x:col min="11" max="11" width="54" hidden="0" customWidth="1"/>
    <x:col min="12" max="12" width="90" hidden="0" customWidth="1"/>
  </x:cols>
  <x:sheetData>
    <x:row r="1" ht="21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</x:row>
    <x:row r="2" ht="21" customHeight="1">
      <x:c r="A2" s="45" t="str">
        <x:v>Reported sales inputs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</x:row>
    <x:row r="3" ht="21" customHeight="1">
      <x:c r="A3" s="44" t="str">
        <x:v>INR crore. FY ends 31 March. Accessed 19 October 2026. Blue cells are source inputs.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</x:row>
    <x:row r="4" ht="21" customHeight="1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</x:row>
    <x:row r="5" ht="27" customHeight="1">
      <x:c r="A5" s="47" t="str">
        <x:v>Company</x:v>
      </x:c>
      <x:c r="B5" s="47" t="str">
        <x:v>Basis</x:v>
      </x:c>
      <x:c r="C5" s="47" t="str">
        <x:v>FY21</x:v>
      </x:c>
      <x:c r="D5" s="47" t="str">
        <x:v>FY22</x:v>
      </x:c>
      <x:c r="E5" s="47" t="str">
        <x:v>FY23</x:v>
      </x:c>
      <x:c r="F5" s="47" t="str">
        <x:v>FY24</x:v>
      </x:c>
      <x:c r="G5" s="47" t="str">
        <x:v>FY25</x:v>
      </x:c>
      <x:c r="H5" s="47" t="str">
        <x:v>FY26</x:v>
      </x:c>
      <x:c r="I5" s="47" t="str"/>
      <x:c r="J5" s="47" t="str">
        <x:v>Data series source</x:v>
      </x:c>
      <x:c r="K5" s="47" t="str">
        <x:v>Company source / supporting sources</x:v>
      </x:c>
      <x:c r="L5" s="47" t="str">
        <x:v>Comparability notes</x:v>
      </x:c>
      <x:c r="M5" s="44"/>
      <x:c r="N5" s="44"/>
      <x:c r="O5" s="44"/>
      <x:c r="P5" s="44"/>
      <x:c r="Q5" s="44"/>
      <x:c r="R5" s="44"/>
      <x:c r="S5" s="44"/>
    </x:row>
    <x:row r="6" ht="79" customHeight="1">
      <x:c r="A6" s="44" t="str">
        <x:v>GSK India</x:v>
      </x:c>
      <x:c r="B6" s="44" t="str">
        <x:v>Standalone</x:v>
      </x:c>
      <x:c r="C6" s="60" t="n">
        <x:v>2920.48</x:v>
      </x:c>
      <x:c r="D6" s="60" t="n">
        <x:v>3217.51</x:v>
      </x:c>
      <x:c r="E6" s="60" t="n">
        <x:v>3216.34</x:v>
      </x:c>
      <x:c r="F6" s="60" t="n">
        <x:v>3407.25</x:v>
      </x:c>
      <x:c r="G6" s="60" t="n">
        <x:v>3723.49</x:v>
      </x:c>
      <x:c r="H6" s="60" t="n">
        <x:v>3790.2</x:v>
      </x:c>
      <x:c r="I6" s="44"/>
      <x:c r="J6" s="61" t="str">
        <x:v>https://economictimes.indiatimes.com/glaxosmithkline-pharmaceuticals-ltd/yearly/companyid-13715.cms</x:v>
      </x:c>
      <x:c r="K6" s="61" t="str">
        <x:v>https://india-pharma.gsk.com/media/scfg3eux/annual-report-2025-26.pdf</x:v>
      </x:c>
      <x:c r="L6" s="61" t="str">
        <x:v>FY21 is the subsequently restated comparative. Iodex/Ostocalcium disposal affects the early-period comparison. Listed entity only.</x:v>
      </x:c>
      <x:c r="M6" s="44"/>
      <x:c r="N6" s="44"/>
      <x:c r="O6" s="44"/>
      <x:c r="P6" s="44"/>
      <x:c r="Q6" s="44"/>
      <x:c r="R6" s="44"/>
      <x:c r="S6" s="44"/>
    </x:row>
    <x:row r="7" ht="79" customHeight="1">
      <x:c r="A7" s="44" t="str">
        <x:v>Abbott India</x:v>
      </x:c>
      <x:c r="B7" s="44" t="str">
        <x:v>Standalone</x:v>
      </x:c>
      <x:c r="C7" s="60" t="n">
        <x:v>4310.02</x:v>
      </x:c>
      <x:c r="D7" s="60" t="n">
        <x:v>4919.27</x:v>
      </x:c>
      <x:c r="E7" s="60" t="n">
        <x:v>5348.73</x:v>
      </x:c>
      <x:c r="F7" s="60" t="n">
        <x:v>5848.91</x:v>
      </x:c>
      <x:c r="G7" s="60" t="n">
        <x:v>6409.15</x:v>
      </x:c>
      <x:c r="H7" s="60" t="n">
        <x:v>6929.05</x:v>
      </x:c>
      <x:c r="I7" s="44"/>
      <x:c r="J7" s="61" t="str">
        <x:v>https://economictimes.indiatimes.com/abbott-india-ltd/yearly/companyid-13937.cms</x:v>
      </x:c>
      <x:c r="K7" s="61" t="str">
        <x:v>https://www.abbott.co.in/investor-relations/financials/annual-reports.html</x:v>
      </x:c>
      <x:c r="L7" s="61" t="str">
        <x:v>Abbott India Limited only. Excludes other Abbott entities in India. FY21: company FY22 annual report.</x:v>
      </x:c>
      <x:c r="M7" s="44"/>
      <x:c r="N7" s="44"/>
      <x:c r="O7" s="44"/>
      <x:c r="P7" s="44"/>
      <x:c r="Q7" s="44"/>
      <x:c r="R7" s="44"/>
      <x:c r="S7" s="44"/>
    </x:row>
    <x:row r="8" ht="79" customHeight="1">
      <x:c r="A8" s="44" t="str">
        <x:v>Pfizer Limited</x:v>
      </x:c>
      <x:c r="B8" s="44" t="str">
        <x:v>Standalone</x:v>
      </x:c>
      <x:c r="C8" s="60" t="n">
        <x:v>2238.55</x:v>
      </x:c>
      <x:c r="D8" s="60" t="n">
        <x:v>2610.99</x:v>
      </x:c>
      <x:c r="E8" s="60" t="n">
        <x:v>2424.76</x:v>
      </x:c>
      <x:c r="F8" s="60" t="n">
        <x:v>2193.17</x:v>
      </x:c>
      <x:c r="G8" s="60" t="n">
        <x:v>2281.35</x:v>
      </x:c>
      <x:c r="H8" s="60" t="n">
        <x:v>2519.65</x:v>
      </x:c>
      <x:c r="I8" s="44"/>
      <x:c r="J8" s="61" t="str">
        <x:v>https://economictimes.indiatimes.com/pfizer-ltd/yearly/companyid-13274.cms</x:v>
      </x:c>
      <x:c r="K8" s="61" t="str">
        <x:v>https://www.pfizerltd.co.in/financial-information</x:v>
      </x:c>
      <x:c r="L8" s="61" t="str">
        <x:v>Listed Pfizer Limited only. FY24 affected by antibiotic recalls and NLEM price revisions. Includes other operating revenue.</x:v>
      </x:c>
      <x:c r="M8" s="44"/>
      <x:c r="N8" s="44"/>
      <x:c r="O8" s="44"/>
      <x:c r="P8" s="44"/>
      <x:c r="Q8" s="44"/>
      <x:c r="R8" s="44"/>
      <x:c r="S8" s="44"/>
    </x:row>
    <x:row r="9" ht="79" customHeight="1">
      <x:c r="A9" s="44" t="str">
        <x:v>AstraZeneca Pharma India</x:v>
      </x:c>
      <x:c r="B9" s="44" t="str">
        <x:v>Standalone</x:v>
      </x:c>
      <x:c r="C9" s="60" t="n">
        <x:v>813.56</x:v>
      </x:c>
      <x:c r="D9" s="60" t="n">
        <x:v>805.6</x:v>
      </x:c>
      <x:c r="E9" s="60" t="n">
        <x:v>1002.97</x:v>
      </x:c>
      <x:c r="F9" s="60" t="n">
        <x:v>1295.53</x:v>
      </x:c>
      <x:c r="G9" s="60" t="n">
        <x:v>1716.29</x:v>
      </x:c>
      <x:c r="H9" s="60" t="n">
        <x:v>2275.58</x:v>
      </x:c>
      <x:c r="I9" s="44"/>
      <x:c r="J9" s="61" t="str">
        <x:v>https://economictimes.indiatimes.com/astrazeneca-pharma-india-ltd/yearly/companyid-13987.cms</x:v>
      </x:c>
      <x:c r="K9" s="61" t="str">
        <x:v>https://www.astrazeneca.in/media/press-releases/2026/astrazeneca-pharma-india-limited-marks-consisten-33-percentage-growthas-the-company-announces-its-annual-results-for-fy-2025-2026.html</x:v>
      </x:c>
      <x:c r="L9" s="61" t="str">
        <x:v>Listed Pharma India entity. Excludes separate R&amp;D/service entities. Includes other operating revenue.</x:v>
      </x:c>
      <x:c r="M9" s="44"/>
      <x:c r="N9" s="44"/>
      <x:c r="O9" s="44"/>
      <x:c r="P9" s="44"/>
      <x:c r="Q9" s="44"/>
      <x:c r="R9" s="44"/>
      <x:c r="S9" s="44"/>
    </x:row>
    <x:row r="10" ht="79" customHeight="1">
      <x:c r="A10" s="44" t="str">
        <x:v>Novartis India</x:v>
      </x:c>
      <x:c r="B10" s="44" t="str">
        <x:v>Standalone</x:v>
      </x:c>
      <x:c r="C10" s="60" t="n">
        <x:v>381.35</x:v>
      </x:c>
      <x:c r="D10" s="60" t="n">
        <x:v>399.87</x:v>
      </x:c>
      <x:c r="E10" s="60" t="n">
        <x:v>378.74</x:v>
      </x:c>
      <x:c r="F10" s="60" t="n">
        <x:v>335.07</x:v>
      </x:c>
      <x:c r="G10" s="60" t="n">
        <x:v>356.27</x:v>
      </x:c>
      <x:c r="H10" s="60" t="n">
        <x:v>354.33</x:v>
      </x:c>
      <x:c r="I10" s="44"/>
      <x:c r="J10" s="61" t="str">
        <x:v>https://economictimes.indiatimes.com/novartis-india-ltd/yearly/companyid-13653.cms</x:v>
      </x:c>
      <x:c r="K10" s="61" t="str">
        <x:v>https://www.novartis.com/in-en/investors</x:v>
      </x:c>
      <x:c r="L10" s="61" t="str">
        <x:v>Novartis India Limited only. Excludes Novartis Healthcare Private Limited and other India entities. Distribution model changes affect interpretation.</x:v>
      </x:c>
      <x:c r="M10" s="44"/>
      <x:c r="N10" s="44"/>
      <x:c r="O10" s="44"/>
      <x:c r="P10" s="44"/>
      <x:c r="Q10" s="44"/>
      <x:c r="R10" s="44"/>
      <x:c r="S10" s="44"/>
    </x:row>
    <x:row r="11" ht="79" customHeight="1">
      <x:c r="A11" s="44" t="str">
        <x:v>Mankind Pharma</x:v>
      </x:c>
      <x:c r="B11" s="44" t="str">
        <x:v>Consolidated</x:v>
      </x:c>
      <x:c r="C11" s="60" t="n">
        <x:v>6214</x:v>
      </x:c>
      <x:c r="D11" s="60" t="n">
        <x:v>7781.56</x:v>
      </x:c>
      <x:c r="E11" s="60" t="n">
        <x:v>8749.43</x:v>
      </x:c>
      <x:c r="F11" s="60" t="n">
        <x:v>10260.44</x:v>
      </x:c>
      <x:c r="G11" s="60" t="n">
        <x:v>12207.44</x:v>
      </x:c>
      <x:c r="H11" s="60" t="n">
        <x:v>14277.64</x:v>
      </x:c>
      <x:c r="I11" s="44"/>
      <x:c r="J11" s="61" t="str">
        <x:v>https://www.screener.in/company/MANKIND/consolidated/</x:v>
      </x:c>
      <x:c r="K11" s="61" t="str">
        <x:v>https://www.mankindpharma.com/wp-content/uploads/2025/07/annual_report_07.pdf?v=1</x:v>
      </x:c>
      <x:c r="L11" s="61" t="str">
        <x:v>Latest disclosed history: FY24 continuing operations restated to 10,260.44 from originally reported 10,334.77. Earlier years as reported in company history. FY21 rounded to whole crore. BSV acquisition contributes from FY25; FY26 includes full-year effect. Includes exports and consumer health.</x:v>
      </x:c>
      <x:c r="M11" s="44"/>
      <x:c r="N11" s="44"/>
      <x:c r="O11" s="44"/>
      <x:c r="P11" s="44"/>
      <x:c r="Q11" s="44"/>
      <x:c r="R11" s="44"/>
      <x:c r="S11" s="44"/>
    </x:row>
    <x:row r="12" ht="79" customHeight="1">
      <x:c r="A12" s="44" t="str">
        <x:v>Eris Lifesciences</x:v>
      </x:c>
      <x:c r="B12" s="44" t="str">
        <x:v>Consolidated</x:v>
      </x:c>
      <x:c r="C12" s="60" t="n">
        <x:v>1211.863</x:v>
      </x:c>
      <x:c r="D12" s="60" t="n">
        <x:v>1347.04</x:v>
      </x:c>
      <x:c r="E12" s="60" t="n">
        <x:v>1685.15</x:v>
      </x:c>
      <x:c r="F12" s="60" t="n">
        <x:v>2009.14</x:v>
      </x:c>
      <x:c r="G12" s="60" t="n">
        <x:v>2893.64</x:v>
      </x:c>
      <x:c r="H12" s="60" t="n">
        <x:v>3129.42</x:v>
      </x:c>
      <x:c r="I12" s="44"/>
      <x:c r="J12" s="61" t="str">
        <x:v>https://economictimes.indiatimes.com/eris-lifesciences-ltd/profitandlose/companyid-55491.cms?from=mdr</x:v>
      </x:c>
      <x:c r="K12" s="61" t="str">
        <x:v>https://nsearchives.nseindia.com/corporate/ERIS_20052026145156_InvestorPresentationsigned.pdf</x:v>
      </x:c>
      <x:c r="L12" s="61" t="str">
        <x:v>Consolidated series. Biocon and other acquired portfolios affect reported growth, especially FY25. Includes international business. FY21 exchange filing: Intimation_29102021130613.pdf.</x:v>
      </x:c>
      <x:c r="M12" s="44"/>
      <x:c r="N12" s="44"/>
      <x:c r="O12" s="44"/>
      <x:c r="P12" s="44"/>
      <x:c r="Q12" s="44"/>
      <x:c r="R12" s="44"/>
      <x:c r="S12" s="44"/>
    </x:row>
    <x:row r="13" ht="79" customHeight="1">
      <x:c r="A13" s="44" t="str">
        <x:v>JB Pharma</x:v>
      </x:c>
      <x:c r="B13" s="44" t="str">
        <x:v>Consolidated</x:v>
      </x:c>
      <x:c r="C13" s="60" t="n">
        <x:v>2042.52</x:v>
      </x:c>
      <x:c r="D13" s="60" t="n">
        <x:v>2424.24</x:v>
      </x:c>
      <x:c r="E13" s="60" t="n">
        <x:v>3149.28</x:v>
      </x:c>
      <x:c r="F13" s="60" t="n">
        <x:v>3484.18</x:v>
      </x:c>
      <x:c r="G13" s="60" t="n">
        <x:v>3917.99</x:v>
      </x:c>
      <x:c r="H13" s="60" t="n">
        <x:v>4147.79</x:v>
      </x:c>
      <x:c r="I13" s="44"/>
      <x:c r="J13" s="61" t="str">
        <x:v>https://economictimes.indiatimes.com/j-b-chemicals-pharmaceuticals-ltd/profitandlose/companyid-13536.cms</x:v>
      </x:c>
      <x:c r="K13" s="61" t="str">
        <x:v>https://jbpharma.com/wp-content/uploads/2026/05/Q4-FY26-Press-Release-12-05-2026.pdf</x:v>
      </x:c>
      <x:c r="L13" s="61" t="str">
        <x:v>Includes international formulations/CDMO. Acquired brands contribute to domestic growth. Torrent consolidates JB from 21 January 2026: do not sum both rows into a peer-group total.</x:v>
      </x:c>
      <x:c r="M13" s="44"/>
      <x:c r="N13" s="44"/>
      <x:c r="O13" s="44"/>
      <x:c r="P13" s="44"/>
      <x:c r="Q13" s="44"/>
      <x:c r="R13" s="44"/>
      <x:c r="S13" s="44"/>
    </x:row>
    <x:row r="14" ht="79" customHeight="1">
      <x:c r="A14" s="44" t="str">
        <x:v>Torrent Pharma</x:v>
      </x:c>
      <x:c r="B14" s="44" t="str">
        <x:v>Consolidated</x:v>
      </x:c>
      <x:c r="C14" s="60" t="n">
        <x:v>8005</x:v>
      </x:c>
      <x:c r="D14" s="60" t="n">
        <x:v>8508</x:v>
      </x:c>
      <x:c r="E14" s="60" t="n">
        <x:v>9620</x:v>
      </x:c>
      <x:c r="F14" s="60" t="n">
        <x:v>10728</x:v>
      </x:c>
      <x:c r="G14" s="60" t="n">
        <x:v>11516</x:v>
      </x:c>
      <x:c r="H14" s="60" t="n">
        <x:v>13980</x:v>
      </x:c>
      <x:c r="I14" s="44"/>
      <x:c r="J14" s="61" t="str">
        <x:v>https://www.screener.in/company/TORNTPHARM/consolidated/</x:v>
      </x:c>
      <x:c r="K14" s="61" t="str">
        <x:v>https://www.torrentpharma.com/docs/Torrent_Pharma_Press_release_Q4_25_26_e5822c6449.pdf</x:v>
      </x:c>
      <x:c r="L14" s="61" t="str">
        <x:v>Company-reported whole-crore figures. Includes exports. FY26 includes JB from 21 January 2026; ex-JB FY26 revenue 13,207 crore, +14.7%. Curatio also affects earlier growth.</x:v>
      </x:c>
      <x:c r="M14" s="44"/>
      <x:c r="N14" s="44"/>
      <x:c r="O14" s="44"/>
      <x:c r="P14" s="44"/>
      <x:c r="Q14" s="44"/>
      <x:c r="R14" s="44"/>
      <x:c r="S14" s="44"/>
    </x:row>
    <x:row r="15" ht="79" customHeight="1">
      <x:c r="A15" s="44" t="str">
        <x:v>Alkem Laboratories</x:v>
      </x:c>
      <x:c r="B15" s="44" t="str">
        <x:v>Consolidated</x:v>
      </x:c>
      <x:c r="C15" s="60" t="n">
        <x:v>8865.01</x:v>
      </x:c>
      <x:c r="D15" s="60" t="n">
        <x:v>10634.19</x:v>
      </x:c>
      <x:c r="E15" s="60" t="n">
        <x:v>11599.26</x:v>
      </x:c>
      <x:c r="F15" s="60" t="n">
        <x:v>12667.58</x:v>
      </x:c>
      <x:c r="G15" s="60" t="n">
        <x:v>12964.52</x:v>
      </x:c>
      <x:c r="H15" s="60" t="n">
        <x:v>14712.27</x:v>
      </x:c>
      <x:c r="I15" s="44"/>
      <x:c r="J15" s="61" t="str">
        <x:v>https://economictimes.indiatimes.com/alkem-laboratories-ltd/profitandlose/companyid-15059.cms?from=mdr</x:v>
      </x:c>
      <x:c r="K15" s="61" t="str">
        <x:v>https://admin.alkemlabs.com/uploads/Q4_and_FY_26_Results_Press_Release_and_Results_Presentation_52dad86930.pdf</x:v>
      </x:c>
      <x:c r="L15" s="61" t="str">
        <x:v>Includes US and other international sales. Domestic sales shown separately below. Revenue from operations includes other operating income.</x:v>
      </x:c>
      <x:c r="M15" s="44"/>
      <x:c r="N15" s="44"/>
      <x:c r="O15" s="44"/>
      <x:c r="P15" s="44"/>
      <x:c r="Q15" s="44"/>
      <x:c r="R15" s="44"/>
      <x:c r="S15" s="44"/>
    </x:row>
    <x:row r="16" ht="21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61"/>
      <x:c r="K16" s="61"/>
      <x:c r="L16" s="61"/>
      <x:c r="M16" s="44"/>
      <x:c r="N16" s="44"/>
      <x:c r="O16" s="44"/>
      <x:c r="P16" s="44"/>
      <x:c r="Q16" s="44"/>
      <x:c r="R16" s="44"/>
      <x:c r="S16" s="44"/>
    </x:row>
    <x:row r="17" ht="21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61"/>
      <x:c r="K17" s="61"/>
      <x:c r="L17" s="61"/>
      <x:c r="M17" s="44"/>
      <x:c r="N17" s="44"/>
      <x:c r="O17" s="44"/>
      <x:c r="P17" s="44"/>
      <x:c r="Q17" s="44"/>
      <x:c r="R17" s="44"/>
      <x:c r="S17" s="44"/>
    </x:row>
    <x:row r="18" ht="21" customHeight="1">
      <x:c r="A18" s="55" t="str">
        <x:v>India business sales</x:v>
      </x:c>
      <x:c r="B18" s="55"/>
      <x:c r="C18" s="55"/>
      <x:c r="D18" s="55"/>
      <x:c r="E18" s="55"/>
      <x:c r="F18" s="55"/>
      <x:c r="G18" s="55"/>
      <x:c r="H18" s="55"/>
      <x:c r="I18" s="44"/>
      <x:c r="J18" s="61"/>
      <x:c r="K18" s="61"/>
      <x:c r="L18" s="61"/>
      <x:c r="M18" s="44"/>
      <x:c r="N18" s="44"/>
      <x:c r="O18" s="44"/>
      <x:c r="P18" s="44"/>
      <x:c r="Q18" s="44"/>
      <x:c r="R18" s="44"/>
      <x:c r="S18" s="44"/>
    </x:row>
    <x:row r="19" ht="27" customHeight="1">
      <x:c r="A19" s="47" t="str">
        <x:v>Company</x:v>
      </x:c>
      <x:c r="B19" s="47" t="str">
        <x:v>Basis</x:v>
      </x:c>
      <x:c r="C19" s="47" t="str">
        <x:v>FY21</x:v>
      </x:c>
      <x:c r="D19" s="47" t="str">
        <x:v>FY22</x:v>
      </x:c>
      <x:c r="E19" s="47" t="str">
        <x:v>FY23</x:v>
      </x:c>
      <x:c r="F19" s="47" t="str">
        <x:v>FY24</x:v>
      </x:c>
      <x:c r="G19" s="47" t="str">
        <x:v>FY25</x:v>
      </x:c>
      <x:c r="H19" s="47" t="str">
        <x:v>FY26</x:v>
      </x:c>
      <x:c r="I19" s="47" t="str"/>
      <x:c r="J19" s="62" t="str">
        <x:v>Earliest source</x:v>
      </x:c>
      <x:c r="K19" s="62" t="str">
        <x:v>Later sources</x:v>
      </x:c>
      <x:c r="L19" s="62" t="str">
        <x:v>Definition</x:v>
      </x:c>
      <x:c r="M19" s="44"/>
      <x:c r="N19" s="44"/>
      <x:c r="O19" s="44"/>
      <x:c r="P19" s="44"/>
      <x:c r="Q19" s="44"/>
      <x:c r="R19" s="44"/>
      <x:c r="S19" s="44"/>
    </x:row>
    <x:row r="20" ht="95" customHeight="1">
      <x:c r="A20" s="44" t="str">
        <x:v>Torrent India business</x:v>
      </x:c>
      <x:c r="B20" s="44" t="str">
        <x:v>Operational</x:v>
      </x:c>
      <x:c r="C20" s="60"/>
      <x:c r="D20" s="60" t="n">
        <x:v>4286</x:v>
      </x:c>
      <x:c r="E20" s="60" t="n">
        <x:v>4984</x:v>
      </x:c>
      <x:c r="F20" s="60" t="n">
        <x:v>5666</x:v>
      </x:c>
      <x:c r="G20" s="60" t="n">
        <x:v>6393</x:v>
      </x:c>
      <x:c r="H20" s="60" t="n">
        <x:v>7645</x:v>
      </x:c>
      <x:c r="I20" s="44"/>
      <x:c r="J20" s="61" t="str">
        <x:v>https://torrentpharma.com/pdf/investors/Torrent-Pharma-Financial-Results-Press-Release-Q4-2022.pdf</x:v>
      </x:c>
      <x:c r="K20" s="61" t="str">
        <x:v>https://torrentpharma.com/pdf/investors/Press_release_Q4_22-23.pdf ; https://torrentpharma.com/pdf/investors/Torrent_Pharma_Press_Release-Q4-FY24.pdf ; https://www.torrentpharma.com/business-area/india-business/ ; https://www.torrentpharma.com/docs/Torrent_Pharma_Press_release_Q4_25_26_e5822c6449.pdf</x:v>
      </x:c>
      <x:c r="L20" s="61" t="str">
        <x:v>Company operational India business, not all geography-based sales to India. FY26 includes JB. FY21 not retrieved; FY22 growth unavailable in this supplementary series.</x:v>
      </x:c>
      <x:c r="M20" s="44"/>
      <x:c r="N20" s="44"/>
      <x:c r="O20" s="44"/>
      <x:c r="P20" s="44"/>
      <x:c r="Q20" s="44"/>
      <x:c r="R20" s="44"/>
      <x:c r="S20" s="44"/>
    </x:row>
    <x:row r="21" ht="95" customHeight="1">
      <x:c r="A21" s="44" t="str">
        <x:v>Alkem India sales</x:v>
      </x:c>
      <x:c r="B21" s="44" t="str">
        <x:v>Operational</x:v>
      </x:c>
      <x:c r="C21" s="60" t="n">
        <x:v>5699.6</x:v>
      </x:c>
      <x:c r="D21" s="60" t="n">
        <x:v>7404.5</x:v>
      </x:c>
      <x:c r="E21" s="60" t="n">
        <x:v>8001.1</x:v>
      </x:c>
      <x:c r="F21" s="60" t="n">
        <x:v>8433.6</x:v>
      </x:c>
      <x:c r="G21" s="60" t="n">
        <x:v>8983.7</x:v>
      </x:c>
      <x:c r="H21" s="60" t="n">
        <x:v>9851.4</x:v>
      </x:c>
      <x:c r="I21" s="44"/>
      <x:c r="J21" s="61" t="str">
        <x:v>https://admin.alkemlabs.com/uploads/Press_Release_Q4_FY_22_1151c0ba36.pdf</x:v>
      </x:c>
      <x:c r="K21" s="61" t="str">
        <x:v>https://admin.alkemlabs.com/uploads/Q4_FY_24_Investor_presentation_a21e3b37ae.pdf ; https://admin.alkemlabs.com/uploads/Q4_and_FY_26_Results_Press_Release_and_Results_Presentation_52dad86930.pdf</x:v>
      </x:c>
      <x:c r="L21" s="61" t="str">
        <x:v>Operational India sales from earnings releases, excluding unallocated other operating income; differs from annual-report geographic revenue. FY26 includes Adroit/Alkem Medtech. FY24 press-release chart used (84,336 million); narrative rounds to 84,337 million.</x:v>
      </x:c>
      <x:c r="M21" s="44"/>
      <x:c r="N21" s="44"/>
      <x:c r="O21" s="44"/>
      <x:c r="P21" s="44"/>
      <x:c r="Q21" s="44"/>
      <x:c r="R21" s="44"/>
      <x:c r="S21" s="44"/>
    </x:row>
    <x:row r="22" ht="95" customHeight="1">
      <x:c r="A22" s="44" t="str">
        <x:v>JB domestic formulations</x:v>
      </x:c>
      <x:c r="B22" s="44" t="str">
        <x:v>Operational</x:v>
      </x:c>
      <x:c r="C22" s="60" t="n">
        <x:v>891.9112</x:v>
      </x:c>
      <x:c r="D22" s="60" t="n">
        <x:v>1173.178</x:v>
      </x:c>
      <x:c r="E22" s="60" t="n">
        <x:v>1640</x:v>
      </x:c>
      <x:c r="F22" s="60" t="n">
        <x:v>1897</x:v>
      </x:c>
      <x:c r="G22" s="60" t="n">
        <x:v>2269</x:v>
      </x:c>
      <x:c r="H22" s="60" t="n">
        <x:v>2461</x:v>
      </x:c>
      <x:c r="I22" s="44"/>
      <x:c r="J22" s="61" t="str">
        <x:v>https://nsearchives.nseindia.com/corporate/JBCHEPHARM_09012024170025_NSE_JPMPresentation09012024.pdf</x:v>
      </x:c>
      <x:c r="K22" s="61" t="str">
        <x:v>https://jbpharma.com/download/q4-fy24-press-release/?wpdmdl=9271 ; https://jbpharma.com/wp-content/uploads/2025/07/FY25-Annual-Report.pdf ; https://jbpharma.com/wp-content/uploads/2026/05/Q4-FY26-Press-Release-12-05-2026.pdf</x:v>
      </x:c>
      <x:c r="L22" s="61" t="str">
        <x:v>FY21/FY22 from FY22 annual-report domestic formulation disaggregation, in lakh converted to crore. Later figures company-reported whole crore. Growth includes acquisitions/distribution additions.</x:v>
      </x:c>
      <x:c r="M22" s="44"/>
      <x:c r="N22" s="44"/>
      <x:c r="O22" s="44"/>
      <x:c r="P22" s="44"/>
      <x:c r="Q22" s="44"/>
      <x:c r="R22" s="44"/>
      <x:c r="S22" s="44"/>
    </x:row>
    <x:row r="23" ht="21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61"/>
      <x:c r="K23" s="61"/>
      <x:c r="L23" s="61"/>
      <x:c r="M23" s="44"/>
      <x:c r="N23" s="44"/>
      <x:c r="O23" s="44"/>
      <x:c r="P23" s="44"/>
      <x:c r="Q23" s="44"/>
      <x:c r="R23" s="44"/>
      <x:c r="S23" s="44"/>
    </x:row>
    <x:row r="24" ht="21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61"/>
      <x:c r="K24" s="61"/>
      <x:c r="L24" s="61"/>
      <x:c r="M24" s="44"/>
      <x:c r="N24" s="44"/>
      <x:c r="O24" s="44"/>
      <x:c r="P24" s="44"/>
      <x:c r="Q24" s="44"/>
      <x:c r="R24" s="44"/>
      <x:c r="S24" s="44"/>
    </x:row>
    <x:row r="25" ht="27" customHeight="1">
      <x:c r="A25" s="47" t="str">
        <x:v>Company</x:v>
      </x:c>
      <x:c r="B25" s="47" t="str">
        <x:v>Basis</x:v>
      </x:c>
      <x:c r="C25" s="47" t="str">
        <x:v>CY20</x:v>
      </x:c>
      <x:c r="D25" s="47" t="str">
        <x:v>CY21</x:v>
      </x:c>
      <x:c r="E25" s="47" t="str">
        <x:v>CY22</x:v>
      </x:c>
      <x:c r="F25" s="47" t="str">
        <x:v>CY23</x:v>
      </x:c>
      <x:c r="G25" s="47" t="str">
        <x:v>CY24</x:v>
      </x:c>
      <x:c r="H25" s="47" t="str">
        <x:v>CY25</x:v>
      </x:c>
      <x:c r="I25" s="47" t="str"/>
      <x:c r="J25" s="62" t="str">
        <x:v>Data series source</x:v>
      </x:c>
      <x:c r="K25" s="62" t="str">
        <x:v>Company source</x:v>
      </x:c>
      <x:c r="L25" s="62" t="str">
        <x:v>Comparability notes</x:v>
      </x:c>
      <x:c r="M25" s="44"/>
      <x:c r="N25" s="44"/>
      <x:c r="O25" s="44"/>
      <x:c r="P25" s="44"/>
      <x:c r="Q25" s="44"/>
      <x:c r="R25" s="44"/>
      <x:c r="S25" s="44"/>
    </x:row>
    <x:row r="26" ht="110" customHeight="1">
      <x:c r="A26" s="44" t="str">
        <x:v>Sanofi India</x:v>
      </x:c>
      <x:c r="B26" s="44" t="str">
        <x:v>Standalone</x:v>
      </x:c>
      <x:c r="C26" s="60" t="n">
        <x:v>2901.9</x:v>
      </x:c>
      <x:c r="D26" s="60" t="n">
        <x:v>2956.6</x:v>
      </x:c>
      <x:c r="E26" s="60" t="n">
        <x:v>2770.1</x:v>
      </x:c>
      <x:c r="F26" s="60" t="n">
        <x:v>2851.1</x:v>
      </x:c>
      <x:c r="G26" s="60" t="n">
        <x:v>2013.2</x:v>
      </x:c>
      <x:c r="H26" s="60" t="n">
        <x:v>1837.4</x:v>
      </x:c>
      <x:c r="I26" s="44"/>
      <x:c r="J26" s="61" t="str">
        <x:v>https://www.goodreturns.in/company/sanofi/annual-results.html</x:v>
      </x:c>
      <x:c r="K26" s="61" t="str">
        <x:v>https://www.sanofi.com/en/india/investors/financial-results</x:v>
      </x:c>
      <x:c r="L26" s="61" t="str">
        <x:v>CY20 baseline; CY21–25 displayed. CY21–23 originally reported scope includes consumer healthcare. CY24–25 exclude demerged CHC. Restated CY23 continuing revenue 1,996.1 crore makes comparable CY24 growth +0.9%, rather than raw series -29.4%. CY25 reported growth -8.7%. CHC is a separate listed company and is excluded.</x:v>
      </x:c>
      <x:c r="M26" s="44"/>
      <x:c r="N26" s="44"/>
      <x:c r="O26" s="44"/>
      <x:c r="P26" s="44"/>
      <x:c r="Q26" s="44"/>
      <x:c r="R26" s="44"/>
      <x:c r="S26" s="44"/>
    </x:row>
    <x:row r="27" ht="110" customHeight="1">
      <x:c r="A27" s="44" t="str">
        <x:v>Sanofi continuing</x:v>
      </x:c>
      <x:c r="B27" s="44" t="str">
        <x:v>Restated</x:v>
      </x:c>
      <x:c r="C27" s="60"/>
      <x:c r="D27" s="60"/>
      <x:c r="E27" s="60"/>
      <x:c r="F27" s="60" t="n">
        <x:v>1996.1</x:v>
      </x:c>
      <x:c r="G27" s="60" t="n">
        <x:v>2013.2</x:v>
      </x:c>
      <x:c r="H27" s="60" t="n">
        <x:v>1837.4</x:v>
      </x:c>
      <x:c r="I27" s="44"/>
      <x:c r="J27" s="61" t="str">
        <x:v>https://www.sanofi.com/assets/countries/india/docs/Investors/annual-reports/2024/Sanofi-AR-2024-C2C_Spread-view-22-04-25.pdf</x:v>
      </x:c>
      <x:c r="K27" s="61"/>
      <x:c r="L27" s="61" t="str">
        <x:v>Comparable continuing-operations figures for CY23–25. Earlier years not reconstructed.</x:v>
      </x:c>
      <x:c r="M27" s="44"/>
      <x:c r="N27" s="44"/>
      <x:c r="O27" s="44"/>
      <x:c r="P27" s="44"/>
      <x:c r="Q27" s="44"/>
      <x:c r="R27" s="44"/>
      <x:c r="S27" s="44"/>
    </x:row>
    <x:row r="28" ht="21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</x:row>
    <x:row r="29" ht="21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</x:row>
    <x:row r="30" ht="21" customHeight="1">
      <x:c r="A30" s="44" t="str">
        <x:v>Additional context</x:v>
      </x:c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</x:row>
    <x:row r="31" ht="21" customHeight="1">
      <x:c r="A31" s="44" t="str">
        <x:v>Mankind FY26 India revenue</x:v>
      </x:c>
      <x:c r="B31" s="44"/>
      <x:c r="C31" s="44"/>
      <x:c r="D31" s="44" t="n">
        <x:v>12217</x:v>
      </x:c>
      <x:c r="E31" s="44"/>
      <x:c r="F31" s="44"/>
      <x:c r="G31" s="44"/>
      <x:c r="H31" s="44"/>
      <x:c r="I31" s="44"/>
      <x:c r="J31" s="44" t="str">
        <x:v>https://www.indiainfoline.com/company/mankind-pharma-ltd/management-discussions</x:v>
      </x:c>
      <x:c r="K31" s="44"/>
      <x:c r="L31" s="44" t="str">
        <x:v>Reported domestic growth 14.4%; organic domestic growth 8.6%.</x:v>
      </x:c>
      <x:c r="M31" s="44"/>
      <x:c r="N31" s="44"/>
      <x:c r="O31" s="44"/>
      <x:c r="P31" s="44"/>
      <x:c r="Q31" s="44"/>
      <x:c r="R31" s="44"/>
      <x:c r="S31" s="44"/>
    </x:row>
    <x:row r="32" ht="21" customHeight="1">
      <x:c r="A32" s="44" t="str">
        <x:v>Eris FY25/FY26 DBF</x:v>
      </x:c>
      <x:c r="B32" s="44"/>
      <x:c r="C32" s="44"/>
      <x:c r="D32" s="44"/>
      <x:c r="E32" s="44"/>
      <x:c r="F32" s="44"/>
      <x:c r="G32" s="44" t="n">
        <x:v>2513</x:v>
      </x:c>
      <x:c r="H32" s="44" t="n">
        <x:v>2778</x:v>
      </x:c>
      <x:c r="I32" s="44"/>
      <x:c r="J32" s="44" t="str">
        <x:v>https://nsearchives.nseindia.com/corporate/ERIS_20052026145156_InvestorPresentationsigned.pdf</x:v>
      </x:c>
      <x:c r="K32" s="44"/>
      <x:c r="L32" s="44" t="str">
        <x:v>Domestic branded formulations. Growth computed from disclosed rounded crore values.</x:v>
      </x:c>
      <x:c r="M32" s="44"/>
      <x:c r="N32" s="44"/>
      <x:c r="O32" s="44"/>
      <x:c r="P32" s="44"/>
      <x:c r="Q32" s="44"/>
      <x:c r="R32" s="44"/>
      <x:c r="S32" s="44"/>
    </x:row>
    <x:row r="33" ht="21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</x:row>
    <x:row r="34" ht="21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</x:row>
    <x:row r="35" ht="21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</x:row>
    <x:row r="36" ht="21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</x:row>
    <x:row r="37" ht="21" customHeight="1">
      <x:c r="A37"/>
      <x:c r="B37"/>
      <x:c r="C37"/>
      <x:c r="D37"/>
      <x:c r="E37"/>
      <x:c r="F37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</x:row>
    <x:row r="38" ht="21" customHeight="1">
      <x:c r="A38"/>
      <x:c r="B38"/>
      <x:c r="C38"/>
      <x:c r="D38"/>
      <x:c r="E38"/>
      <x:c r="F38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</x:row>
    <x:row r="39" ht="21" customHeight="1">
      <x:c r="A39"/>
      <x:c r="B39"/>
      <x:c r="C39"/>
      <x:c r="D39"/>
      <x:c r="E39"/>
      <x:c r="F39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</x:row>
    <x:row r="40" ht="21" customHeight="1">
      <x:c r="A40"/>
      <x:c r="B40"/>
      <x:c r="C40"/>
      <x:c r="D40"/>
      <x:c r="E40"/>
      <x:c r="F40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</x:row>
    <x:row r="41" ht="21" customHeight="1">
      <x:c r="A41"/>
      <x:c r="B41"/>
      <x:c r="C41"/>
      <x:c r="D41"/>
      <x:c r="E41"/>
      <x:c r="F41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</x:row>
    <x:row r="42" ht="21" customHeight="1">
      <x:c r="A42"/>
      <x:c r="B42"/>
      <x:c r="C42"/>
      <x:c r="D42"/>
      <x:c r="E42"/>
      <x:c r="F42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</x:row>
    <x:row r="43" ht="21" customHeight="1">
      <x:c r="A43"/>
      <x:c r="B43"/>
      <x:c r="C43"/>
      <x:c r="D43"/>
      <x:c r="E43"/>
      <x:c r="F43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</x:row>
    <x:row r="44" ht="21" customHeight="1">
      <x:c r="A44"/>
      <x:c r="B44"/>
      <x:c r="C44"/>
      <x:c r="D44"/>
      <x:c r="E44"/>
      <x:c r="F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</x:row>
    <x:row r="45" ht="21" customHeight="1">
      <x:c r="A45"/>
      <x:c r="B45"/>
      <x:c r="C45"/>
      <x:c r="D45"/>
      <x:c r="E45"/>
      <x:c r="F45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</x:row>
    <x:row r="46" ht="21" customHeight="1">
      <x:c r="A46"/>
      <x:c r="B46"/>
      <x:c r="C46"/>
      <x:c r="D46"/>
      <x:c r="E46"/>
      <x:c r="F46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</x:row>
    <x:row r="47" ht="21" customHeight="1">
      <x:c r="A47"/>
      <x:c r="B47"/>
      <x:c r="C47"/>
      <x:c r="D47"/>
      <x:c r="E47"/>
      <x:c r="F47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</x:row>
    <x:row r="48" ht="21" customHeight="1">
      <x:c r="A48"/>
      <x:c r="B48"/>
      <x:c r="C48"/>
      <x:c r="D48"/>
      <x:c r="E48"/>
      <x:c r="F48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</x:row>
    <x:row r="49" ht="21" customHeight="1">
      <x:c r="A49"/>
      <x:c r="B49"/>
      <x:c r="C49"/>
      <x:c r="D49"/>
      <x:c r="E49"/>
      <x:c r="F49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</x:row>
    <x:row r="50" ht="21" customHeight="1">
      <x:c r="A50"/>
      <x:c r="B50"/>
      <x:c r="C50"/>
      <x:c r="D50"/>
      <x:c r="E50"/>
      <x:c r="F50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</x:row>
    <x:row r="51" ht="21" customHeight="1">
      <x:c r="A51"/>
      <x:c r="B51"/>
      <x:c r="C51"/>
      <x:c r="D51"/>
      <x:c r="E51"/>
      <x:c r="F51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</x:row>
    <x:row r="52" ht="21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</x:row>
    <x:row r="53" ht="21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</x:row>
    <x:row r="54" ht="21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</x:row>
    <x:row r="55" ht="21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</x:row>
    <x:row r="56" ht="21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</x:row>
    <x:row r="57" ht="21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</x:row>
    <x:row r="58" ht="21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</x:row>
    <x:row r="59" ht="21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</x:row>
    <x:row r="60" ht="21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</x:row>
    <x:row r="61" ht="21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</x:row>
    <x:row r="62" ht="21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</x:row>
    <x:row r="63" ht="21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</x:row>
    <x:row r="64" ht="21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</x:row>
    <x:row r="65" ht="21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</x:row>
    <x:row r="66" ht="21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</x:row>
    <x:row r="67" ht="21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</x:row>
    <x:row r="68" ht="21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</x:row>
    <x:row r="69" ht="21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</x:row>
    <x:row r="70" ht="21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</x:row>
    <x:row r="71" ht="21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</x:row>
    <x:row r="72" ht="21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</x:row>
    <x:row r="73" ht="21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</x:row>
    <x:row r="74" ht="21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</x:row>
    <x:row r="75" ht="21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</x:row>
    <x:row r="76" ht="21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</x:row>
    <x:row r="77" ht="21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</x:row>
    <x:row r="78" ht="21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</x:row>
    <x:row r="79" ht="21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</x:row>
    <x:row r="80" ht="21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</x:row>
    <x:row r="81" ht="21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</x:row>
    <x:row r="82" ht="21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</x:row>
    <x:row r="83" ht="21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</x:row>
    <x:row r="84" ht="21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</x:row>
    <x:row r="85" ht="21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</x:row>
    <x:row r="86" ht="21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</x:row>
    <x:row r="87" ht="21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</x:row>
    <x:row r="88" ht="21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</x:row>
    <x:row r="89" ht="21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</x:row>
    <x:row r="90" ht="21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</x:row>
    <x:row r="91" ht="21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</x:row>
    <x:row r="92" ht="21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</x:row>
    <x:row r="93" ht="21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</x:row>
    <x:row r="94" ht="21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</x:row>
    <x:row r="95" ht="21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</x:row>
    <x:row r="96" ht="21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</x:row>
    <x:row r="97" ht="21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</x:row>
    <x:row r="98" ht="21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</x:row>
    <x:row r="99" ht="21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</x:row>
    <x:row r="100" ht="21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</x:row>
  </x:sheetData>
  <x:pageMargins left="0.7" right="0.7" top="0.75" bottom="0.75" header="0.3" footer="0.3"/>
</x:worksheet>
</file>