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f2b9aa17f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fizer vs IPM" sheetId="1" r:id="R8d878f1bddff43e6"/>
    <x:sheet xmlns:r="http://schemas.openxmlformats.org/officeDocument/2006/relationships" name="Source data" sheetId="2" r:id="R156d35f174e6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%;(0.00%);&quot;–&quot;"/>
    <x:numFmt numFmtId="202" formatCode="mmm-yy"/>
    <x:numFmt numFmtId="203" formatCode="0.00;(0.00);&quot;–&quot;"/>
  </x:numFmts>
  <x:fonts count="7">
    <x:font>
      <x:sz val="11"/>
      <x:name val="Carlito"/>
    </x:font>
    <x:font>
      <x:sz val="10"/>
      <x:color rgb="FF202020"/>
      <x:name val="Arial"/>
    </x:font>
    <x:font>
      <x:b/>
      <x:sz val="15"/>
      <x:color rgb="FF17365D"/>
      <x:name val="Arial"/>
    </x:font>
    <x:font>
      <x:i/>
      <x:sz val="10"/>
      <x:color rgb="FF555555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2F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2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3" fontId="1" fillId="3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B42318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4bd4da5f24873" /><Relationship Type="http://schemas.openxmlformats.org/officeDocument/2006/relationships/theme" Target="/xl/theme/theme1.xml" Id="R681e395e63d041c4" /><Relationship Type="http://schemas.openxmlformats.org/officeDocument/2006/relationships/sharedStrings" Target="/xl/sharedStrings.xml" Id="R73f74d4b8c034b6f" /><Relationship Type="http://schemas.openxmlformats.org/officeDocument/2006/relationships/worksheet" Target="/xl/worksheets/sheet1.xml" Id="R8d878f1bddff43e6" /><Relationship Type="http://schemas.openxmlformats.org/officeDocument/2006/relationships/worksheet" Target="/xl/worksheets/sheet2.xml" Id="R156d35f174e6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.220000267028809" hidden="0" customWidth="1"/>
    <x:col min="2" max="2" width="14.4399995803833" hidden="0" customWidth="1"/>
    <x:col min="3" max="3" width="14.4399995803833" hidden="0" customWidth="1"/>
    <x:col min="4" max="4" width="11.670000076293945" hidden="0" customWidth="1"/>
    <x:col min="5" max="5" width="15.5600004196167" hidden="0" customWidth="1"/>
    <x:col min="6" max="6" width="15.5600004196167" hidden="0" customWidth="1"/>
    <x:col min="7" max="7" width="11.670000076293945" hidden="0" customWidth="1"/>
    <x:col min="8" max="8" width="14.439999580383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Pfizer group sales growth versus IPM</x:v>
      </x:c>
      <x:c r="B2" s="2"/>
      <x:c r="C2" s="2"/>
      <x:c r="D2" s="2"/>
      <x:c r="E2" s="2"/>
      <x:c r="F2" s="2"/>
      <x:c r="G2" s="2"/>
      <x:c r="H2" s="2"/>
    </x:row>
    <x:row r="3" ht="23" customHeight="1">
      <x:c r="A3" s="5" t="str">
        <x:v>July 2025–September 2026. Aggregate PFIZER* row, as reported by IQVIA.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4"/>
      <x:c r="B4" s="4"/>
      <x:c r="C4" s="4"/>
      <x:c r="D4" s="4"/>
      <x:c r="E4" s="4"/>
      <x:c r="F4" s="4"/>
      <x:c r="G4" s="4"/>
      <x:c r="H4" s="4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47" customHeight="1">
      <x:c r="A6" s="15" t="str">
        <x:v>Month</x:v>
      </x:c>
      <x:c r="B6" s="15" t="str">
        <x:v>Pfizer group
MoM growth</x:v>
      </x:c>
      <x:c r="C6" s="15" t="str">
        <x:v>IPM
MoM growth</x:v>
      </x:c>
      <x:c r="D6" s="15" t="str">
        <x:v>MoM gap
(pp)</x:v>
      </x:c>
      <x:c r="E6" s="15" t="str">
        <x:v>Pfizer group
monthly YoY</x:v>
      </x:c>
      <x:c r="F6" s="15" t="str">
        <x:v>IPM
monthly YoY</x:v>
      </x:c>
      <x:c r="G6" s="15" t="str">
        <x:v>YoY gap
(pp)</x:v>
      </x:c>
      <x:c r="H6" s="15" t="str">
        <x:v>Pfizer share
of IPM</x:v>
      </x:c>
    </x:row>
    <x:row r="7" ht="23" customHeight="1">
      <x:c r="A7" s="16" t="n">
        <x:f>'Source data'!A8</x:f>
        <x:v>45839</x:v>
      </x:c>
      <x:c r="B7" s="17" t="n">
        <x:f>'Source data'!B8/'Source data'!B7-1</x:f>
        <x:v>0.03247255840135099</x:v>
      </x:c>
      <x:c r="C7" s="17" t="n">
        <x:f>'Source data'!D8/'Source data'!D7-1</x:f>
        <x:v>0.07646685152508192</x:v>
      </x:c>
      <x:c r="D7" s="18" t="n">
        <x:f>(B7-C7)*100</x:f>
        <x:v>-4.399429312373093</x:v>
      </x:c>
      <x:c r="E7" s="17" t="n">
        <x:f>'Source data'!C8</x:f>
        <x:v>0.0955</x:v>
      </x:c>
      <x:c r="F7" s="17" t="n">
        <x:f>'Source data'!E8</x:f>
        <x:v>0.0713</x:v>
      </x:c>
      <x:c r="G7" s="18" t="n">
        <x:f>(E7-F7)*100</x:f>
        <x:v>2.42</x:v>
      </x:c>
      <x:c r="H7" s="17" t="n">
        <x:f>'Source data'!B8/'Source data'!D8</x:f>
        <x:v>0.013744560157214501</x:v>
      </x:c>
    </x:row>
    <x:row r="8" ht="23" customHeight="1">
      <x:c r="A8" s="9" t="n">
        <x:f>'Source data'!A9</x:f>
        <x:v>45870</x:v>
      </x:c>
      <x:c r="B8" s="10" t="n">
        <x:f>'Source data'!B9/'Source data'!B8-1</x:f>
        <x:v>0.05860905714383069</x:v>
      </x:c>
      <x:c r="C8" s="10" t="n">
        <x:f>'Source data'!D9/'Source data'!D8-1</x:f>
        <x:v>0.023030463119598776</x:v>
      </x:c>
      <x:c r="D8" s="11" t="n">
        <x:f>(B8-C8)*100</x:f>
        <x:v>3.5578594024231913</x:v>
      </x:c>
      <x:c r="E8" s="10" t="n">
        <x:f>'Source data'!C9</x:f>
        <x:v>0.0554</x:v>
      </x:c>
      <x:c r="F8" s="10" t="n">
        <x:f>'Source data'!E9</x:f>
        <x:v>0.0814</x:v>
      </x:c>
      <x:c r="G8" s="11" t="n">
        <x:f>(E8-F8)*100</x:f>
        <x:v>-2.6</x:v>
      </x:c>
      <x:c r="H8" s="10" t="n">
        <x:f>'Source data'!B9/'Source data'!D9</x:f>
        <x:v>0.014222563641474383</x:v>
      </x:c>
    </x:row>
    <x:row r="9" ht="23" customHeight="1">
      <x:c r="A9" s="16" t="n">
        <x:f>'Source data'!A10</x:f>
        <x:v>45901</x:v>
      </x:c>
      <x:c r="B9" s="17" t="n">
        <x:f>'Source data'!B10/'Source data'!B9-1</x:f>
        <x:v>0.014452634628383754</x:v>
      </x:c>
      <x:c r="C9" s="17" t="n">
        <x:f>'Source data'!D10/'Source data'!D9-1</x:f>
        <x:v>-0.016789922475651697</x:v>
      </x:c>
      <x:c r="D9" s="18" t="n">
        <x:f>(B9-C9)*100</x:f>
        <x:v>3.124255710403545</x:v>
      </x:c>
      <x:c r="E9" s="17" t="n">
        <x:f>'Source data'!C10</x:f>
        <x:v>0.0664</x:v>
      </x:c>
      <x:c r="F9" s="17" t="n">
        <x:f>'Source data'!E10</x:f>
        <x:v>0.061</x:v>
      </x:c>
      <x:c r="G9" s="18" t="n">
        <x:f>(E9-F9)*100</x:f>
        <x:v>0.5400000000000003</x:v>
      </x:c>
      <x:c r="H9" s="17" t="n">
        <x:f>'Source data'!B10/'Source data'!D10</x:f>
        <x:v>0.014674500889568284</x:v>
      </x:c>
    </x:row>
    <x:row r="10" ht="23" customHeight="1">
      <x:c r="A10" s="9" t="n">
        <x:f>'Source data'!A11</x:f>
        <x:v>45931</x:v>
      </x:c>
      <x:c r="B10" s="10" t="n">
        <x:f>'Source data'!B11/'Source data'!B10-1</x:f>
        <x:v>0.05029191521766707</x:v>
      </x:c>
      <x:c r="C10" s="10" t="n">
        <x:f>'Source data'!D11/'Source data'!D10-1</x:f>
        <x:v>0.03988040998830833</x:v>
      </x:c>
      <x:c r="D10" s="11" t="n">
        <x:f>(B10-C10)*100</x:f>
        <x:v>1.0411505229358742</x:v>
      </x:c>
      <x:c r="E10" s="10" t="n">
        <x:f>'Source data'!C11</x:f>
        <x:v>0.1148</x:v>
      </x:c>
      <x:c r="F10" s="10" t="n">
        <x:f>'Source data'!E11</x:f>
        <x:v>0.11689999999999999</x:v>
      </x:c>
      <x:c r="G10" s="11" t="n">
        <x:f>(E10-F10)*100</x:f>
        <x:v>-0.20999999999999908</x:v>
      </x:c>
      <x:c r="H10" s="10" t="n">
        <x:f>'Source data'!B11/'Source data'!D11</x:f>
        <x:v>0.014821425133243273</x:v>
      </x:c>
    </x:row>
    <x:row r="11" ht="23" customHeight="1">
      <x:c r="A11" s="16" t="n">
        <x:f>'Source data'!A12</x:f>
        <x:v>45962</x:v>
      </x:c>
      <x:c r="B11" s="17" t="n">
        <x:f>'Source data'!B12/'Source data'!B11-1</x:f>
        <x:v>0.00664632488444461</x:v>
      </x:c>
      <x:c r="C11" s="17" t="n">
        <x:f>'Source data'!D12/'Source data'!D11-1</x:f>
        <x:v>-0.029311952916754813</x:v>
      </x:c>
      <x:c r="D11" s="18" t="n">
        <x:f>(B11-C11)*100</x:f>
        <x:v>3.5958277801199423</x:v>
      </x:c>
      <x:c r="E11" s="17" t="n">
        <x:f>'Source data'!C12</x:f>
        <x:v>0.09849999999999999</x:v>
      </x:c>
      <x:c r="F11" s="17" t="n">
        <x:f>'Source data'!E12</x:f>
        <x:v>0.08560000000000001</x:v>
      </x:c>
      <x:c r="G11" s="18" t="n">
        <x:f>(E11-F11)*100</x:f>
        <x:v>1.289999999999998</x:v>
      </x:c>
      <x:c r="H11" s="17" t="n">
        <x:f>'Source data'!B12/'Source data'!D12</x:f>
        <x:v>0.015370471682185824</x:v>
      </x:c>
    </x:row>
    <x:row r="12" ht="23" customHeight="1">
      <x:c r="A12" s="9" t="n">
        <x:f>'Source data'!A13</x:f>
        <x:v>45992</x:v>
      </x:c>
      <x:c r="B12" s="10" t="n">
        <x:f>'Source data'!B13/'Source data'!B12-1</x:f>
        <x:v>0.03700369136580539</x:v>
      </x:c>
      <x:c r="C12" s="10" t="n">
        <x:f>'Source data'!D13/'Source data'!D12-1</x:f>
        <x:v>0.024039858699232086</x:v>
      </x:c>
      <x:c r="D12" s="11" t="n">
        <x:f>(B12-C12)*100</x:f>
        <x:v>1.2963832666573305</x:v>
      </x:c>
      <x:c r="E12" s="10" t="n">
        <x:f>'Source data'!C13</x:f>
        <x:v>0.1974</x:v>
      </x:c>
      <x:c r="F12" s="10" t="n">
        <x:f>'Source data'!E13</x:f>
        <x:v>0.1499</x:v>
      </x:c>
      <x:c r="G12" s="11" t="n">
        <x:f>(E12-F12)*100</x:f>
        <x:v>4.749999999999998</x:v>
      </x:c>
      <x:c r="H12" s="10" t="n">
        <x:f>'Source data'!B13/'Source data'!D13</x:f>
        <x:v>0.015565054169577739</x:v>
      </x:c>
    </x:row>
    <x:row r="13" ht="23" customHeight="1">
      <x:c r="A13" s="16" t="n">
        <x:f>'Source data'!A14</x:f>
        <x:v>46023</x:v>
      </x:c>
      <x:c r="B13" s="17" t="n">
        <x:f>'Source data'!B14/'Source data'!B13-1</x:f>
        <x:v>-0.19656190310817856</x:v>
      </x:c>
      <x:c r="C13" s="17" t="n">
        <x:f>'Source data'!D14/'Source data'!D13-1</x:f>
        <x:v>-0.02040565358227331</x:v>
      </x:c>
      <x:c r="D13" s="18" t="n">
        <x:f>(B13-C13)*100</x:f>
        <x:v>-17.615624952590526</x:v>
      </x:c>
      <x:c r="E13" s="17" t="n">
        <x:f>'Source data'!C14</x:f>
        <x:v>0.149</x:v>
      </x:c>
      <x:c r="F13" s="17" t="n">
        <x:f>'Source data'!E14</x:f>
        <x:v>0.11470000000000001</x:v>
      </x:c>
      <x:c r="G13" s="18" t="n">
        <x:f>(E13-F13)*100</x:f>
        <x:v>3.4299999999999984</x:v>
      </x:c>
      <x:c r="H13" s="17" t="n">
        <x:f>'Source data'!B14/'Source data'!D14</x:f>
        <x:v>0.012766057241709443</x:v>
      </x:c>
    </x:row>
    <x:row r="14" ht="23" customHeight="1">
      <x:c r="A14" s="9" t="n">
        <x:f>'Source data'!A15</x:f>
        <x:v>46054</x:v>
      </x:c>
      <x:c r="B14" s="10" t="n">
        <x:f>'Source data'!B15/'Source data'!B14-1</x:f>
        <x:v>-0.06494488869677983</x:v>
      </x:c>
      <x:c r="C14" s="10" t="n">
        <x:f>'Source data'!D15/'Source data'!D14-1</x:f>
        <x:v>-0.029356137681389227</x:v>
      </x:c>
      <x:c r="D14" s="11" t="n">
        <x:f>(B14-C14)*100</x:f>
        <x:v>-3.5588751015390607</x:v>
      </x:c>
      <x:c r="E14" s="10" t="n">
        <x:f>'Source data'!C15</x:f>
        <x:v>0.1294</x:v>
      </x:c>
      <x:c r="F14" s="10" t="n">
        <x:f>'Source data'!E15</x:f>
        <x:v>0.1242</x:v>
      </x:c>
      <x:c r="G14" s="11" t="n">
        <x:f>(E14-F14)*100</x:f>
        <x:v>0.5199999999999982</x:v>
      </x:c>
      <x:c r="H14" s="10" t="n">
        <x:f>'Source data'!B15/'Source data'!D15</x:f>
        <x:v>0.012297988519224399</x:v>
      </x:c>
    </x:row>
    <x:row r="15" ht="23" customHeight="1">
      <x:c r="A15" s="16" t="n">
        <x:f>'Source data'!A16</x:f>
        <x:v>46082</x:v>
      </x:c>
      <x:c r="B15" s="17" t="n">
        <x:f>'Source data'!B16/'Source data'!B15-1</x:f>
        <x:v>-0.012904965522554712</x:v>
      </x:c>
      <x:c r="C15" s="17" t="n">
        <x:f>'Source data'!D16/'Source data'!D15-1</x:f>
        <x:v>-0.0008323728120606111</x:v>
      </x:c>
      <x:c r="D15" s="18" t="n">
        <x:f>(B15-C15)*100</x:f>
        <x:v>-1.20725927104941</x:v>
      </x:c>
      <x:c r="E15" s="17" t="n">
        <x:f>'Source data'!C16</x:f>
        <x:v>0.0986</x:v>
      </x:c>
      <x:c r="F15" s="17" t="n">
        <x:f>'Source data'!E16</x:f>
        <x:v>0.1069</x:v>
      </x:c>
      <x:c r="G15" s="18" t="n">
        <x:f>(E15-F15)*100</x:f>
        <x:v>-0.8300000000000002</x:v>
      </x:c>
      <x:c r="H15" s="17" t="n">
        <x:f>'Source data'!B16/'Source data'!D16</x:f>
        <x:v>0.012149396228490582</x:v>
      </x:c>
    </x:row>
    <x:row r="16" ht="23" customHeight="1">
      <x:c r="A16" s="9" t="n">
        <x:f>'Source data'!A17</x:f>
        <x:v>46113</x:v>
      </x:c>
      <x:c r="B16" s="10" t="n">
        <x:f>'Source data'!B17/'Source data'!B16-1</x:f>
        <x:v>0.12398532625663439</x:v>
      </x:c>
      <x:c r="C16" s="10" t="n">
        <x:f>'Source data'!D17/'Source data'!D16-1</x:f>
        <x:v>0.10543574532164812</x:v>
      </x:c>
      <x:c r="D16" s="11" t="n">
        <x:f>(B16-C16)*100</x:f>
        <x:v>1.8549580934986265</x:v>
      </x:c>
      <x:c r="E16" s="10" t="n">
        <x:f>'Source data'!C17</x:f>
        <x:v>0.0758</x:v>
      </x:c>
      <x:c r="F16" s="10" t="n">
        <x:f>'Source data'!E17</x:f>
        <x:v>0.1247</x:v>
      </x:c>
      <x:c r="G16" s="11" t="n">
        <x:f>(E16-F16)*100</x:f>
        <x:v>-4.89</x:v>
      </x:c>
      <x:c r="H16" s="10" t="n">
        <x:f>'Source data'!B17/'Source data'!D17</x:f>
        <x:v>0.012353267154146265</x:v>
      </x:c>
    </x:row>
    <x:row r="17" ht="23" customHeight="1">
      <x:c r="A17" s="16" t="n">
        <x:f>'Source data'!A18</x:f>
        <x:v>46143</x:v>
      </x:c>
      <x:c r="B17" s="17" t="n">
        <x:f>'Source data'!B18/'Source data'!B17-1</x:f>
        <x:v>-0.0028818443804033977</x:v>
      </x:c>
      <x:c r="C17" s="17" t="n">
        <x:f>'Source data'!D18/'Source data'!D17-1</x:f>
        <x:v>-0.02057476726909624</x:v>
      </x:c>
      <x:c r="D17" s="18" t="n">
        <x:f>(B17-C17)*100</x:f>
        <x:v>1.7692922888692841</x:v>
      </x:c>
      <x:c r="E17" s="17" t="n">
        <x:f>'Source data'!C18</x:f>
        <x:v>0.13119999999999998</x:v>
      </x:c>
      <x:c r="F17" s="17" t="n">
        <x:f>'Source data'!E18</x:f>
        <x:v>0.1213</x:v>
      </x:c>
      <x:c r="G17" s="18" t="n">
        <x:f>(E17-F17)*100</x:f>
        <x:v>0.9899999999999978</x:v>
      </x:c>
      <x:c r="H17" s="17" t="n">
        <x:f>'Source data'!B18/'Source data'!D18</x:f>
        <x:v>0.01257642395660306</x:v>
      </x:c>
    </x:row>
    <x:row r="18" ht="23" customHeight="1">
      <x:c r="A18" s="9" t="n">
        <x:f>'Source data'!A19</x:f>
        <x:v>46174</x:v>
      </x:c>
      <x:c r="B18" s="10" t="n">
        <x:f>'Source data'!B19/'Source data'!B18-1</x:f>
        <x:v>-0.0019499965178633172</x:v>
      </x:c>
      <x:c r="C18" s="10" t="n">
        <x:f>'Source data'!D19/'Source data'!D18-1</x:f>
        <x:v>0.00984418950207111</x:v>
      </x:c>
      <x:c r="D18" s="11" t="n">
        <x:f>(B18-C18)*100</x:f>
        <x:v>-1.1794186019934427</x:v>
      </x:c>
      <x:c r="E18" s="10" t="n">
        <x:f>'Source data'!C19</x:f>
        <x:v>0.1506</x:v>
      </x:c>
      <x:c r="F18" s="10" t="n">
        <x:f>'Source data'!E19</x:f>
        <x:v>0.1598</x:v>
      </x:c>
      <x:c r="G18" s="11" t="n">
        <x:f>(E18-F18)*100</x:f>
        <x:v>-0.9199999999999986</x:v>
      </x:c>
      <x:c r="H18" s="10" t="n">
        <x:f>'Source data'!B19/'Source data'!D19</x:f>
        <x:v>0.012429541214540768</x:v>
      </x:c>
    </x:row>
    <x:row r="19" ht="23" customHeight="1">
      <x:c r="A19" s="16" t="n">
        <x:f>'Source data'!A20</x:f>
        <x:v>46204</x:v>
      </x:c>
      <x:c r="B19" s="17" t="n">
        <x:f>'Source data'!B20/'Source data'!B19-1</x:f>
        <x:v>0.04954294885213861</x:v>
      </x:c>
      <x:c r="C19" s="17" t="n">
        <x:f>'Source data'!D20/'Source data'!D19-1</x:f>
        <x:v>0.05460897379744112</x:v>
      </x:c>
      <x:c r="D19" s="18" t="n">
        <x:f>(B19-C19)*100</x:f>
        <x:v>-0.5066024945302505</x:v>
      </x:c>
      <x:c r="E19" s="17" t="n">
        <x:f>'Source data'!C20</x:f>
        <x:v>0.16440000000000002</x:v>
      </x:c>
      <x:c r="F19" s="17" t="n">
        <x:f>'Source data'!E20</x:f>
        <x:v>0.1358</x:v>
      </x:c>
      <x:c r="G19" s="18" t="n">
        <x:f>(E19-F19)*100</x:f>
        <x:v>2.860000000000001</x:v>
      </x:c>
      <x:c r="H19" s="17" t="n">
        <x:f>'Source data'!B20/'Source data'!D20</x:f>
        <x:v>0.012369833429555027</x:v>
      </x:c>
    </x:row>
    <x:row r="20" ht="23" customHeight="1">
      <x:c r="A20" s="9" t="n">
        <x:f>'Source data'!A21</x:f>
        <x:v>46235</x:v>
      </x:c>
      <x:c r="B20" s="10" t="n">
        <x:f>'Source data'!B21/'Source data'!B20-1</x:f>
        <x:v>0.022438667641779153</x:v>
      </x:c>
      <x:c r="C20" s="10" t="n">
        <x:f>'Source data'!D21/'Source data'!D20-1</x:f>
        <x:v>0.020901079163315295</x:v>
      </x:c>
      <x:c r="D20" s="11" t="n">
        <x:f>(B20-C20)*100</x:f>
        <x:v>0.15375884784638583</x:v>
      </x:c>
      <x:c r="E20" s="10" t="n">
        <x:f>'Source data'!C21</x:f>
        <x:v>0.0859</x:v>
      </x:c>
      <x:c r="F20" s="10" t="n">
        <x:f>'Source data'!E21</x:f>
        <x:v>0.12960000000000002</x:v>
      </x:c>
      <x:c r="G20" s="11" t="n">
        <x:f>(E20-F20)*100</x:f>
        <x:v>-4.370000000000002</x:v>
      </x:c>
      <x:c r="H20" s="10" t="n">
        <x:f>'Source data'!B21/'Source data'!D21</x:f>
        <x:v>0.012388463749132501</x:v>
      </x:c>
    </x:row>
    <x:row r="21" ht="23" customHeight="1">
      <x:c r="A21" s="22" t="n">
        <x:f>'Source data'!A22</x:f>
        <x:v>46266</x:v>
      </x:c>
      <x:c r="B21" s="23" t="n">
        <x:f>'Source data'!B22/'Source data'!B21-1</x:f>
        <x:v>-0.08209513281529413</x:v>
      </x:c>
      <x:c r="C21" s="23" t="n">
        <x:f>'Source data'!D22/'Source data'!D21-1</x:f>
        <x:v>0.018097943660825955</x:v>
      </x:c>
      <x:c r="D21" s="24" t="n">
        <x:f>(B21-C21)*100</x:f>
        <x:v>-10.019307647612008</x:v>
      </x:c>
      <x:c r="E21" s="23" t="n">
        <x:f>'Source data'!C22</x:f>
        <x:v>0.053200000000000004</x:v>
      </x:c>
      <x:c r="F21" s="23" t="n">
        <x:f>'Source data'!E22</x:f>
        <x:v>0.1709</x:v>
      </x:c>
      <x:c r="G21" s="24" t="n">
        <x:f>(E21-F21)*100</x:f>
        <x:v>-11.77</x:v>
      </x:c>
      <x:c r="H21" s="23" t="n">
        <x:f>'Source data'!B22/'Source data'!D22</x:f>
        <x:v>0.011169289991276464</x:v>
      </x:c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32" customHeight="1">
      <x:c r="A24" s="29" t="str">
        <x:v>MoM = current month sales / previous month sales − 1. June 2025 is retained in Source data for the first calculation.</x:v>
      </x:c>
      <x:c r="B24" s="29"/>
      <x:c r="C24" s="29"/>
      <x:c r="D24" s="29"/>
      <x:c r="E24" s="29"/>
      <x:c r="F24" s="29"/>
      <x:c r="G24" s="29"/>
      <x:c r="H24" s="29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32" customHeight="1">
      <x:c r="A26" s="29" t="str">
        <x:v>Monthly YoY compares the reported month with the same month a year earlier. Gap = Pfizer growth less IPM growth, in percentage points.</x:v>
      </x:c>
      <x:c r="B26" s="29"/>
      <x:c r="C26" s="29"/>
      <x:c r="D26" s="29"/>
      <x:c r="E26" s="29"/>
      <x:c r="F26" s="29"/>
      <x:c r="G26" s="29"/>
      <x:c r="H26" s="29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32" customHeight="1">
      <x:c r="A28" s="29" t="str">
        <x:v>Scope: PFIZER* is the aggregate corporation row in the supplied reports. A separate listed/private legal-entity split is not disclosed.</x:v>
      </x:c>
      <x:c r="B28" s="29"/>
      <x:c r="C28" s="29"/>
      <x:c r="D28" s="29"/>
      <x:c r="E28" s="29"/>
      <x:c r="F28" s="29"/>
      <x:c r="G28" s="29"/>
      <x:c r="H28" s="29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</x:sheetData>
  <x:mergeCells>
    <x:mergeCell ref="A24:H24"/>
    <x:mergeCell ref="A26:H26"/>
    <x:mergeCell ref="A28:H28"/>
  </x:mergeCells>
  <x:conditionalFormatting sqref="D7:D21">
    <x:cfRule type="cellIs" dxfId="0" priority="1" operator="lessThan">
      <x:formula>0</x:formula>
    </x:cfRule>
  </x:conditionalFormatting>
  <x:conditionalFormatting sqref="G7:G21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7C6A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109999656677246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6.670000076293945" hidden="0" customWidth="1"/>
    <x:col min="9" max="9" width="16.67000007629394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IQVIA monthly corporation reports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 t="str">
        <x:v>MONTH values in INR crore. Growth rates transcribed from the MONTH +/− % column.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7" customHeight="1">
      <x:c r="A6" s="15" t="str">
        <x:v>Month</x:v>
      </x:c>
      <x:c r="B6" s="15" t="str">
        <x:v>PFIZER*
sales (INR cr)</x:v>
      </x:c>
      <x:c r="C6" s="15" t="str">
        <x:v>PFIZER*
monthly YoY</x:v>
      </x:c>
      <x:c r="D6" s="15" t="str">
        <x:v>IPM sales
(INR cr)</x:v>
      </x:c>
      <x:c r="E6" s="15" t="str">
        <x:v>IPM
monthly YoY</x:v>
      </x:c>
      <x:c r="F6" s="15" t="str">
        <x:v>PFIZER child
sales (INR cr)</x:v>
      </x:c>
      <x:c r="G6" s="15" t="str">
        <x:v>Child share
of PFIZER*</x:v>
      </x:c>
      <x:c r="H6" s="15" t="str">
        <x:v>Source photo</x:v>
      </x:c>
      <x:c r="I6" s="15" t="str">
        <x:v>Report ID</x:v>
      </x:c>
    </x:row>
    <x:row r="7" ht="23" customHeight="1">
      <x:c r="A7" s="16" t="d">
        <x:v>2025-06-01T00:00:00.000Z</x:v>
      </x:c>
      <x:c r="B7" s="19" t="n">
        <x:v>284.24</x:v>
      </x:c>
      <x:c r="C7" s="20" t="n">
        <x:v>0.0316</x:v>
      </x:c>
      <x:c r="D7" s="19" t="n">
        <x:v>19835</x:v>
      </x:c>
      <x:c r="E7" s="20" t="n">
        <x:v>0.1155</x:v>
      </x:c>
      <x:c r="F7" s="19" t="n">
        <x:v>284.24</x:v>
      </x:c>
      <x:c r="G7" s="20" t="n">
        <x:v>1</x:v>
      </x:c>
      <x:c r="H7" s="21" t="str">
        <x:v>IMG_3220.jpg</x:v>
      </x:c>
      <x:c r="I7" s="21" t="str">
        <x:v>TSACORP0625</x:v>
      </x:c>
    </x:row>
    <x:row r="8" ht="23" customHeight="1">
      <x:c r="A8" s="9" t="d">
        <x:v>2025-07-01T00:00:00.000Z</x:v>
      </x:c>
      <x:c r="B8" s="7" t="n">
        <x:v>293.47</x:v>
      </x:c>
      <x:c r="C8" s="8" t="n">
        <x:v>0.0955</x:v>
      </x:c>
      <x:c r="D8" s="7" t="n">
        <x:v>21351.72</x:v>
      </x:c>
      <x:c r="E8" s="8" t="n">
        <x:v>0.0713</x:v>
      </x:c>
      <x:c r="F8" s="7" t="n">
        <x:v>293.47</x:v>
      </x:c>
      <x:c r="G8" s="8" t="n">
        <x:v>1</x:v>
      </x:c>
      <x:c r="H8" s="2" t="str">
        <x:v>IMG_3221.jpg</x:v>
      </x:c>
      <x:c r="I8" s="2" t="str">
        <x:v>TSACORP0725</x:v>
      </x:c>
    </x:row>
    <x:row r="9" ht="23" customHeight="1">
      <x:c r="A9" s="16" t="d">
        <x:v>2025-08-01T00:00:00.000Z</x:v>
      </x:c>
      <x:c r="B9" s="19" t="n">
        <x:v>310.67</x:v>
      </x:c>
      <x:c r="C9" s="20" t="n">
        <x:v>0.0554</x:v>
      </x:c>
      <x:c r="D9" s="19" t="n">
        <x:v>21843.46</x:v>
      </x:c>
      <x:c r="E9" s="20" t="n">
        <x:v>0.0814</x:v>
      </x:c>
      <x:c r="F9" s="19" t="n">
        <x:v>310.67</x:v>
      </x:c>
      <x:c r="G9" s="20" t="n">
        <x:v>1</x:v>
      </x:c>
      <x:c r="H9" s="21" t="str">
        <x:v>IMG_3222.jpg</x:v>
      </x:c>
      <x:c r="I9" s="21" t="str">
        <x:v>TSACORP0825</x:v>
      </x:c>
    </x:row>
    <x:row r="10" ht="23" customHeight="1">
      <x:c r="A10" s="9" t="d">
        <x:v>2025-09-01T00:00:00.000Z</x:v>
      </x:c>
      <x:c r="B10" s="7" t="n">
        <x:v>315.16</x:v>
      </x:c>
      <x:c r="C10" s="8" t="n">
        <x:v>0.0664</x:v>
      </x:c>
      <x:c r="D10" s="7" t="n">
        <x:v>21476.71</x:v>
      </x:c>
      <x:c r="E10" s="8" t="n">
        <x:v>0.061</x:v>
      </x:c>
      <x:c r="F10" s="7" t="n">
        <x:v>315.16</x:v>
      </x:c>
      <x:c r="G10" s="8" t="n">
        <x:v>1</x:v>
      </x:c>
      <x:c r="H10" s="2" t="str">
        <x:v>IMG_3223.jpg</x:v>
      </x:c>
      <x:c r="I10" s="2" t="str">
        <x:v>TSACORP0925</x:v>
      </x:c>
    </x:row>
    <x:row r="11" ht="23" customHeight="1">
      <x:c r="A11" s="16" t="d">
        <x:v>2025-10-01T00:00:00.000Z</x:v>
      </x:c>
      <x:c r="B11" s="19" t="n">
        <x:v>331.01</x:v>
      </x:c>
      <x:c r="C11" s="20" t="n">
        <x:v>0.1148</x:v>
      </x:c>
      <x:c r="D11" s="19" t="n">
        <x:v>22333.21</x:v>
      </x:c>
      <x:c r="E11" s="20" t="n">
        <x:v>0.11689999999999999</x:v>
      </x:c>
      <x:c r="F11" s="19" t="n">
        <x:v>331.01</x:v>
      </x:c>
      <x:c r="G11" s="20" t="n">
        <x:v>1</x:v>
      </x:c>
      <x:c r="H11" s="21" t="str">
        <x:v>IMG_3224.jpg</x:v>
      </x:c>
      <x:c r="I11" s="21" t="str">
        <x:v>TSACORP1025</x:v>
      </x:c>
    </x:row>
    <x:row r="12" ht="23" customHeight="1">
      <x:c r="A12" s="9" t="d">
        <x:v>2025-11-01T00:00:00.000Z</x:v>
      </x:c>
      <x:c r="B12" s="7" t="n">
        <x:v>333.21</x:v>
      </x:c>
      <x:c r="C12" s="8" t="n">
        <x:v>0.09849999999999999</x:v>
      </x:c>
      <x:c r="D12" s="7" t="n">
        <x:v>21678.58</x:v>
      </x:c>
      <x:c r="E12" s="8" t="n">
        <x:v>0.08560000000000001</x:v>
      </x:c>
      <x:c r="F12" s="7" t="n">
        <x:v>333.21</x:v>
      </x:c>
      <x:c r="G12" s="8" t="n">
        <x:v>1</x:v>
      </x:c>
      <x:c r="H12" s="2" t="str">
        <x:v>IMG_3225.jpg</x:v>
      </x:c>
      <x:c r="I12" s="2" t="str">
        <x:v>TSACORP1125</x:v>
      </x:c>
    </x:row>
    <x:row r="13" ht="23" customHeight="1">
      <x:c r="A13" s="16" t="d">
        <x:v>2025-12-01T00:00:00.000Z</x:v>
      </x:c>
      <x:c r="B13" s="19" t="n">
        <x:v>345.54</x:v>
      </x:c>
      <x:c r="C13" s="20" t="n">
        <x:v>0.1974</x:v>
      </x:c>
      <x:c r="D13" s="19" t="n">
        <x:v>22199.73</x:v>
      </x:c>
      <x:c r="E13" s="20" t="n">
        <x:v>0.1499</x:v>
      </x:c>
      <x:c r="F13" s="19" t="n">
        <x:v>345.54</x:v>
      </x:c>
      <x:c r="G13" s="20" t="n">
        <x:v>1</x:v>
      </x:c>
      <x:c r="H13" s="21" t="str">
        <x:v>IMG_3226.jpg</x:v>
      </x:c>
      <x:c r="I13" s="21" t="str">
        <x:v>TSACORP1225</x:v>
      </x:c>
    </x:row>
    <x:row r="14" ht="23" customHeight="1">
      <x:c r="A14" s="9" t="d">
        <x:v>2026-01-01T00:00:00.000Z</x:v>
      </x:c>
      <x:c r="B14" s="7" t="n">
        <x:v>277.62</x:v>
      </x:c>
      <x:c r="C14" s="8" t="n">
        <x:v>0.149</x:v>
      </x:c>
      <x:c r="D14" s="7" t="n">
        <x:v>21746.73</x:v>
      </x:c>
      <x:c r="E14" s="8" t="n">
        <x:v>0.11470000000000001</x:v>
      </x:c>
      <x:c r="F14" s="7" t="n">
        <x:v>277.62</x:v>
      </x:c>
      <x:c r="G14" s="8" t="n">
        <x:v>1</x:v>
      </x:c>
      <x:c r="H14" s="2" t="str">
        <x:v>IMG_3227.jpg</x:v>
      </x:c>
      <x:c r="I14" s="2" t="str">
        <x:v>TSACORP0126</x:v>
      </x:c>
    </x:row>
    <x:row r="15" ht="23" customHeight="1">
      <x:c r="A15" s="16" t="d">
        <x:v>2026-02-01T00:00:00.000Z</x:v>
      </x:c>
      <x:c r="B15" s="19" t="n">
        <x:v>259.59</x:v>
      </x:c>
      <x:c r="C15" s="20" t="n">
        <x:v>0.1294</x:v>
      </x:c>
      <x:c r="D15" s="19" t="n">
        <x:v>21108.33</x:v>
      </x:c>
      <x:c r="E15" s="20" t="n">
        <x:v>0.1242</x:v>
      </x:c>
      <x:c r="F15" s="19" t="n">
        <x:v>259.59</x:v>
      </x:c>
      <x:c r="G15" s="20" t="n">
        <x:v>1</x:v>
      </x:c>
      <x:c r="H15" s="21" t="str">
        <x:v>IMG_3228.jpg</x:v>
      </x:c>
      <x:c r="I15" s="21" t="str">
        <x:v>TSACORP0226</x:v>
      </x:c>
    </x:row>
    <x:row r="16" ht="23" customHeight="1">
      <x:c r="A16" s="9" t="d">
        <x:v>2026-03-01T00:00:00.000Z</x:v>
      </x:c>
      <x:c r="B16" s="7" t="n">
        <x:v>256.24</x:v>
      </x:c>
      <x:c r="C16" s="8" t="n">
        <x:v>0.0986</x:v>
      </x:c>
      <x:c r="D16" s="7" t="n">
        <x:v>21090.76</x:v>
      </x:c>
      <x:c r="E16" s="8" t="n">
        <x:v>0.1069</x:v>
      </x:c>
      <x:c r="F16" s="7" t="n">
        <x:v>256.24</x:v>
      </x:c>
      <x:c r="G16" s="8" t="n">
        <x:v>1</x:v>
      </x:c>
      <x:c r="H16" s="2" t="str">
        <x:v>IMG_3229.jpg</x:v>
      </x:c>
      <x:c r="I16" s="2" t="str">
        <x:v>TSACORP0326</x:v>
      </x:c>
    </x:row>
    <x:row r="17" ht="23" customHeight="1">
      <x:c r="A17" s="16" t="d">
        <x:v>2026-04-01T00:00:00.000Z</x:v>
      </x:c>
      <x:c r="B17" s="19" t="n">
        <x:v>288.01</x:v>
      </x:c>
      <x:c r="C17" s="20" t="n">
        <x:v>0.0758</x:v>
      </x:c>
      <x:c r="D17" s="19" t="n">
        <x:v>23314.48</x:v>
      </x:c>
      <x:c r="E17" s="20" t="n">
        <x:v>0.1247</x:v>
      </x:c>
      <x:c r="F17" s="19" t="n">
        <x:v>288.01</x:v>
      </x:c>
      <x:c r="G17" s="20" t="n">
        <x:v>1</x:v>
      </x:c>
      <x:c r="H17" s="21" t="str">
        <x:v>IMG_3230.jpg</x:v>
      </x:c>
      <x:c r="I17" s="21" t="str">
        <x:v>TSACORP0426</x:v>
      </x:c>
    </x:row>
    <x:row r="18" ht="23" customHeight="1">
      <x:c r="A18" s="9" t="d">
        <x:v>2026-05-01T00:00:00.000Z</x:v>
      </x:c>
      <x:c r="B18" s="7" t="n">
        <x:v>287.18</x:v>
      </x:c>
      <x:c r="C18" s="8" t="n">
        <x:v>0.13119999999999998</x:v>
      </x:c>
      <x:c r="D18" s="7" t="n">
        <x:v>22834.79</x:v>
      </x:c>
      <x:c r="E18" s="8" t="n">
        <x:v>0.1213</x:v>
      </x:c>
      <x:c r="F18" s="7" t="n">
        <x:v>287.18</x:v>
      </x:c>
      <x:c r="G18" s="8" t="n">
        <x:v>1</x:v>
      </x:c>
      <x:c r="H18" s="2" t="str">
        <x:v>IMG_3231.jpg</x:v>
      </x:c>
      <x:c r="I18" s="2" t="str">
        <x:v>TSACORP0526</x:v>
      </x:c>
    </x:row>
    <x:row r="19" ht="23" customHeight="1">
      <x:c r="A19" s="16" t="d">
        <x:v>2026-06-01T00:00:00.000Z</x:v>
      </x:c>
      <x:c r="B19" s="19" t="n">
        <x:v>286.62</x:v>
      </x:c>
      <x:c r="C19" s="20" t="n">
        <x:v>0.1506</x:v>
      </x:c>
      <x:c r="D19" s="19" t="n">
        <x:v>23059.58</x:v>
      </x:c>
      <x:c r="E19" s="20" t="n">
        <x:v>0.1598</x:v>
      </x:c>
      <x:c r="F19" s="19" t="n">
        <x:v>286.62</x:v>
      </x:c>
      <x:c r="G19" s="20" t="n">
        <x:v>1</x:v>
      </x:c>
      <x:c r="H19" s="21" t="str">
        <x:v>IMG_3232.jpg</x:v>
      </x:c>
      <x:c r="I19" s="21" t="str">
        <x:v>TSACORP0626</x:v>
      </x:c>
    </x:row>
    <x:row r="20" ht="23" customHeight="1">
      <x:c r="A20" s="9" t="d">
        <x:v>2026-07-01T00:00:00.000Z</x:v>
      </x:c>
      <x:c r="B20" s="7" t="n">
        <x:v>300.82</x:v>
      </x:c>
      <x:c r="C20" s="8" t="n">
        <x:v>0.16440000000000002</x:v>
      </x:c>
      <x:c r="D20" s="7" t="n">
        <x:v>24318.84</x:v>
      </x:c>
      <x:c r="E20" s="8" t="n">
        <x:v>0.1358</x:v>
      </x:c>
      <x:c r="F20" s="7" t="n">
        <x:v>300.82</x:v>
      </x:c>
      <x:c r="G20" s="8" t="n">
        <x:v>1</x:v>
      </x:c>
      <x:c r="H20" s="2" t="str">
        <x:v>IMG_3233.jpg</x:v>
      </x:c>
      <x:c r="I20" s="2" t="str">
        <x:v>TSACORP0726</x:v>
      </x:c>
    </x:row>
    <x:row r="21" ht="23" customHeight="1">
      <x:c r="A21" s="16" t="d">
        <x:v>2026-08-01T00:00:00.000Z</x:v>
      </x:c>
      <x:c r="B21" s="19" t="n">
        <x:v>307.57</x:v>
      </x:c>
      <x:c r="C21" s="20" t="n">
        <x:v>0.0859</x:v>
      </x:c>
      <x:c r="D21" s="19" t="n">
        <x:v>24827.13</x:v>
      </x:c>
      <x:c r="E21" s="20" t="n">
        <x:v>0.12960000000000002</x:v>
      </x:c>
      <x:c r="F21" s="19" t="n">
        <x:v>307.57</x:v>
      </x:c>
      <x:c r="G21" s="20" t="n">
        <x:v>1</x:v>
      </x:c>
      <x:c r="H21" s="21" t="str">
        <x:v>IMG_3234.jpg</x:v>
      </x:c>
      <x:c r="I21" s="21" t="str">
        <x:v>TSACORP0826</x:v>
      </x:c>
    </x:row>
    <x:row r="22" ht="23" customHeight="1">
      <x:c r="A22" s="25" t="d">
        <x:v>2026-09-01T00:00:00.000Z</x:v>
      </x:c>
      <x:c r="B22" s="26" t="n">
        <x:v>282.32</x:v>
      </x:c>
      <x:c r="C22" s="27" t="n">
        <x:v>0.053200000000000004</x:v>
      </x:c>
      <x:c r="D22" s="26" t="n">
        <x:v>25276.45</x:v>
      </x:c>
      <x:c r="E22" s="27" t="n">
        <x:v>0.1709</x:v>
      </x:c>
      <x:c r="F22" s="26" t="n">
        <x:v>282.32</x:v>
      </x:c>
      <x:c r="G22" s="27" t="n">
        <x:v>1</x:v>
      </x:c>
      <x:c r="H22" s="4" t="str">
        <x:v>IMG_3235.jpg</x:v>
      </x:c>
      <x:c r="I22" s="4" t="str">
        <x:v>TSACORP0926</x:v>
      </x:c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32" customHeight="1">
      <x:c r="A25" s="29" t="str">
        <x:v>Source: user-supplied IQVIA corporation report photos, IMG_3220.jpg–IMG_3235.jpg. IPM uses SELECTED TOTAL; Pfizer uses PFIZER*.</x:v>
      </x:c>
      <x:c r="B25" s="29"/>
      <x:c r="C25" s="29"/>
      <x:c r="D25" s="29"/>
      <x:c r="E25" s="29"/>
      <x:c r="F25" s="29"/>
      <x:c r="G25" s="29"/>
      <x:c r="H25" s="29"/>
      <x:c r="I25" s="29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2" customHeight="1">
      <x:c r="A27" s="29" t="str">
        <x:v>PFIZER* and its PFIZER child row are identical, with child share 100.00%, throughout these reports. Use the aggregate once; do not add the child.</x:v>
      </x:c>
      <x:c r="B27" s="29"/>
      <x:c r="C27" s="29"/>
      <x:c r="D27" s="29"/>
      <x:c r="E27" s="29"/>
      <x:c r="F27" s="29"/>
      <x:c r="G27" s="29"/>
      <x:c r="H27" s="29"/>
      <x:c r="I27" s="29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32" customHeight="1">
      <x:c r="A29" s="29" t="str">
        <x:v>These figures measure IQVIA market sales. The images do not separately identify Pfizer Limited and private-entity sales or establish statutory consolidated revenue.</x:v>
      </x:c>
      <x:c r="B29" s="29"/>
      <x:c r="C29" s="29"/>
      <x:c r="D29" s="29"/>
      <x:c r="E29" s="29"/>
      <x:c r="F29" s="29"/>
      <x:c r="G29" s="29"/>
      <x:c r="H29" s="29"/>
      <x:c r="I29" s="29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32" customHeight="1">
      <x:c r="A31" s="29" t="str">
        <x:v>The MONTH +/− % column is reported monthly YoY growth. The adjacent MONTH % column is market/group share, not sales growth.</x:v>
      </x:c>
      <x:c r="B31" s="29"/>
      <x:c r="C31" s="29"/>
      <x:c r="D31" s="29"/>
      <x:c r="E31" s="29"/>
      <x:c r="F31" s="29"/>
      <x:c r="G31" s="29"/>
      <x:c r="H31" s="29"/>
      <x:c r="I31" s="29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</x:sheetData>
  <x:mergeCells>
    <x:mergeCell ref="A25:I25"/>
    <x:mergeCell ref="A27:I27"/>
    <x:mergeCell ref="A29:I29"/>
    <x:mergeCell ref="A31:I31"/>
  </x:mergeCells>
  <x:pageMargins left="0.7" right="0.7" top="0.75" bottom="0.75" header="0.3" footer="0.3"/>
</x:worksheet>
</file>