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0efb51c4a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pin" sheetId="1" r:id="R1e4764de0d204196"/>
    <x:sheet xmlns:r="http://schemas.openxmlformats.org/officeDocument/2006/relationships" name="DRL" sheetId="2" r:id="R356ea6e39d844e57"/>
    <x:sheet xmlns:r="http://schemas.openxmlformats.org/officeDocument/2006/relationships" name="Cipla" sheetId="3" r:id="Rbb9806afdc7b490e"/>
    <x:sheet xmlns:r="http://schemas.openxmlformats.org/officeDocument/2006/relationships" name="Torrent" sheetId="4" r:id="Rc09167dddd90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.000"/>
    <x:numFmt numFmtId="202" formatCode="#,##0.00"/>
    <x:numFmt numFmtId="203" formatCode="d-mmm-yy"/>
    <x:numFmt numFmtId="204" formatCode="#,##0"/>
    <x:numFmt numFmtId="205" formatCode="0.0%"/>
    <x:numFmt numFmtId="206" formatCode="0.0x"/>
    <x:numFmt numFmtId="207" formatCode="0.00;(0.00);0.00"/>
  </x:numFmts>
  <x:fonts count="14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666666"/>
      <x:name val="Arial"/>
    </x:font>
    <x:font>
      <x:sz val="10"/>
      <x:color rgb="FF0000FF"/>
      <x:name val="Arial"/>
    </x:font>
    <x:font>
      <x:b/>
      <x:sz val="10"/>
      <x:color rgb="FF008000"/>
      <x:name val="Arial"/>
    </x:font>
    <x:font>
      <x:b/>
      <x:sz val="11"/>
      <x:color rgb="FF1F1F1F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9"/>
      <x:color rgb="FF666666"/>
      <x:name val="Arial"/>
    </x:font>
    <x:font>
      <x:b/>
      <x:sz val="10"/>
      <x:color rgb="FF1F1F1F"/>
      <x:name val="Arial"/>
    </x:font>
    <x:font>
      <x:b/>
      <x:sz val="9"/>
      <x:color rgb="FF666666"/>
      <x:name val="Arial"/>
    </x:font>
    <x:font>
      <x:sz val="9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F4E78"/>
      </x:top>
      <x:bottom style="double">
        <x:color rgb="FF1F4E78"/>
      </x:bottom>
      <x:diagonal/>
    </x:border>
    <x:border>
      <x:left/>
      <x:right/>
      <x:top style="thin">
        <x:color rgb="FFD9E1F2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6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8" xfId="0" applyNumberFormat="1" applyFont="1" applyFill="1" applyBorder="1" applyAlignment="1">
      <x:alignment vertical="center"/>
    </x:xf>
    <x:xf numFmtId="200" fontId="11" fillId="4" borderId="8" xfId="0" applyNumberFormat="1" applyFont="1" applyFill="1" applyBorder="1" applyAlignment="1">
      <x:alignment vertical="center"/>
    </x:xf>
    <x:xf numFmtId="205" fontId="11" fillId="4" borderId="8" xfId="0" applyNumberFormat="1" applyFont="1" applyFill="1" applyBorder="1" applyAlignment="1">
      <x:alignment vertical="center"/>
    </x:xf>
    <x:xf numFmtId="206" fontId="11" fillId="4" borderId="8" xfId="0" applyNumberFormat="1" applyFont="1" applyFill="1" applyBorder="1" applyAlignment="1">
      <x:alignment vertical="center"/>
    </x:xf>
    <x:xf numFmtId="204" fontId="11" fillId="4" borderId="8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0258775bf49a0" /><Relationship Type="http://schemas.openxmlformats.org/officeDocument/2006/relationships/theme" Target="/xl/theme/theme1.xml" Id="R79f7f4cb45dc4be9" /><Relationship Type="http://schemas.openxmlformats.org/officeDocument/2006/relationships/sharedStrings" Target="/xl/sharedStrings.xml" Id="Ree5fc09f29574a82" /><Relationship Type="http://schemas.openxmlformats.org/officeDocument/2006/relationships/worksheet" Target="/xl/worksheets/sheet1.xml" Id="R1e4764de0d204196" /><Relationship Type="http://schemas.openxmlformats.org/officeDocument/2006/relationships/worksheet" Target="/xl/worksheets/sheet2.xml" Id="R356ea6e39d844e57" /><Relationship Type="http://schemas.openxmlformats.org/officeDocument/2006/relationships/worksheet" Target="/xl/worksheets/sheet3.xml" Id="Rbb9806afdc7b490e" /><Relationship Type="http://schemas.openxmlformats.org/officeDocument/2006/relationships/worksheet" Target="/xl/worksheets/sheet4.xml" Id="Rc09167dddd90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13" hidden="0" customWidth="1"/>
    <x:col min="8" max="8" width="16" hidden="0" customWidth="1"/>
    <x:col min="9" max="9" width="11" hidden="0" customWidth="1"/>
    <x:col min="10" max="10" width="17" hidden="0" customWidth="1"/>
    <x:col min="11" max="11" width="3" hidden="0" customWidth="1"/>
    <x:col min="12" max="12" width="84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3" t="str">
        <x:v>Lupin | FY27E SOTP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A3" s="2"/>
      <x:c r="B3" s="2"/>
      <x:c r="C3" s="4" t="str">
        <x:v>₹bn except per-share data | As of 1-Oct-2026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2"/>
      <x:c r="B5" s="2"/>
      <x:c r="C5" s="6" t="str">
        <x:v>FY27E revenue (₹bn)</x:v>
      </x:c>
      <x:c r="D5" s="11" t="n">
        <x:v>302.1</x:v>
      </x:c>
      <x:c r="E5" s="2"/>
      <x:c r="F5" s="6" t="str">
        <x:v>SOTP value/share (₹)</x:v>
      </x:c>
      <x:c r="G5" s="16" t="n">
        <x:f>J17</x:f>
        <x:v>2722.0804347826083</x:v>
      </x:c>
      <x:c r="H5" s="6" t="str">
        <x:v>Reference price (₹)</x:v>
      </x:c>
      <x:c r="I5" s="13" t="n">
        <x:v>2029</x:v>
      </x:c>
      <x:c r="J5" s="2"/>
      <x:c r="K5" s="2"/>
      <x:c r="L5" s="2"/>
      <x:c r="M5" s="2"/>
    </x:row>
    <x:row r="6" ht="21" customHeight="1">
      <x:c r="A6" s="2"/>
      <x:c r="B6" s="2"/>
      <x:c r="C6" s="6" t="str">
        <x:v>Rating</x:v>
      </x:c>
      <x:c r="D6" s="14" t="str">
        <x:v>Outperform</x:v>
      </x:c>
      <x:c r="E6" s="2"/>
      <x:c r="F6" s="6" t="str">
        <x:v>Upside</x:v>
      </x:c>
      <x:c r="G6" s="17" t="n">
        <x:f>G5/I5-1</x:f>
        <x:v>0.3415872029485503</x:v>
      </x:c>
      <x:c r="H6" s="6" t="str">
        <x:v>As of</x:v>
      </x:c>
      <x:c r="I6" s="10" t="d">
        <x:v>2026-10-01T00:00:00.000Z</x:v>
      </x:c>
      <x:c r="J6" s="2"/>
      <x:c r="K6" s="2"/>
      <x:c r="L6" s="2"/>
      <x:c r="M6" s="2"/>
    </x:row>
    <x:row r="7" ht="21" customHeight="1">
      <x:c r="A7" s="2"/>
      <x:c r="B7" s="2"/>
      <x:c r="C7" s="6" t="str">
        <x:v>Shares o/s (bn)</x:v>
      </x:c>
      <x:c r="D7" s="12" t="n">
        <x:v>0.46</x:v>
      </x:c>
      <x:c r="E7" s="2"/>
      <x:c r="F7" s="6" t="str">
        <x:v>Blended P/E (x)</x:v>
      </x:c>
      <x:c r="G7" s="18" t="n">
        <x:f>I17</x:f>
        <x:v>25.65895491803278</x:v>
      </x:c>
      <x:c r="H7" s="6" t="str">
        <x:v>Method</x:v>
      </x:c>
      <x:c r="I7" s="2" t="str">
        <x:v>FY27E P/E SOTP</x:v>
      </x:c>
      <x:c r="J7" s="2"/>
      <x:c r="K7" s="2"/>
      <x:c r="L7" s="2"/>
      <x:c r="M7" s="2"/>
    </x:row>
    <x:row r="8" ht="20" customHeight="1">
      <x:c r="A8" s="2"/>
      <x:c r="B8" s="2"/>
      <x:c r="C8" s="19" t="str">
        <x:v>PAT margins are analyst allocations calibrated to consolidated PAT; regional PAT is not company-disclosed.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1" customHeight="1">
      <x:c r="A9" s="2"/>
      <x:c r="B9" s="2"/>
      <x:c r="C9" s="22" t="str">
        <x:v>Regional earnings and valuation build</x:v>
      </x:c>
      <x:c r="D9" s="23"/>
      <x:c r="E9" s="23"/>
      <x:c r="F9" s="23"/>
      <x:c r="G9" s="23"/>
      <x:c r="H9" s="23"/>
      <x:c r="I9" s="23"/>
      <x:c r="J9" s="24"/>
      <x:c r="K9" s="2"/>
      <x:c r="L9" s="2"/>
      <x:c r="M9" s="2"/>
    </x:row>
    <x:row r="10" ht="28" customHeight="1">
      <x:c r="A10" s="2"/>
      <x:c r="B10" s="2"/>
      <x:c r="C10" s="33" t="str">
        <x:v>Segment</x:v>
      </x:c>
      <x:c r="D10" s="34" t="str">
        <x:v>FY27E revenue (₹bn)</x:v>
      </x:c>
      <x:c r="E10" s="34" t="str">
        <x:v>PAT margin</x:v>
      </x:c>
      <x:c r="F10" s="34" t="str">
        <x:v>FY27E PAT (₹bn)</x:v>
      </x:c>
      <x:c r="G10" s="34" t="str">
        <x:v>PAT share</x:v>
      </x:c>
      <x:c r="H10" s="34" t="str">
        <x:v>EPS contribution (₹)</x:v>
      </x:c>
      <x:c r="I10" s="34" t="str">
        <x:v>P/E (x)</x:v>
      </x:c>
      <x:c r="J10" s="35" t="str">
        <x:v>Value/share (₹)</x:v>
      </x:c>
      <x:c r="K10" s="2"/>
      <x:c r="L10" s="33" t="str">
        <x:v>Assumption rationale</x:v>
      </x:c>
      <x:c r="M10" s="35" t="str">
        <x:v>Source</x:v>
      </x:c>
    </x:row>
    <x:row r="11" ht="22" customHeight="1">
      <x:c r="A11" s="2"/>
      <x:c r="B11" s="2"/>
      <x:c r="C11" s="2" t="str">
        <x:v>India</x:v>
      </x:c>
      <x:c r="D11" s="11" t="n">
        <x:v>92.2</x:v>
      </x:c>
      <x:c r="E11" s="39" t="n">
        <x:v>0.22</x:v>
      </x:c>
      <x:c r="F11" s="7" t="n">
        <x:f>D11*E11</x:f>
        <x:v>20.284000000000002</x:v>
      </x:c>
      <x:c r="G11" s="36" t="n">
        <x:f>F11/F$17</x:f>
        <x:v>0.41565573770491804</x:v>
      </x:c>
      <x:c r="H11" s="7" t="n">
        <x:f>F11/$D$7</x:f>
        <x:v>44.095652173913045</x:v>
      </x:c>
      <x:c r="I11" s="40" t="n">
        <x:v>34</x:v>
      </x:c>
      <x:c r="J11" s="38" t="n">
        <x:f>H11*I11</x:f>
        <x:v>1499.2521739130436</x:v>
      </x:c>
      <x:c r="K11" s="2"/>
      <x:c r="L11" s="42" t="str">
        <x:v>22.0%: branded chronic mix and high gross margin, after field-force and central R&amp;D allocation. 34x reflects franchise quality.</x:v>
      </x:c>
      <x:c r="M11" s="43" t="str">
        <x:v>L1, L3</x:v>
      </x:c>
    </x:row>
    <x:row r="12" ht="22" customHeight="1">
      <x:c r="A12" s="2"/>
      <x:c r="B12" s="2"/>
      <x:c r="C12" s="2" t="str">
        <x:v>North America</x:v>
      </x:c>
      <x:c r="D12" s="11" t="n">
        <x:v>120.7</x:v>
      </x:c>
      <x:c r="E12" s="39" t="n">
        <x:v>0.155</x:v>
      </x:c>
      <x:c r="F12" s="7" t="n">
        <x:f>D12*E12</x:f>
        <x:v>18.7085</x:v>
      </x:c>
      <x:c r="G12" s="36" t="n">
        <x:f>F12/F$17</x:f>
        <x:v>0.38337090163934423</x:v>
      </x:c>
      <x:c r="H12" s="7" t="n">
        <x:f>F12/$D$7</x:f>
        <x:v>40.67065217391304</x:v>
      </x:c>
      <x:c r="I12" s="40" t="n">
        <x:v>20</x:v>
      </x:c>
      <x:c r="J12" s="38" t="n">
        <x:f>H12*I12</x:f>
        <x:v>813.4130434782608</x:v>
      </x:c>
      <x:c r="K12" s="2"/>
      <x:c r="L12" s="42" t="str">
        <x:v>15.5%: complex generics support mix; price erosion and launch costs cap profitability. 20x values normalized US generics.</x:v>
      </x:c>
      <x:c r="M12" s="43" t="str">
        <x:v>L1, L3</x:v>
      </x:c>
    </x:row>
    <x:row r="13" ht="22" customHeight="1">
      <x:c r="A13" s="2"/>
      <x:c r="B13" s="2"/>
      <x:c r="C13" s="2" t="str">
        <x:v>EMEA</x:v>
      </x:c>
      <x:c r="D13" s="11" t="n">
        <x:v>41.9</x:v>
      </x:c>
      <x:c r="E13" s="39" t="n">
        <x:v>0.125</x:v>
      </x:c>
      <x:c r="F13" s="7" t="n">
        <x:f>D13*E13</x:f>
        <x:v>5.2375</x:v>
      </x:c>
      <x:c r="G13" s="36" t="n">
        <x:f>F13/F$17</x:f>
        <x:v>0.10732581967213113</x:v>
      </x:c>
      <x:c r="H13" s="7" t="n">
        <x:f>F13/$D$7</x:f>
        <x:v>11.38586956521739</x:v>
      </x:c>
      <x:c r="I13" s="40" t="n">
        <x:v>18</x:v>
      </x:c>
      <x:c r="J13" s="38" t="n">
        <x:f>H13*I13</x:f>
        <x:v>204.94565217391303</x:v>
      </x:c>
      <x:c r="K13" s="2"/>
      <x:c r="L13" s="42" t="str">
        <x:v>12.5%: branded/generic mix, moderated for tenders and price controls. 18x for mature regulated markets.</x:v>
      </x:c>
      <x:c r="M13" s="43" t="str">
        <x:v>L1, L3</x:v>
      </x:c>
    </x:row>
    <x:row r="14" ht="22" customHeight="1">
      <x:c r="A14" s="2"/>
      <x:c r="B14" s="2"/>
      <x:c r="C14" s="2" t="str">
        <x:v>Growth Markets</x:v>
      </x:c>
      <x:c r="D14" s="11" t="n">
        <x:v>30.3</x:v>
      </x:c>
      <x:c r="E14" s="39" t="n">
        <x:v>0.12</x:v>
      </x:c>
      <x:c r="F14" s="7" t="n">
        <x:f>D14*E14</x:f>
        <x:v>3.636</x:v>
      </x:c>
      <x:c r="G14" s="36" t="n">
        <x:f>F14/F$17</x:f>
        <x:v>0.07450819672131147</x:v>
      </x:c>
      <x:c r="H14" s="7" t="n">
        <x:f>F14/$D$7</x:f>
        <x:v>7.904347826086957</x:v>
      </x:c>
      <x:c r="I14" s="40" t="n">
        <x:v>22</x:v>
      </x:c>
      <x:c r="J14" s="38" t="n">
        <x:f>H14*I14</x:f>
        <x:v>173.89565217391305</x:v>
      </x:c>
      <x:c r="K14" s="2"/>
      <x:c r="L14" s="42" t="str">
        <x:v>12.0%: branded exposure and volume growth, with FX and distributor risk. 22x reflects better growth than regulated generics.</x:v>
      </x:c>
      <x:c r="M14" s="43" t="str">
        <x:v>L1, L3</x:v>
      </x:c>
    </x:row>
    <x:row r="15" ht="22" customHeight="1">
      <x:c r="A15" s="2"/>
      <x:c r="B15" s="2"/>
      <x:c r="C15" s="2" t="str">
        <x:v>RoW</x:v>
      </x:c>
      <x:c r="D15" s="11" t="n">
        <x:v>11.9</x:v>
      </x:c>
      <x:c r="E15" s="39" t="n">
        <x:v>0.06</x:v>
      </x:c>
      <x:c r="F15" s="7" t="n">
        <x:f>D15*E15</x:f>
        <x:v>0.714</x:v>
      </x:c>
      <x:c r="G15" s="36" t="n">
        <x:f>F15/F$17</x:f>
        <x:v>0.014631147540983604</x:v>
      </x:c>
      <x:c r="H15" s="7" t="n">
        <x:f>F15/$D$7</x:f>
        <x:v>1.5521739130434782</x:v>
      </x:c>
      <x:c r="I15" s="40" t="n">
        <x:v>16</x:v>
      </x:c>
      <x:c r="J15" s="38" t="n">
        <x:f>H15*I15</x:f>
        <x:v>24.83478260869565</x:v>
      </x:c>
      <x:c r="K15" s="2"/>
      <x:c r="L15" s="42" t="str">
        <x:v>6.0%: smaller scale and weaker fixed-cost absorption. 16x reflects lower visibility.</x:v>
      </x:c>
      <x:c r="M15" s="43" t="str">
        <x:v>L1, L3</x:v>
      </x:c>
    </x:row>
    <x:row r="16" ht="22" customHeight="1">
      <x:c r="A16" s="2"/>
      <x:c r="B16" s="2"/>
      <x:c r="C16" s="2" t="str">
        <x:v>API</x:v>
      </x:c>
      <x:c r="D16" s="11" t="n">
        <x:v>5</x:v>
      </x:c>
      <x:c r="E16" s="39" t="n">
        <x:v>0.044</x:v>
      </x:c>
      <x:c r="F16" s="7" t="n">
        <x:f>D16*E16</x:f>
        <x:v>0.21999999999999997</x:v>
      </x:c>
      <x:c r="G16" s="36" t="n">
        <x:f>F16/F$17</x:f>
        <x:v>0.004508196721311475</x:v>
      </x:c>
      <x:c r="H16" s="7" t="n">
        <x:f>F16/$D$7</x:f>
        <x:v>0.4782608695652173</x:v>
      </x:c>
      <x:c r="I16" s="40" t="n">
        <x:v>12</x:v>
      </x:c>
      <x:c r="J16" s="38" t="n">
        <x:f>H16*I16</x:f>
        <x:v>5.7391304347826075</x:v>
      </x:c>
      <x:c r="K16" s="2"/>
      <x:c r="L16" s="42" t="str">
        <x:v>4.4%: lower-value API economics and limited differentiation. 12x.</x:v>
      </x:c>
      <x:c r="M16" s="43" t="str">
        <x:v>L1</x:v>
      </x:c>
    </x:row>
    <x:row r="17" ht="23" customHeight="1">
      <x:c r="A17" s="2"/>
      <x:c r="B17" s="2"/>
      <x:c r="C17" s="46" t="str">
        <x:v>Total / blended</x:v>
      </x:c>
      <x:c r="D17" s="47" t="n">
        <x:f>SUM(D11:D16)</x:f>
        <x:v>302</x:v>
      </x:c>
      <x:c r="E17" s="48" t="n">
        <x:f>F17/D17</x:f>
        <x:v>0.16158940397350996</x:v>
      </x:c>
      <x:c r="F17" s="47" t="n">
        <x:f>SUM(F11:F16)</x:f>
        <x:v>48.800000000000004</x:v>
      </x:c>
      <x:c r="G17" s="48" t="n">
        <x:f>SUM(G11:G16)</x:f>
        <x:v>1</x:v>
      </x:c>
      <x:c r="H17" s="47" t="n">
        <x:f>SUM(H11:H16)</x:f>
        <x:v>106.08695652173914</x:v>
      </x:c>
      <x:c r="I17" s="49" t="n">
        <x:f>J17/H17</x:f>
        <x:v>25.65895491803278</x:v>
      </x:c>
      <x:c r="J17" s="50" t="n">
        <x:f>SUM(J11:J16)</x:f>
        <x:v>2722.0804347826083</x:v>
      </x:c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2" t="str">
        <x:v>EPS triangulation and model checks</x:v>
      </x:c>
      <x:c r="D20" s="23"/>
      <x:c r="E20" s="23"/>
      <x:c r="F20" s="23"/>
      <x:c r="G20" s="23"/>
      <x:c r="H20" s="23"/>
      <x:c r="I20" s="24"/>
      <x:c r="J20" s="2"/>
      <x:c r="K20" s="2"/>
      <x:c r="L20" s="2"/>
      <x:c r="M20" s="2"/>
    </x:row>
    <x:row r="21">
      <x:c r="A21" s="2"/>
      <x:c r="B21" s="2"/>
      <x:c r="C21" s="6" t="str">
        <x:v>PAT from segments (₹bn)</x:v>
      </x:c>
      <x:c r="D21" s="51" t="n">
        <x:f>F17</x:f>
        <x:v>48.800000000000004</x:v>
      </x:c>
      <x:c r="E21" s="2"/>
      <x:c r="F21" s="6" t="str">
        <x:v>Segment revenue sum</x:v>
      </x:c>
      <x:c r="G21" s="51" t="n">
        <x:f>D17</x:f>
        <x:v>302</x:v>
      </x:c>
      <x:c r="H21" s="2"/>
      <x:c r="I21" s="2"/>
      <x:c r="J21" s="2"/>
      <x:c r="K21" s="2"/>
      <x:c r="L21" s="2"/>
      <x:c r="M21" s="2"/>
    </x:row>
    <x:row r="22">
      <x:c r="A22" s="2"/>
      <x:c r="B22" s="2"/>
      <x:c r="C22" s="6" t="str">
        <x:v>EPS from segments (₹)</x:v>
      </x:c>
      <x:c r="D22" s="51" t="n">
        <x:f>H17</x:f>
        <x:v>106.08695652173914</x:v>
      </x:c>
      <x:c r="E22" s="2"/>
      <x:c r="F22" s="6" t="str">
        <x:v>Consolidated revenue</x:v>
      </x:c>
      <x:c r="G22" s="52" t="n">
        <x:v>302.1</x:v>
      </x:c>
      <x:c r="H22" s="2"/>
      <x:c r="I22" s="2"/>
      <x:c r="J22" s="2"/>
      <x:c r="K22" s="2"/>
      <x:c r="L22" s="2"/>
      <x:c r="M22" s="2"/>
    </x:row>
    <x:row r="23">
      <x:c r="A23" s="2"/>
      <x:c r="B23" s="2"/>
      <x:c r="C23" s="6" t="str">
        <x:v>Consolidated FY27E EPS (₹)</x:v>
      </x:c>
      <x:c r="D23" s="52" t="n">
        <x:v>106.1</x:v>
      </x:c>
      <x:c r="E23" s="2"/>
      <x:c r="F23" s="6" t="str">
        <x:v>Revenue difference</x:v>
      </x:c>
      <x:c r="G23" s="51" t="n">
        <x:f>G21-G22</x:f>
        <x:v>-0.10000000000002274</x:v>
      </x:c>
      <x:c r="H23" s="2"/>
      <x:c r="I23" s="2"/>
      <x:c r="J23" s="2"/>
      <x:c r="K23" s="2"/>
      <x:c r="L23" s="2"/>
      <x:c r="M23" s="2"/>
    </x:row>
    <x:row r="24">
      <x:c r="A24" s="2"/>
      <x:c r="B24" s="2"/>
      <x:c r="C24" s="6" t="str">
        <x:v>EPS difference (₹)</x:v>
      </x:c>
      <x:c r="D24" s="51" t="n">
        <x:f>D22-D23</x:f>
        <x:v>-0.013043478260854613</x:v>
      </x:c>
      <x:c r="E24" s="2"/>
      <x:c r="F24" s="6" t="str">
        <x:v>Check</x:v>
      </x:c>
      <x:c r="G24" s="53" t="str">
        <x:f>IF(AND(ABS(D24)&lt;0.1,ABS(G23)&lt;0.2),"OK","Review")</x:f>
        <x:v>OK</x:v>
      </x:c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2" t="str">
        <x:v>Sources and calibration</x:v>
      </x:c>
      <x:c r="D27" s="23"/>
      <x:c r="E27" s="23"/>
      <x:c r="F27" s="23"/>
      <x:c r="G27" s="23"/>
      <x:c r="H27" s="23"/>
      <x:c r="I27" s="23"/>
      <x:c r="J27" s="23"/>
      <x:c r="K27" s="23"/>
      <x:c r="L27" s="23"/>
      <x:c r="M27" s="24"/>
    </x:row>
    <x:row r="28" ht="21" customHeight="1">
      <x:c r="A28" s="2"/>
      <x:c r="B28" s="2"/>
      <x:c r="C28" s="54" t="str">
        <x:v>L1</x:v>
      </x:c>
      <x:c r="D28" s="41" t="str">
        <x:v>User-supplied Lupin FY27E model screenshots: revenue, PAT, shares and EPS</x:v>
      </x:c>
      <x:c r="E28" s="2"/>
      <x:c r="F28" s="2"/>
      <x:c r="G28" s="2"/>
      <x:c r="H28" s="2"/>
      <x:c r="I28" s="2"/>
      <x:c r="J28" s="2"/>
      <x:c r="K28" s="2"/>
      <x:c r="L28" s="41" t="str">
        <x:v>User attachment, 5-Oct-2026</x:v>
      </x:c>
      <x:c r="M28" s="2"/>
    </x:row>
    <x:row r="29" ht="21" customHeight="1">
      <x:c r="A29" s="2"/>
      <x:c r="B29" s="2"/>
      <x:c r="C29" s="54" t="str">
        <x:v>L2</x:v>
      </x:c>
      <x:c r="D29" s="41" t="str">
        <x:v>Business Standard: Lupin reference price, 1-Oct-2026</x:v>
      </x:c>
      <x:c r="E29" s="2"/>
      <x:c r="F29" s="2"/>
      <x:c r="G29" s="2"/>
      <x:c r="H29" s="2"/>
      <x:c r="I29" s="2"/>
      <x:c r="J29" s="2"/>
      <x:c r="K29" s="2"/>
      <x:c r="L29" s="55" t="str">
        <x:v>https://www.business-standard.com/markets/lupin-ltd-share-price-3026.html</x:v>
      </x:c>
      <x:c r="M29" s="2"/>
    </x:row>
    <x:row r="30" ht="21" customHeight="1">
      <x:c r="A30" s="2"/>
      <x:c r="B30" s="2"/>
      <x:c r="C30" s="54" t="str">
        <x:v>L3</x:v>
      </x:c>
      <x:c r="D30" s="41" t="str">
        <x:v>India Ratings sector context: domestic growth offsets US generic pressure, 28-Sep-2026</x:v>
      </x:c>
      <x:c r="E30" s="2"/>
      <x:c r="F30" s="2"/>
      <x:c r="G30" s="2"/>
      <x:c r="H30" s="2"/>
      <x:c r="I30" s="2"/>
      <x:c r="J30" s="2"/>
      <x:c r="K30" s="2"/>
      <x:c r="L30" s="55" t="str">
        <x:v>https://www.financialexpress.com/business/news-pharma-sector-eyes-10-growth-in-fy27-as-domestic-market-offsets-us-slowdown-4348976/</x:v>
      </x:c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56" t="str">
        <x:v>Model convention: blue font = analyst input; black font = formula. Regional margins allocate consolidated PAT and are not company-reported.</x:v>
      </x:c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conditionalFormatting sqref="D24:D24">
    <x:cfRule type="expression" dxfId="0" priority="1">
      <x:formula>ABS(D24)&gt;=0.1</x:formula>
    </x:cfRule>
  </x:conditionalFormatting>
  <x:conditionalFormatting sqref="G23:G23">
    <x:cfRule type="expression" dxfId="1" priority="2">
      <x:formula>ABS(G23)&gt;=0.2</x:formula>
    </x:cfRule>
  </x:conditionalFormatting>
  <x:conditionalFormatting sqref="G24:G24">
    <x:cfRule type="containsText" dxfId="2" priority="3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13" hidden="0" customWidth="1"/>
    <x:col min="8" max="8" width="16" hidden="0" customWidth="1"/>
    <x:col min="9" max="9" width="11" hidden="0" customWidth="1"/>
    <x:col min="10" max="10" width="17" hidden="0" customWidth="1"/>
    <x:col min="11" max="11" width="3" hidden="0" customWidth="1"/>
    <x:col min="12" max="12" width="84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3" t="str">
        <x:v>Dr. Reddy's Laboratories | FY27E SOTP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A3" s="2"/>
      <x:c r="B3" s="2"/>
      <x:c r="C3" s="4" t="str">
        <x:v>₹bn except per-share data | As of 1-Oct-2026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2"/>
      <x:c r="B5" s="2"/>
      <x:c r="C5" s="6" t="str">
        <x:v>FY27E revenue (₹bn)</x:v>
      </x:c>
      <x:c r="D5" s="11" t="n">
        <x:v>336</x:v>
      </x:c>
      <x:c r="E5" s="2"/>
      <x:c r="F5" s="6" t="str">
        <x:v>SOTP value/share (₹)</x:v>
      </x:c>
      <x:c r="G5" s="16" t="n">
        <x:f>J16</x:f>
        <x:v>1635.2095808383235</x:v>
      </x:c>
      <x:c r="H5" s="6" t="str">
        <x:v>Reference price (₹)</x:v>
      </x:c>
      <x:c r="I5" s="13" t="n">
        <x:v>1200.1</x:v>
      </x:c>
      <x:c r="J5" s="2"/>
      <x:c r="K5" s="2"/>
      <x:c r="L5" s="2"/>
      <x:c r="M5" s="2"/>
    </x:row>
    <x:row r="6" ht="21" customHeight="1">
      <x:c r="A6" s="2"/>
      <x:c r="B6" s="2"/>
      <x:c r="C6" s="6" t="str">
        <x:v>Rating</x:v>
      </x:c>
      <x:c r="D6" s="14" t="str">
        <x:v>Outperform</x:v>
      </x:c>
      <x:c r="E6" s="2"/>
      <x:c r="F6" s="6" t="str">
        <x:v>Upside</x:v>
      </x:c>
      <x:c r="G6" s="17" t="n">
        <x:f>G5/I5-1</x:f>
        <x:v>0.36256110393994145</x:v>
      </x:c>
      <x:c r="H6" s="6" t="str">
        <x:v>As of</x:v>
      </x:c>
      <x:c r="I6" s="10" t="d">
        <x:v>2026-10-01T00:00:00.000Z</x:v>
      </x:c>
      <x:c r="J6" s="2"/>
      <x:c r="K6" s="2"/>
      <x:c r="L6" s="2"/>
      <x:c r="M6" s="2"/>
    </x:row>
    <x:row r="7" ht="21" customHeight="1">
      <x:c r="A7" s="2"/>
      <x:c r="B7" s="2"/>
      <x:c r="C7" s="6" t="str">
        <x:v>Shares o/s (bn)</x:v>
      </x:c>
      <x:c r="D7" s="12" t="n">
        <x:v>0.835</x:v>
      </x:c>
      <x:c r="E7" s="2"/>
      <x:c r="F7" s="6" t="str">
        <x:v>Blended P/E (x)</x:v>
      </x:c>
      <x:c r="G7" s="18" t="n">
        <x:f>I16</x:f>
        <x:v>32.01406799531067</x:v>
      </x:c>
      <x:c r="H7" s="6" t="str">
        <x:v>Method</x:v>
      </x:c>
      <x:c r="I7" s="2" t="str">
        <x:v>FY27E P/E SOTP</x:v>
      </x:c>
      <x:c r="J7" s="2"/>
      <x:c r="K7" s="2"/>
      <x:c r="L7" s="2"/>
      <x:c r="M7" s="2"/>
    </x:row>
    <x:row r="8" ht="20" customHeight="1">
      <x:c r="A8" s="2"/>
      <x:c r="B8" s="2"/>
      <x:c r="C8" s="19" t="str">
        <x:v>PAT margins are analyst allocations calibrated to consolidated PAT; regional PAT is not company-disclosed.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1" customHeight="1">
      <x:c r="A9" s="2"/>
      <x:c r="B9" s="2"/>
      <x:c r="C9" s="22" t="str">
        <x:v>Regional earnings and valuation build</x:v>
      </x:c>
      <x:c r="D9" s="23"/>
      <x:c r="E9" s="23"/>
      <x:c r="F9" s="23"/>
      <x:c r="G9" s="23"/>
      <x:c r="H9" s="23"/>
      <x:c r="I9" s="23"/>
      <x:c r="J9" s="24"/>
      <x:c r="K9" s="2"/>
      <x:c r="L9" s="2"/>
      <x:c r="M9" s="2"/>
    </x:row>
    <x:row r="10" ht="28" customHeight="1">
      <x:c r="A10" s="2"/>
      <x:c r="B10" s="2"/>
      <x:c r="C10" s="33" t="str">
        <x:v>Segment</x:v>
      </x:c>
      <x:c r="D10" s="34" t="str">
        <x:v>FY27E revenue (₹bn)</x:v>
      </x:c>
      <x:c r="E10" s="34" t="str">
        <x:v>PAT margin</x:v>
      </x:c>
      <x:c r="F10" s="34" t="str">
        <x:v>FY27E PAT (₹bn)</x:v>
      </x:c>
      <x:c r="G10" s="34" t="str">
        <x:v>PAT share</x:v>
      </x:c>
      <x:c r="H10" s="34" t="str">
        <x:v>EPS contribution (₹)</x:v>
      </x:c>
      <x:c r="I10" s="34" t="str">
        <x:v>P/E (x)</x:v>
      </x:c>
      <x:c r="J10" s="35" t="str">
        <x:v>Value/share (₹)</x:v>
      </x:c>
      <x:c r="K10" s="2"/>
      <x:c r="L10" s="33" t="str">
        <x:v>Assumption rationale</x:v>
      </x:c>
      <x:c r="M10" s="35" t="str">
        <x:v>Source</x:v>
      </x:c>
    </x:row>
    <x:row r="11" ht="22" customHeight="1">
      <x:c r="A11" s="2"/>
      <x:c r="B11" s="2"/>
      <x:c r="C11" s="2" t="str">
        <x:v>North America</x:v>
      </x:c>
      <x:c r="D11" s="11" t="n">
        <x:v>92</x:v>
      </x:c>
      <x:c r="E11" s="39" t="n">
        <x:v>0.08</x:v>
      </x:c>
      <x:c r="F11" s="7" t="n">
        <x:f>D11*E11</x:f>
        <x:v>7.36</x:v>
      </x:c>
      <x:c r="G11" s="36" t="n">
        <x:f>F11/F$16</x:f>
        <x:v>0.17256740914419696</x:v>
      </x:c>
      <x:c r="H11" s="7" t="n">
        <x:f>F11/$D$7</x:f>
        <x:v>8.81437125748503</x:v>
      </x:c>
      <x:c r="I11" s="40" t="n">
        <x:v>26</x:v>
      </x:c>
      <x:c r="J11" s="38" t="n">
        <x:f>H11*I11</x:f>
        <x:v>229.17365269461078</x:v>
      </x:c>
      <x:c r="K11" s="2"/>
      <x:c r="L11" s="42" t="str">
        <x:v>8.0%: post-lenalidomide reset and high R&amp;D burden; complex launches and biosimilars support recovery. 26x prices optionality.</x:v>
      </x:c>
      <x:c r="M11" s="43" t="str">
        <x:v>D1-D3</x:v>
      </x:c>
    </x:row>
    <x:row r="12" ht="22" customHeight="1">
      <x:c r="A12" s="2"/>
      <x:c r="B12" s="2"/>
      <x:c r="C12" s="2" t="str">
        <x:v>India</x:v>
      </x:c>
      <x:c r="D12" s="11" t="n">
        <x:v>72</x:v>
      </x:c>
      <x:c r="E12" s="39" t="n">
        <x:v>0.18</x:v>
      </x:c>
      <x:c r="F12" s="7" t="n">
        <x:f>D12*E12</x:f>
        <x:v>12.959999999999999</x:v>
      </x:c>
      <x:c r="G12" s="36" t="n">
        <x:f>F12/F$16</x:f>
        <x:v>0.30386869871043376</x:v>
      </x:c>
      <x:c r="H12" s="7" t="n">
        <x:f>F12/$D$7</x:f>
        <x:v>15.520958083832335</x:v>
      </x:c>
      <x:c r="I12" s="40" t="n">
        <x:v>42</x:v>
      </x:c>
      <x:c r="J12" s="38" t="n">
        <x:f>H12*I12</x:f>
        <x:v>651.8802395209581</x:v>
      </x:c>
      <x:c r="K12" s="2"/>
      <x:c r="L12" s="42" t="str">
        <x:v>18.0%: branded growth, chronic mix and innovative in-licenses. 42x reflects higher-quality domestic earnings.</x:v>
      </x:c>
      <x:c r="M12" s="43" t="str">
        <x:v>D1, D3</x:v>
      </x:c>
    </x:row>
    <x:row r="13" ht="22" customHeight="1">
      <x:c r="A13" s="2"/>
      <x:c r="B13" s="2"/>
      <x:c r="C13" s="2" t="str">
        <x:v>Emerging Markets</x:v>
      </x:c>
      <x:c r="D13" s="11" t="n">
        <x:v>77</x:v>
      </x:c>
      <x:c r="E13" s="39" t="n">
        <x:v>0.15</x:v>
      </x:c>
      <x:c r="F13" s="7" t="n">
        <x:f>D13*E13</x:f>
        <x:v>11.549999999999999</x:v>
      </x:c>
      <x:c r="G13" s="36" t="n">
        <x:f>F13/F$16</x:f>
        <x:v>0.2708089097303634</x:v>
      </x:c>
      <x:c r="H13" s="7" t="n">
        <x:f>F13/$D$7</x:f>
        <x:v>13.832335329341317</x:v>
      </x:c>
      <x:c r="I13" s="40" t="n">
        <x:v>32</x:v>
      </x:c>
      <x:c r="J13" s="38" t="n">
        <x:f>H13*I13</x:f>
        <x:v>442.63473053892216</x:v>
      </x:c>
      <x:c r="K13" s="2"/>
      <x:c r="L13" s="42" t="str">
        <x:v>15.0%: branded Russia/CISR/RoW portfolio; multiple discounts FX and geopolitical risk.</x:v>
      </x:c>
      <x:c r="M13" s="43" t="str">
        <x:v>D1</x:v>
      </x:c>
    </x:row>
    <x:row r="14" ht="22" customHeight="1">
      <x:c r="A14" s="2"/>
      <x:c r="B14" s="2"/>
      <x:c r="C14" s="2" t="str">
        <x:v>Europe</x:v>
      </x:c>
      <x:c r="D14" s="11" t="n">
        <x:v>59</x:v>
      </x:c>
      <x:c r="E14" s="39" t="n">
        <x:v>0.14</x:v>
      </x:c>
      <x:c r="F14" s="7" t="n">
        <x:f>D14*E14</x:f>
        <x:v>8.260000000000002</x:v>
      </x:c>
      <x:c r="G14" s="36" t="n">
        <x:f>F14/F$16</x:f>
        <x:v>0.19366940211019934</x:v>
      </x:c>
      <x:c r="H14" s="7" t="n">
        <x:f>F14/$D$7</x:f>
        <x:v>9.892215568862278</x:v>
      </x:c>
      <x:c r="I14" s="40" t="n">
        <x:v>26</x:v>
      </x:c>
      <x:c r="J14" s="38" t="n">
        <x:f>H14*I14</x:f>
        <x:v>257.19760479041923</x:v>
      </x:c>
      <x:c r="K14" s="2"/>
      <x:c r="L14" s="42" t="str">
        <x:v>14.0%: NRT/consumer health and scale benefits, tempered by price controls and integration effects.</x:v>
      </x:c>
      <x:c r="M14" s="43" t="str">
        <x:v>D1</x:v>
      </x:c>
    </x:row>
    <x:row r="15" ht="22" customHeight="1">
      <x:c r="A15" s="2"/>
      <x:c r="B15" s="2"/>
      <x:c r="C15" s="2" t="str">
        <x:v>PSAI &amp; other</x:v>
      </x:c>
      <x:c r="D15" s="11" t="n">
        <x:v>36</x:v>
      </x:c>
      <x:c r="E15" s="39" t="n">
        <x:v>0.07</x:v>
      </x:c>
      <x:c r="F15" s="7" t="n">
        <x:f>D15*E15</x:f>
        <x:v>2.5200000000000005</x:v>
      </x:c>
      <x:c r="G15" s="36" t="n">
        <x:f>F15/F$16</x:f>
        <x:v>0.059085580304806574</x:v>
      </x:c>
      <x:c r="H15" s="7" t="n">
        <x:f>F15/$D$7</x:f>
        <x:v>3.017964071856288</x:v>
      </x:c>
      <x:c r="I15" s="40" t="n">
        <x:v>18</x:v>
      </x:c>
      <x:c r="J15" s="38" t="n">
        <x:f>H15*I15</x:f>
        <x:v>54.323353293413184</x:v>
      </x:c>
      <x:c r="K15" s="2"/>
      <x:c r="L15" s="42" t="str">
        <x:v>7.0%: CDMO/API recovery potential, but Q1 margin disruption and commodity exposure warrant a lower multiple.</x:v>
      </x:c>
      <x:c r="M15" s="43" t="str">
        <x:v>D1, D2</x:v>
      </x:c>
    </x:row>
    <x:row r="16" ht="23" customHeight="1">
      <x:c r="A16" s="2"/>
      <x:c r="B16" s="2"/>
      <x:c r="C16" s="46" t="str">
        <x:v>Total / blended</x:v>
      </x:c>
      <x:c r="D16" s="47" t="n">
        <x:f>SUM(D11:D15)</x:f>
        <x:v>336</x:v>
      </x:c>
      <x:c r="E16" s="48" t="n">
        <x:f>F16/D16</x:f>
        <x:v>0.1269345238095238</x:v>
      </x:c>
      <x:c r="F16" s="47" t="n">
        <x:f>SUM(F11:F15)</x:f>
        <x:v>42.65</x:v>
      </x:c>
      <x:c r="G16" s="48" t="n">
        <x:f>SUM(G11:G15)</x:f>
        <x:v>1</x:v>
      </x:c>
      <x:c r="H16" s="47" t="n">
        <x:f>SUM(H11:H15)</x:f>
        <x:v>51.07784431137725</x:v>
      </x:c>
      <x:c r="I16" s="49" t="n">
        <x:f>J16/H16</x:f>
        <x:v>32.01406799531067</x:v>
      </x:c>
      <x:c r="J16" s="50" t="n">
        <x:f>SUM(J11:J15)</x:f>
        <x:v>1635.2095808383235</x:v>
      </x:c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2" t="str">
        <x:v>EPS triangulation and model checks</x:v>
      </x:c>
      <x:c r="D20" s="23"/>
      <x:c r="E20" s="23"/>
      <x:c r="F20" s="23"/>
      <x:c r="G20" s="23"/>
      <x:c r="H20" s="23"/>
      <x:c r="I20" s="24"/>
      <x:c r="J20" s="2"/>
      <x:c r="K20" s="2"/>
      <x:c r="L20" s="2"/>
      <x:c r="M20" s="2"/>
    </x:row>
    <x:row r="21">
      <x:c r="A21" s="2"/>
      <x:c r="B21" s="2"/>
      <x:c r="C21" s="6" t="str">
        <x:v>PAT from segments (₹bn)</x:v>
      </x:c>
      <x:c r="D21" s="51" t="n">
        <x:f>F16</x:f>
        <x:v>42.65</x:v>
      </x:c>
      <x:c r="E21" s="2"/>
      <x:c r="F21" s="6" t="str">
        <x:v>Segment revenue sum</x:v>
      </x:c>
      <x:c r="G21" s="51" t="n">
        <x:f>D16</x:f>
        <x:v>336</x:v>
      </x:c>
      <x:c r="H21" s="2"/>
      <x:c r="I21" s="2"/>
      <x:c r="J21" s="2"/>
      <x:c r="K21" s="2"/>
      <x:c r="L21" s="2"/>
      <x:c r="M21" s="2"/>
    </x:row>
    <x:row r="22">
      <x:c r="A22" s="2"/>
      <x:c r="B22" s="2"/>
      <x:c r="C22" s="6" t="str">
        <x:v>EPS from segments (₹)</x:v>
      </x:c>
      <x:c r="D22" s="51" t="n">
        <x:f>H16</x:f>
        <x:v>51.07784431137725</x:v>
      </x:c>
      <x:c r="E22" s="2"/>
      <x:c r="F22" s="6" t="str">
        <x:v>Consolidated revenue</x:v>
      </x:c>
      <x:c r="G22" s="52" t="n">
        <x:v>336</x:v>
      </x:c>
      <x:c r="H22" s="2"/>
      <x:c r="I22" s="2"/>
      <x:c r="J22" s="2"/>
      <x:c r="K22" s="2"/>
      <x:c r="L22" s="2"/>
      <x:c r="M22" s="2"/>
    </x:row>
    <x:row r="23">
      <x:c r="A23" s="2"/>
      <x:c r="B23" s="2"/>
      <x:c r="C23" s="6" t="str">
        <x:v>Consolidated FY27E EPS (₹)</x:v>
      </x:c>
      <x:c r="D23" s="52" t="n">
        <x:v>51.1</x:v>
      </x:c>
      <x:c r="E23" s="2"/>
      <x:c r="F23" s="6" t="str">
        <x:v>Revenue difference</x:v>
      </x:c>
      <x:c r="G23" s="51" t="n">
        <x:f>G21-G22</x:f>
        <x:v>0</x:v>
      </x:c>
      <x:c r="H23" s="2"/>
      <x:c r="I23" s="2"/>
      <x:c r="J23" s="2"/>
      <x:c r="K23" s="2"/>
      <x:c r="L23" s="2"/>
      <x:c r="M23" s="2"/>
    </x:row>
    <x:row r="24">
      <x:c r="A24" s="2"/>
      <x:c r="B24" s="2"/>
      <x:c r="C24" s="6" t="str">
        <x:v>EPS difference (₹)</x:v>
      </x:c>
      <x:c r="D24" s="51" t="n">
        <x:f>D22-D23</x:f>
        <x:v>-0.02215568862275319</x:v>
      </x:c>
      <x:c r="E24" s="2"/>
      <x:c r="F24" s="6" t="str">
        <x:v>Check</x:v>
      </x:c>
      <x:c r="G24" s="53" t="str">
        <x:f>IF(AND(ABS(D24)&lt;0.1,ABS(G23)&lt;0.2),"OK","Review")</x:f>
        <x:v>OK</x:v>
      </x:c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2" t="str">
        <x:v>Sources and calibration</x:v>
      </x:c>
      <x:c r="D27" s="23"/>
      <x:c r="E27" s="23"/>
      <x:c r="F27" s="23"/>
      <x:c r="G27" s="23"/>
      <x:c r="H27" s="23"/>
      <x:c r="I27" s="23"/>
      <x:c r="J27" s="23"/>
      <x:c r="K27" s="23"/>
      <x:c r="L27" s="23"/>
      <x:c r="M27" s="24"/>
    </x:row>
    <x:row r="28" ht="21" customHeight="1">
      <x:c r="A28" s="2"/>
      <x:c r="B28" s="2"/>
      <x:c r="C28" s="54" t="str">
        <x:v>D1</x:v>
      </x:c>
      <x:c r="D28" s="41" t="str">
        <x:v>Dr. Reddy's Q1 FY27 investor presentation: revenue split and business drivers, 22-Jul-2026</x:v>
      </x:c>
      <x:c r="E28" s="2"/>
      <x:c r="F28" s="2"/>
      <x:c r="G28" s="2"/>
      <x:c r="H28" s="2"/>
      <x:c r="I28" s="2"/>
      <x:c r="J28" s="2"/>
      <x:c r="K28" s="2"/>
      <x:c r="L28" s="55" t="str">
        <x:v>https://www.sec.gov/Archives/edgar/data/1135951/000157587226000518/rdy0924_ex99-1.pdf</x:v>
      </x:c>
      <x:c r="M28" s="2"/>
    </x:row>
    <x:row r="29" ht="21" customHeight="1">
      <x:c r="A29" s="2"/>
      <x:c r="B29" s="2"/>
      <x:c r="C29" s="54" t="str">
        <x:v>D2</x:v>
      </x:c>
      <x:c r="D29" s="41" t="str">
        <x:v>Reuters: semaglutide disruption and FY27 earnings risk, 23-Jul-2026</x:v>
      </x:c>
      <x:c r="E29" s="2"/>
      <x:c r="F29" s="2"/>
      <x:c r="G29" s="2"/>
      <x:c r="H29" s="2"/>
      <x:c r="I29" s="2"/>
      <x:c r="J29" s="2"/>
      <x:c r="K29" s="2"/>
      <x:c r="L29" s="55" t="str">
        <x:v>https://www.reuters.com/business/healthcare-pharmaceuticals/indian-drugmaker-dr-reddys-slips-margin-semaglutide-supply-woes-2026-07-23/</x:v>
      </x:c>
      <x:c r="M29" s="2"/>
    </x:row>
    <x:row r="30" ht="21" customHeight="1">
      <x:c r="A30" s="2"/>
      <x:c r="B30" s="2"/>
      <x:c r="C30" s="54" t="str">
        <x:v>D3</x:v>
      </x:c>
      <x:c r="D30" s="41" t="str">
        <x:v>Nomura Buy / ₹1,740 target and biosimilar catalyst, 30-Sep-2026</x:v>
      </x:c>
      <x:c r="E30" s="2"/>
      <x:c r="F30" s="2"/>
      <x:c r="G30" s="2"/>
      <x:c r="H30" s="2"/>
      <x:c r="I30" s="2"/>
      <x:c r="J30" s="2"/>
      <x:c r="K30" s="2"/>
      <x:c r="L30" s="55" t="str">
        <x:v>https://www.financialexpress.com/market/6-buy-recommendations-by-nomura-with-10-to-45-upside-potential-4350353/</x:v>
      </x:c>
      <x:c r="M30" s="2"/>
    </x:row>
    <x:row r="31" ht="21" customHeight="1">
      <x:c r="A31" s="2"/>
      <x:c r="B31" s="2"/>
      <x:c r="C31" s="54" t="str">
        <x:v>D4</x:v>
      </x:c>
      <x:c r="D31" s="41" t="str">
        <x:v>Business Standard: Dr. Reddy's reference price, 1-Oct-2026</x:v>
      </x:c>
      <x:c r="E31" s="2"/>
      <x:c r="F31" s="2"/>
      <x:c r="G31" s="2"/>
      <x:c r="H31" s="2"/>
      <x:c r="I31" s="2"/>
      <x:c r="J31" s="2"/>
      <x:c r="K31" s="2"/>
      <x:c r="L31" s="55" t="str">
        <x:v>https://www.business-standard.com/markets/dr-reddys-laboratories-ltd-share-price-815.html</x:v>
      </x:c>
      <x:c r="M31" s="2"/>
    </x:row>
    <x:row r="32" ht="21" customHeight="1">
      <x:c r="A32" s="2"/>
      <x:c r="B32" s="2"/>
      <x:c r="C32" s="54" t="str">
        <x:v>D5</x:v>
      </x:c>
      <x:c r="D32" s="41" t="str">
        <x:v>Q1 FY27 filing: opening equity shares 834.7m</x:v>
      </x:c>
      <x:c r="E32" s="2"/>
      <x:c r="F32" s="2"/>
      <x:c r="G32" s="2"/>
      <x:c r="H32" s="2"/>
      <x:c r="I32" s="2"/>
      <x:c r="J32" s="2"/>
      <x:c r="K32" s="2"/>
      <x:c r="L32" s="55" t="str">
        <x:v>https://equibles.com/stocks/rdy/documents/bba53248-f86a-4ecf-aee8-3ec2af2037bb</x:v>
      </x:c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56" t="str">
        <x:v>Model convention: blue font = analyst input; black font = formula. Regional margins allocate consolidated PAT and are not company-reported.</x:v>
      </x:c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conditionalFormatting sqref="D24:D24">
    <x:cfRule type="expression" dxfId="3" priority="1">
      <x:formula>ABS(D24)&gt;=0.1</x:formula>
    </x:cfRule>
  </x:conditionalFormatting>
  <x:conditionalFormatting sqref="G23:G23">
    <x:cfRule type="expression" dxfId="4" priority="2">
      <x:formula>ABS(G23)&gt;=0.2</x:formula>
    </x:cfRule>
  </x:conditionalFormatting>
  <x:conditionalFormatting sqref="G24:G24">
    <x:cfRule type="containsText" dxfId="5" priority="3" operator="containsText" text="Revie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13" hidden="0" customWidth="1"/>
    <x:col min="8" max="8" width="16" hidden="0" customWidth="1"/>
    <x:col min="9" max="9" width="11" hidden="0" customWidth="1"/>
    <x:col min="10" max="10" width="17" hidden="0" customWidth="1"/>
    <x:col min="11" max="11" width="3" hidden="0" customWidth="1"/>
    <x:col min="12" max="12" width="84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3" t="str">
        <x:v>Cipla | FY27E SOTP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A3" s="2"/>
      <x:c r="B3" s="2"/>
      <x:c r="C3" s="4" t="str">
        <x:v>₹bn except per-share data | As of 1-Oct-2026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2"/>
      <x:c r="B5" s="2"/>
      <x:c r="C5" s="6" t="str">
        <x:v>FY27E revenue (₹bn)</x:v>
      </x:c>
      <x:c r="D5" s="11" t="n">
        <x:v>306.1</x:v>
      </x:c>
      <x:c r="E5" s="2"/>
      <x:c r="F5" s="6" t="str">
        <x:v>SOTP value/share (₹)</x:v>
      </x:c>
      <x:c r="G5" s="16" t="n">
        <x:f>J16</x:f>
        <x:v>1759.9737623762373</x:v>
      </x:c>
      <x:c r="H5" s="6" t="str">
        <x:v>Reference price (₹)</x:v>
      </x:c>
      <x:c r="I5" s="13" t="n">
        <x:v>1346.85</x:v>
      </x:c>
      <x:c r="J5" s="2"/>
      <x:c r="K5" s="2"/>
      <x:c r="L5" s="2"/>
      <x:c r="M5" s="2"/>
    </x:row>
    <x:row r="6" ht="21" customHeight="1">
      <x:c r="A6" s="2"/>
      <x:c r="B6" s="2"/>
      <x:c r="C6" s="6" t="str">
        <x:v>Rating</x:v>
      </x:c>
      <x:c r="D6" s="14" t="str">
        <x:v>Outperform</x:v>
      </x:c>
      <x:c r="E6" s="2"/>
      <x:c r="F6" s="6" t="str">
        <x:v>Upside</x:v>
      </x:c>
      <x:c r="G6" s="17" t="n">
        <x:f>G5/I5-1</x:f>
        <x:v>0.30673331282343064</x:v>
      </x:c>
      <x:c r="H6" s="6" t="str">
        <x:v>As of</x:v>
      </x:c>
      <x:c r="I6" s="10" t="d">
        <x:v>2026-10-01T00:00:00.000Z</x:v>
      </x:c>
      <x:c r="J6" s="2"/>
      <x:c r="K6" s="2"/>
      <x:c r="L6" s="2"/>
      <x:c r="M6" s="2"/>
    </x:row>
    <x:row r="7" ht="21" customHeight="1">
      <x:c r="A7" s="2"/>
      <x:c r="B7" s="2"/>
      <x:c r="C7" s="6" t="str">
        <x:v>Shares o/s (bn)</x:v>
      </x:c>
      <x:c r="D7" s="12" t="n">
        <x:v>0.808</x:v>
      </x:c>
      <x:c r="E7" s="2"/>
      <x:c r="F7" s="6" t="str">
        <x:v>Blended P/E (x)</x:v>
      </x:c>
      <x:c r="G7" s="18" t="n">
        <x:f>I16</x:f>
        <x:v>34.74588661874441</x:v>
      </x:c>
      <x:c r="H7" s="6" t="str">
        <x:v>Method</x:v>
      </x:c>
      <x:c r="I7" s="2" t="str">
        <x:v>FY27E P/E SOTP</x:v>
      </x:c>
      <x:c r="J7" s="2"/>
      <x:c r="K7" s="2"/>
      <x:c r="L7" s="2"/>
      <x:c r="M7" s="2"/>
    </x:row>
    <x:row r="8" ht="20" customHeight="1">
      <x:c r="A8" s="2"/>
      <x:c r="B8" s="2"/>
      <x:c r="C8" s="19" t="str">
        <x:v>PAT margins are analyst allocations calibrated to consolidated PAT; regional PAT is not company-disclosed.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1" customHeight="1">
      <x:c r="A9" s="2"/>
      <x:c r="B9" s="2"/>
      <x:c r="C9" s="22" t="str">
        <x:v>Regional earnings and valuation build</x:v>
      </x:c>
      <x:c r="D9" s="23"/>
      <x:c r="E9" s="23"/>
      <x:c r="F9" s="23"/>
      <x:c r="G9" s="23"/>
      <x:c r="H9" s="23"/>
      <x:c r="I9" s="23"/>
      <x:c r="J9" s="24"/>
      <x:c r="K9" s="2"/>
      <x:c r="L9" s="2"/>
      <x:c r="M9" s="2"/>
    </x:row>
    <x:row r="10" ht="28" customHeight="1">
      <x:c r="A10" s="2"/>
      <x:c r="B10" s="2"/>
      <x:c r="C10" s="33" t="str">
        <x:v>Segment</x:v>
      </x:c>
      <x:c r="D10" s="34" t="str">
        <x:v>FY27E revenue (₹bn)</x:v>
      </x:c>
      <x:c r="E10" s="34" t="str">
        <x:v>PAT margin</x:v>
      </x:c>
      <x:c r="F10" s="34" t="str">
        <x:v>FY27E PAT (₹bn)</x:v>
      </x:c>
      <x:c r="G10" s="34" t="str">
        <x:v>PAT share</x:v>
      </x:c>
      <x:c r="H10" s="34" t="str">
        <x:v>EPS contribution (₹)</x:v>
      </x:c>
      <x:c r="I10" s="34" t="str">
        <x:v>P/E (x)</x:v>
      </x:c>
      <x:c r="J10" s="35" t="str">
        <x:v>Value/share (₹)</x:v>
      </x:c>
      <x:c r="K10" s="2"/>
      <x:c r="L10" s="33" t="str">
        <x:v>Assumption rationale</x:v>
      </x:c>
      <x:c r="M10" s="35" t="str">
        <x:v>Source</x:v>
      </x:c>
    </x:row>
    <x:row r="11" ht="22" customHeight="1">
      <x:c r="A11" s="2"/>
      <x:c r="B11" s="2"/>
      <x:c r="C11" s="2" t="str">
        <x:v>India</x:v>
      </x:c>
      <x:c r="D11" s="11" t="n">
        <x:v>145</x:v>
      </x:c>
      <x:c r="E11" s="39" t="n">
        <x:v>0.175</x:v>
      </x:c>
      <x:c r="F11" s="7" t="n">
        <x:f>D11*E11</x:f>
        <x:v>25.375</x:v>
      </x:c>
      <x:c r="G11" s="36" t="n">
        <x:f>F11/F$16</x:f>
        <x:v>0.6200002932021093</x:v>
      </x:c>
      <x:c r="H11" s="7" t="n">
        <x:f>F11/$D$7</x:f>
        <x:v>31.404702970297027</x:v>
      </x:c>
      <x:c r="I11" s="40" t="n">
        <x:v>42</x:v>
      </x:c>
      <x:c r="J11" s="38" t="n">
        <x:f>H11*I11</x:f>
        <x:v>1318.997524752475</x:v>
      </x:c>
      <x:c r="K11" s="2"/>
      <x:c r="L11" s="42" t="str">
        <x:v>17.5%: respiratory and chronic leadership support margin and growth; central R&amp;D is allocated. 42x for core domestic earnings.</x:v>
      </x:c>
      <x:c r="M11" s="43" t="str">
        <x:v>C1-C3</x:v>
      </x:c>
    </x:row>
    <x:row r="12" ht="22" customHeight="1">
      <x:c r="A12" s="2"/>
      <x:c r="B12" s="2"/>
      <x:c r="C12" s="2" t="str">
        <x:v>North America</x:v>
      </x:c>
      <x:c r="D12" s="11" t="n">
        <x:v>68</x:v>
      </x:c>
      <x:c r="E12" s="39" t="n">
        <x:v>0.12</x:v>
      </x:c>
      <x:c r="F12" s="7" t="n">
        <x:f>D12*E12</x:f>
        <x:v>8.16</x:v>
      </x:c>
      <x:c r="G12" s="36" t="n">
        <x:f>F12/F$16</x:f>
        <x:v>0.1993774341883433</x:v>
      </x:c>
      <x:c r="H12" s="7" t="n">
        <x:f>F12/$D$7</x:f>
        <x:v>10.099009900990099</x:v>
      </x:c>
      <x:c r="I12" s="40" t="n">
        <x:v>24</x:v>
      </x:c>
      <x:c r="J12" s="38" t="n">
        <x:f>H12*I12</x:f>
        <x:v>242.3762376237624</x:v>
      </x:c>
      <x:c r="K12" s="2"/>
      <x:c r="L12" s="42" t="str">
        <x:v>12.0%: respiratory launches and limited competition offset gRevlimid decline and lanreotide disruption. 24x.</x:v>
      </x:c>
      <x:c r="M12" s="43" t="str">
        <x:v>C1, C2</x:v>
      </x:c>
    </x:row>
    <x:row r="13" ht="22" customHeight="1">
      <x:c r="A13" s="2"/>
      <x:c r="B13" s="2"/>
      <x:c r="C13" s="2" t="str">
        <x:v>One Africa</x:v>
      </x:c>
      <x:c r="D13" s="11" t="n">
        <x:v>42</x:v>
      </x:c>
      <x:c r="E13" s="39" t="n">
        <x:v>0.09</x:v>
      </x:c>
      <x:c r="F13" s="7" t="n">
        <x:f>D13*E13</x:f>
        <x:v>3.78</x:v>
      </x:c>
      <x:c r="G13" s="36" t="n">
        <x:f>F13/F$16</x:f>
        <x:v>0.09235866436665903</x:v>
      </x:c>
      <x:c r="H13" s="7" t="n">
        <x:f>F13/$D$7</x:f>
        <x:v>4.6782178217821775</x:v>
      </x:c>
      <x:c r="I13" s="40" t="n">
        <x:v>24</x:v>
      </x:c>
      <x:c r="J13" s="38" t="n">
        <x:f>H13*I13</x:f>
        <x:v>112.27722772277227</x:v>
      </x:c>
      <x:c r="K13" s="2"/>
      <x:c r="L13" s="42" t="str">
        <x:v>9.0%: private branded portfolio offsets lower-margin tenders and access business. 24x for steady branded growth.</x:v>
      </x:c>
      <x:c r="M13" s="43" t="str">
        <x:v>C1</x:v>
      </x:c>
    </x:row>
    <x:row r="14" ht="22" customHeight="1">
      <x:c r="A14" s="2"/>
      <x:c r="B14" s="2"/>
      <x:c r="C14" s="2" t="str">
        <x:v>Emerging Markets &amp; Europe</x:v>
      </x:c>
      <x:c r="D14" s="11" t="n">
        <x:v>44</x:v>
      </x:c>
      <x:c r="E14" s="39" t="n">
        <x:v>0.075</x:v>
      </x:c>
      <x:c r="F14" s="7" t="n">
        <x:f>D14*E14</x:f>
        <x:v>3.3</x:v>
      </x:c>
      <x:c r="G14" s="36" t="n">
        <x:f>F14/F$16</x:f>
        <x:v>0.08063058000263883</x:v>
      </x:c>
      <x:c r="H14" s="7" t="n">
        <x:f>F14/$D$7</x:f>
        <x:v>4.084158415841584</x:v>
      </x:c>
      <x:c r="I14" s="40" t="n">
        <x:v>20</x:v>
      </x:c>
      <x:c r="J14" s="38" t="n">
        <x:f>H14*I14</x:f>
        <x:v>81.68316831683168</x:v>
      </x:c>
      <x:c r="K14" s="2"/>
      <x:c r="L14" s="42" t="str">
        <x:v>7.5%: branded growth, tempered by FX, tenders and smaller scale. 20x.</x:v>
      </x:c>
      <x:c r="M14" s="43" t="str">
        <x:v>C1</x:v>
      </x:c>
    </x:row>
    <x:row r="15" ht="22" customHeight="1">
      <x:c r="A15" s="2"/>
      <x:c r="B15" s="2"/>
      <x:c r="C15" s="2" t="str">
        <x:v>API &amp; other</x:v>
      </x:c>
      <x:c r="D15" s="11" t="n">
        <x:v>7.1</x:v>
      </x:c>
      <x:c r="E15" s="39" t="n">
        <x:v>0.044</x:v>
      </x:c>
      <x:c r="F15" s="7" t="n">
        <x:f>D15*E15</x:f>
        <x:v>0.31239999999999996</x:v>
      </x:c>
      <x:c r="G15" s="36" t="n">
        <x:f>F15/F$16</x:f>
        <x:v>0.007633028240249809</x:v>
      </x:c>
      <x:c r="H15" s="7" t="n">
        <x:f>F15/$D$7</x:f>
        <x:v>0.38663366336633653</x:v>
      </x:c>
      <x:c r="I15" s="40" t="n">
        <x:v>12</x:v>
      </x:c>
      <x:c r="J15" s="38" t="n">
        <x:f>H15*I15</x:f>
        <x:v>4.639603960396038</x:v>
      </x:c>
      <x:c r="K15" s="2"/>
      <x:c r="L15" s="42" t="str">
        <x:v>4.4%: residual lower-margin API and other revenue. 12x.</x:v>
      </x:c>
      <x:c r="M15" s="43" t="str">
        <x:v>C1</x:v>
      </x:c>
    </x:row>
    <x:row r="16" ht="23" customHeight="1">
      <x:c r="A16" s="2"/>
      <x:c r="B16" s="2"/>
      <x:c r="C16" s="46" t="str">
        <x:v>Total / blended</x:v>
      </x:c>
      <x:c r="D16" s="47" t="n">
        <x:f>SUM(D11:D15)</x:f>
        <x:v>306.1</x:v>
      </x:c>
      <x:c r="E16" s="48" t="n">
        <x:f>F16/D16</x:f>
        <x:v>0.13370597843841878</x:v>
      </x:c>
      <x:c r="F16" s="47" t="n">
        <x:f>SUM(F11:F15)</x:f>
        <x:v>40.92739999999999</x:v>
      </x:c>
      <x:c r="G16" s="48" t="n">
        <x:f>SUM(G11:G15)</x:f>
        <x:v>1.0000000000000002</x:v>
      </x:c>
      <x:c r="H16" s="47" t="n">
        <x:f>SUM(H11:H15)</x:f>
        <x:v>50.65272277227723</x:v>
      </x:c>
      <x:c r="I16" s="49" t="n">
        <x:f>J16/H16</x:f>
        <x:v>34.74588661874441</x:v>
      </x:c>
      <x:c r="J16" s="50" t="n">
        <x:f>SUM(J11:J15)</x:f>
        <x:v>1759.9737623762373</x:v>
      </x:c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2" t="str">
        <x:v>EPS triangulation and model checks</x:v>
      </x:c>
      <x:c r="D20" s="23"/>
      <x:c r="E20" s="23"/>
      <x:c r="F20" s="23"/>
      <x:c r="G20" s="23"/>
      <x:c r="H20" s="23"/>
      <x:c r="I20" s="24"/>
      <x:c r="J20" s="2"/>
      <x:c r="K20" s="2"/>
      <x:c r="L20" s="2"/>
      <x:c r="M20" s="2"/>
    </x:row>
    <x:row r="21">
      <x:c r="A21" s="2"/>
      <x:c r="B21" s="2"/>
      <x:c r="C21" s="6" t="str">
        <x:v>PAT from segments (₹bn)</x:v>
      </x:c>
      <x:c r="D21" s="51" t="n">
        <x:f>F16</x:f>
        <x:v>40.92739999999999</x:v>
      </x:c>
      <x:c r="E21" s="2"/>
      <x:c r="F21" s="6" t="str">
        <x:v>Segment revenue sum</x:v>
      </x:c>
      <x:c r="G21" s="51" t="n">
        <x:f>D16</x:f>
        <x:v>306.1</x:v>
      </x:c>
      <x:c r="H21" s="2"/>
      <x:c r="I21" s="2"/>
      <x:c r="J21" s="2"/>
      <x:c r="K21" s="2"/>
      <x:c r="L21" s="2"/>
      <x:c r="M21" s="2"/>
    </x:row>
    <x:row r="22">
      <x:c r="A22" s="2"/>
      <x:c r="B22" s="2"/>
      <x:c r="C22" s="6" t="str">
        <x:v>EPS from segments (₹)</x:v>
      </x:c>
      <x:c r="D22" s="51" t="n">
        <x:f>H16</x:f>
        <x:v>50.65272277227723</x:v>
      </x:c>
      <x:c r="E22" s="2"/>
      <x:c r="F22" s="6" t="str">
        <x:v>Consolidated revenue</x:v>
      </x:c>
      <x:c r="G22" s="52" t="n">
        <x:v>306.1</x:v>
      </x:c>
      <x:c r="H22" s="2"/>
      <x:c r="I22" s="2"/>
      <x:c r="J22" s="2"/>
      <x:c r="K22" s="2"/>
      <x:c r="L22" s="2"/>
      <x:c r="M22" s="2"/>
    </x:row>
    <x:row r="23">
      <x:c r="A23" s="2"/>
      <x:c r="B23" s="2"/>
      <x:c r="C23" s="6" t="str">
        <x:v>Consolidated FY27E EPS (₹)</x:v>
      </x:c>
      <x:c r="D23" s="52" t="n">
        <x:v>50.7</x:v>
      </x:c>
      <x:c r="E23" s="2"/>
      <x:c r="F23" s="6" t="str">
        <x:v>Revenue difference</x:v>
      </x:c>
      <x:c r="G23" s="51" t="n">
        <x:f>G21-G22</x:f>
        <x:v>0</x:v>
      </x:c>
      <x:c r="H23" s="2"/>
      <x:c r="I23" s="2"/>
      <x:c r="J23" s="2"/>
      <x:c r="K23" s="2"/>
      <x:c r="L23" s="2"/>
      <x:c r="M23" s="2"/>
    </x:row>
    <x:row r="24">
      <x:c r="A24" s="2"/>
      <x:c r="B24" s="2"/>
      <x:c r="C24" s="6" t="str">
        <x:v>EPS difference (₹)</x:v>
      </x:c>
      <x:c r="D24" s="51" t="n">
        <x:f>D22-D23</x:f>
        <x:v>-0.04727722772277332</x:v>
      </x:c>
      <x:c r="E24" s="2"/>
      <x:c r="F24" s="6" t="str">
        <x:v>Check</x:v>
      </x:c>
      <x:c r="G24" s="53" t="str">
        <x:f>IF(AND(ABS(D24)&lt;0.1,ABS(G23)&lt;0.2),"OK","Review")</x:f>
        <x:v>OK</x:v>
      </x:c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2" t="str">
        <x:v>Sources and calibration</x:v>
      </x:c>
      <x:c r="D27" s="23"/>
      <x:c r="E27" s="23"/>
      <x:c r="F27" s="23"/>
      <x:c r="G27" s="23"/>
      <x:c r="H27" s="23"/>
      <x:c r="I27" s="23"/>
      <x:c r="J27" s="23"/>
      <x:c r="K27" s="23"/>
      <x:c r="L27" s="23"/>
      <x:c r="M27" s="24"/>
    </x:row>
    <x:row r="28" ht="21" customHeight="1">
      <x:c r="A28" s="2"/>
      <x:c r="B28" s="2"/>
      <x:c r="C28" s="54" t="str">
        <x:v>C1</x:v>
      </x:c>
      <x:c r="D28" s="41" t="str">
        <x:v>Cipla Q1 FY27 press release: segment sales and Q1 P&amp;L, 23-Jul-2026</x:v>
      </x:c>
      <x:c r="E28" s="2"/>
      <x:c r="F28" s="2"/>
      <x:c r="G28" s="2"/>
      <x:c r="H28" s="2"/>
      <x:c r="I28" s="2"/>
      <x:c r="J28" s="2"/>
      <x:c r="K28" s="2"/>
      <x:c r="L28" s="55" t="str">
        <x:v>https://bazaarwatch.com/announcement/20714/cipla-limited-press-release</x:v>
      </x:c>
      <x:c r="M28" s="2"/>
    </x:row>
    <x:row r="29" ht="21" customHeight="1">
      <x:c r="A29" s="2"/>
      <x:c r="B29" s="2"/>
      <x:c r="C29" s="54" t="str">
        <x:v>C2</x:v>
      </x:c>
      <x:c r="D29" s="41" t="str">
        <x:v>Reuters: gRevlimid decline, lanreotide disruption and respiratory pipeline, 23-Jul-2026</x:v>
      </x:c>
      <x:c r="E29" s="2"/>
      <x:c r="F29" s="2"/>
      <x:c r="G29" s="2"/>
      <x:c r="H29" s="2"/>
      <x:c r="I29" s="2"/>
      <x:c r="J29" s="2"/>
      <x:c r="K29" s="2"/>
      <x:c r="L29" s="55" t="str">
        <x:v>https://www.reuters.com/business/healthcare-pharmaceuticals/indian-drugmaker-ciplas-q1-profit-misses-estimates-2026-07-23/</x:v>
      </x:c>
      <x:c r="M29" s="2"/>
    </x:row>
    <x:row r="30" ht="21" customHeight="1">
      <x:c r="A30" s="2"/>
      <x:c r="B30" s="2"/>
      <x:c r="C30" s="54" t="str">
        <x:v>C3</x:v>
      </x:c>
      <x:c r="D30" s="41" t="str">
        <x:v>Prabhudas Lilladher: FY27E sales ₹306.1bn and PAT ₹40.9bn calibration, 14-May-2026</x:v>
      </x:c>
      <x:c r="E30" s="2"/>
      <x:c r="F30" s="2"/>
      <x:c r="G30" s="2"/>
      <x:c r="H30" s="2"/>
      <x:c r="I30" s="2"/>
      <x:c r="J30" s="2"/>
      <x:c r="K30" s="2"/>
      <x:c r="L30" s="55" t="str">
        <x:v>https://images.moneycontrol.com/static-mcnews/2026/05/20260514050917_Cipla-1405026-prabhu.pdf</x:v>
      </x:c>
      <x:c r="M30" s="2"/>
    </x:row>
    <x:row r="31" ht="21" customHeight="1">
      <x:c r="A31" s="2"/>
      <x:c r="B31" s="2"/>
      <x:c r="C31" s="54" t="str">
        <x:v>C4</x:v>
      </x:c>
      <x:c r="D31" s="41" t="str">
        <x:v>Business Standard: Cipla reference price, 1-Oct-2026</x:v>
      </x:c>
      <x:c r="E31" s="2"/>
      <x:c r="F31" s="2"/>
      <x:c r="G31" s="2"/>
      <x:c r="H31" s="2"/>
      <x:c r="I31" s="2"/>
      <x:c r="J31" s="2"/>
      <x:c r="K31" s="2"/>
      <x:c r="L31" s="55" t="str">
        <x:v>https://www.business-standard.com/markets/cipla-ltd-share-price-114.html</x:v>
      </x:c>
      <x:c r="M31" s="2"/>
    </x:row>
    <x:row r="32" ht="21" customHeight="1">
      <x:c r="A32" s="2"/>
      <x:c r="B32" s="2"/>
      <x:c r="C32" s="54" t="str">
        <x:v>C5</x:v>
      </x:c>
      <x:c r="D32" s="41" t="str">
        <x:v>StockAnalysis: 807.8m shares outstanding</x:v>
      </x:c>
      <x:c r="E32" s="2"/>
      <x:c r="F32" s="2"/>
      <x:c r="G32" s="2"/>
      <x:c r="H32" s="2"/>
      <x:c r="I32" s="2"/>
      <x:c r="J32" s="2"/>
      <x:c r="K32" s="2"/>
      <x:c r="L32" s="55" t="str">
        <x:v>https://stockanalysis.com/quote/nse/CIPLA/statistics/</x:v>
      </x:c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56" t="str">
        <x:v>Model convention: blue font = analyst input; black font = formula. Regional margins allocate consolidated PAT and are not company-reported.</x:v>
      </x:c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conditionalFormatting sqref="D24:D24">
    <x:cfRule type="expression" dxfId="6" priority="1">
      <x:formula>ABS(D24)&gt;=0.1</x:formula>
    </x:cfRule>
  </x:conditionalFormatting>
  <x:conditionalFormatting sqref="G23:G23">
    <x:cfRule type="expression" dxfId="7" priority="2">
      <x:formula>ABS(G23)&gt;=0.2</x:formula>
    </x:cfRule>
  </x:conditionalFormatting>
  <x:conditionalFormatting sqref="G24:G24">
    <x:cfRule type="containsText" dxfId="8" priority="3" operator="containsText" text="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13" hidden="0" customWidth="1"/>
    <x:col min="8" max="8" width="16" hidden="0" customWidth="1"/>
    <x:col min="9" max="9" width="11" hidden="0" customWidth="1"/>
    <x:col min="10" max="10" width="17" hidden="0" customWidth="1"/>
    <x:col min="11" max="11" width="3" hidden="0" customWidth="1"/>
    <x:col min="12" max="12" width="84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3" t="str">
        <x:v>Torrent Pharmaceuticals | FY27E SOTP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A3" s="2"/>
      <x:c r="B3" s="2"/>
      <x:c r="C3" s="4" t="str">
        <x:v>₹bn except per-share data | As of 1-Oct-2026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2"/>
      <x:c r="B5" s="2"/>
      <x:c r="C5" s="6" t="str">
        <x:v>FY27E revenue (₹bn)</x:v>
      </x:c>
      <x:c r="D5" s="11" t="n">
        <x:v>191</x:v>
      </x:c>
      <x:c r="E5" s="2"/>
      <x:c r="F5" s="6" t="str">
        <x:v>SOTP value/share (₹)</x:v>
      </x:c>
      <x:c r="G5" s="16" t="n">
        <x:f>J16</x:f>
        <x:v>5508.947368421052</x:v>
      </x:c>
      <x:c r="H5" s="6" t="str">
        <x:v>Reference price (₹)</x:v>
      </x:c>
      <x:c r="I5" s="13" t="n">
        <x:v>4761.95</x:v>
      </x:c>
      <x:c r="J5" s="2"/>
      <x:c r="K5" s="2"/>
      <x:c r="L5" s="2"/>
      <x:c r="M5" s="2"/>
    </x:row>
    <x:row r="6" ht="21" customHeight="1">
      <x:c r="A6" s="2"/>
      <x:c r="B6" s="2"/>
      <x:c r="C6" s="6" t="str">
        <x:v>Rating</x:v>
      </x:c>
      <x:c r="D6" s="14" t="str">
        <x:v>Outperform</x:v>
      </x:c>
      <x:c r="E6" s="2"/>
      <x:c r="F6" s="6" t="str">
        <x:v>Upside</x:v>
      </x:c>
      <x:c r="G6" s="17" t="n">
        <x:f>G5/I5-1</x:f>
        <x:v>0.1568679571228282</x:v>
      </x:c>
      <x:c r="H6" s="6" t="str">
        <x:v>As of</x:v>
      </x:c>
      <x:c r="I6" s="10" t="d">
        <x:v>2026-10-01T00:00:00.000Z</x:v>
      </x:c>
      <x:c r="J6" s="2"/>
      <x:c r="K6" s="2"/>
      <x:c r="L6" s="2"/>
      <x:c r="M6" s="2"/>
    </x:row>
    <x:row r="7" ht="21" customHeight="1">
      <x:c r="A7" s="2"/>
      <x:c r="B7" s="2"/>
      <x:c r="C7" s="6" t="str">
        <x:v>Shares o/s (bn)</x:v>
      </x:c>
      <x:c r="D7" s="12" t="n">
        <x:v>0.38</x:v>
      </x:c>
      <x:c r="E7" s="2"/>
      <x:c r="F7" s="6" t="str">
        <x:v>Blended P/E (x)</x:v>
      </x:c>
      <x:c r="G7" s="18" t="n">
        <x:f>I16</x:f>
        <x:v>69.71028971028971</x:v>
      </x:c>
      <x:c r="H7" s="6" t="str">
        <x:v>Method</x:v>
      </x:c>
      <x:c r="I7" s="2" t="str">
        <x:v>FY27E P/E SOTP</x:v>
      </x:c>
      <x:c r="J7" s="2"/>
      <x:c r="K7" s="2"/>
      <x:c r="L7" s="2"/>
      <x:c r="M7" s="2"/>
    </x:row>
    <x:row r="8" ht="20" customHeight="1">
      <x:c r="A8" s="2"/>
      <x:c r="B8" s="2"/>
      <x:c r="C8" s="19" t="str">
        <x:v>PAT margins are analyst allocations calibrated to consolidated PAT; regional PAT is not company-disclosed.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1" customHeight="1">
      <x:c r="A9" s="2"/>
      <x:c r="B9" s="2"/>
      <x:c r="C9" s="22" t="str">
        <x:v>Regional earnings and valuation build</x:v>
      </x:c>
      <x:c r="D9" s="23"/>
      <x:c r="E9" s="23"/>
      <x:c r="F9" s="23"/>
      <x:c r="G9" s="23"/>
      <x:c r="H9" s="23"/>
      <x:c r="I9" s="23"/>
      <x:c r="J9" s="24"/>
      <x:c r="K9" s="2"/>
      <x:c r="L9" s="2"/>
      <x:c r="M9" s="2"/>
    </x:row>
    <x:row r="10" ht="28" customHeight="1">
      <x:c r="A10" s="2"/>
      <x:c r="B10" s="2"/>
      <x:c r="C10" s="33" t="str">
        <x:v>Segment</x:v>
      </x:c>
      <x:c r="D10" s="34" t="str">
        <x:v>FY27E revenue (₹bn)</x:v>
      </x:c>
      <x:c r="E10" s="34" t="str">
        <x:v>PAT margin</x:v>
      </x:c>
      <x:c r="F10" s="34" t="str">
        <x:v>FY27E PAT (₹bn)</x:v>
      </x:c>
      <x:c r="G10" s="34" t="str">
        <x:v>PAT share</x:v>
      </x:c>
      <x:c r="H10" s="34" t="str">
        <x:v>EPS contribution (₹)</x:v>
      </x:c>
      <x:c r="I10" s="34" t="str">
        <x:v>P/E (x)</x:v>
      </x:c>
      <x:c r="J10" s="35" t="str">
        <x:v>Value/share (₹)</x:v>
      </x:c>
      <x:c r="K10" s="2"/>
      <x:c r="L10" s="33" t="str">
        <x:v>Assumption rationale</x:v>
      </x:c>
      <x:c r="M10" s="35" t="str">
        <x:v>Source</x:v>
      </x:c>
    </x:row>
    <x:row r="11" ht="22" customHeight="1">
      <x:c r="A11" s="2"/>
      <x:c r="B11" s="2"/>
      <x:c r="C11" s="2" t="str">
        <x:v>India incl. JB domestic</x:v>
      </x:c>
      <x:c r="D11" s="11" t="n">
        <x:v>120</x:v>
      </x:c>
      <x:c r="E11" s="39" t="n">
        <x:v>0.2</x:v>
      </x:c>
      <x:c r="F11" s="7" t="n">
        <x:f>D11*E11</x:f>
        <x:v>24</x:v>
      </x:c>
      <x:c r="G11" s="36" t="n">
        <x:f>F11/F$16</x:f>
        <x:v>0.7992007992007991</x:v>
      </x:c>
      <x:c r="H11" s="7" t="n">
        <x:f>F11/$D$7</x:f>
        <x:v>63.1578947368421</x:v>
      </x:c>
      <x:c r="I11" s="40" t="n">
        <x:v>80</x:v>
      </x:c>
      <x:c r="J11" s="38" t="n">
        <x:f>H11*I11</x:f>
        <x:v>5052.631578947368</x:v>
      </x:c>
      <x:c r="K11" s="2"/>
      <x:c r="L11" s="42" t="str">
        <x:v>20.0%: chronic leadership plus JB synergies support premium earnings. 80x is the key sensitivity: ±10x changes value by ~₹632/share.</x:v>
      </x:c>
      <x:c r="M11" s="43" t="str">
        <x:v>T1-T3</x:v>
      </x:c>
    </x:row>
    <x:row r="12" ht="22" customHeight="1">
      <x:c r="A12" s="2"/>
      <x:c r="B12" s="2"/>
      <x:c r="C12" s="2" t="str">
        <x:v>Brazil</x:v>
      </x:c>
      <x:c r="D12" s="11" t="n">
        <x:v>12</x:v>
      </x:c>
      <x:c r="E12" s="39" t="n">
        <x:v>0.15</x:v>
      </x:c>
      <x:c r="F12" s="7" t="n">
        <x:f>D12*E12</x:f>
        <x:v>1.7999999999999998</x:v>
      </x:c>
      <x:c r="G12" s="36" t="n">
        <x:f>F12/F$16</x:f>
        <x:v>0.05994005994005993</x:v>
      </x:c>
      <x:c r="H12" s="7" t="n">
        <x:f>F12/$D$7</x:f>
        <x:v>4.7368421052631575</x:v>
      </x:c>
      <x:c r="I12" s="40" t="n">
        <x:v>36</x:v>
      </x:c>
      <x:c r="J12" s="38" t="n">
        <x:f>H12*I12</x:f>
        <x:v>170.52631578947367</x:v>
      </x:c>
      <x:c r="K12" s="2"/>
      <x:c r="L12" s="42" t="str">
        <x:v>15.0%: branded demand and strong secondary growth; FX and channel risk cap the multiple at 36x.</x:v>
      </x:c>
      <x:c r="M12" s="43" t="str">
        <x:v>T1, T2</x:v>
      </x:c>
    </x:row>
    <x:row r="13" ht="22" customHeight="1">
      <x:c r="A13" s="2"/>
      <x:c r="B13" s="2"/>
      <x:c r="C13" s="2" t="str">
        <x:v>US</x:v>
      </x:c>
      <x:c r="D13" s="11" t="n">
        <x:v>17</x:v>
      </x:c>
      <x:c r="E13" s="39" t="n">
        <x:v>0.03</x:v>
      </x:c>
      <x:c r="F13" s="7" t="n">
        <x:f>D13*E13</x:f>
        <x:v>0.51</x:v>
      </x:c>
      <x:c r="G13" s="36" t="n">
        <x:f>F13/F$16</x:f>
        <x:v>0.016983016983016984</x:v>
      </x:c>
      <x:c r="H13" s="7" t="n">
        <x:f>F13/$D$7</x:f>
        <x:v>1.3421052631578947</x:v>
      </x:c>
      <x:c r="I13" s="40" t="n">
        <x:v>20</x:v>
      </x:c>
      <x:c r="J13" s="38" t="n">
        <x:f>H13*I13</x:f>
        <x:v>26.842105263157894</x:v>
      </x:c>
      <x:c r="K13" s="2"/>
      <x:c r="L13" s="42" t="str">
        <x:v>3.0%: business turns profitable after five loss-making years, but visibility remains limited. 20x.</x:v>
      </x:c>
      <x:c r="M13" s="43" t="str">
        <x:v>T1, T2</x:v>
      </x:c>
    </x:row>
    <x:row r="14" ht="22" customHeight="1">
      <x:c r="A14" s="2"/>
      <x:c r="B14" s="2"/>
      <x:c r="C14" s="2" t="str">
        <x:v>Germany</x:v>
      </x:c>
      <x:c r="D14" s="11" t="n">
        <x:v>12</x:v>
      </x:c>
      <x:c r="E14" s="39" t="n">
        <x:v>0.06</x:v>
      </x:c>
      <x:c r="F14" s="7" t="n">
        <x:f>D14*E14</x:f>
        <x:v>0.72</x:v>
      </x:c>
      <x:c r="G14" s="36" t="n">
        <x:f>F14/F$16</x:f>
        <x:v>0.023976023976023973</x:v>
      </x:c>
      <x:c r="H14" s="7" t="n">
        <x:f>F14/$D$7</x:f>
        <x:v>1.894736842105263</x:v>
      </x:c>
      <x:c r="I14" s="40" t="n">
        <x:v>20</x:v>
      </x:c>
      <x:c r="J14" s="38" t="n">
        <x:f>H14*I14</x:f>
        <x:v>37.89473684210526</x:v>
      </x:c>
      <x:c r="K14" s="2"/>
      <x:c r="L14" s="42" t="str">
        <x:v>6.0%: supplier disruption and tender pressure weigh on profitability. 20x for a mature regulated market.</x:v>
      </x:c>
      <x:c r="M14" s="43" t="str">
        <x:v>T1, T2</x:v>
      </x:c>
    </x:row>
    <x:row r="15" ht="22" customHeight="1">
      <x:c r="A15" s="2"/>
      <x:c r="B15" s="2"/>
      <x:c r="C15" s="2" t="str">
        <x:v>Other international &amp; CDMO</x:v>
      </x:c>
      <x:c r="D15" s="11" t="n">
        <x:v>30</x:v>
      </x:c>
      <x:c r="E15" s="39" t="n">
        <x:v>0.1</x:v>
      </x:c>
      <x:c r="F15" s="7" t="n">
        <x:f>D15*E15</x:f>
        <x:v>3</x:v>
      </x:c>
      <x:c r="G15" s="36" t="n">
        <x:f>F15/F$16</x:f>
        <x:v>0.09990009990009989</x:v>
      </x:c>
      <x:c r="H15" s="7" t="n">
        <x:f>F15/$D$7</x:f>
        <x:v>7.894736842105263</x:v>
      </x:c>
      <x:c r="I15" s="40" t="n">
        <x:v>28</x:v>
      </x:c>
      <x:c r="J15" s="38" t="n">
        <x:f>H15*I15</x:f>
        <x:v>221.05263157894737</x:v>
      </x:c>
      <x:c r="K15" s="2"/>
      <x:c r="L15" s="42" t="str">
        <x:v>10.0%: JB international/CDMO plus RoW; diversified growth, but mixed earnings quality. 28x.</x:v>
      </x:c>
      <x:c r="M15" s="43" t="str">
        <x:v>T1-T3</x:v>
      </x:c>
    </x:row>
    <x:row r="16" ht="23" customHeight="1">
      <x:c r="A16" s="2"/>
      <x:c r="B16" s="2"/>
      <x:c r="C16" s="46" t="str">
        <x:v>Total / blended</x:v>
      </x:c>
      <x:c r="D16" s="47" t="n">
        <x:f>SUM(D11:D15)</x:f>
        <x:v>191</x:v>
      </x:c>
      <x:c r="E16" s="48" t="n">
        <x:f>F16/D16</x:f>
        <x:v>0.15722513089005236</x:v>
      </x:c>
      <x:c r="F16" s="47" t="n">
        <x:f>SUM(F11:F15)</x:f>
        <x:v>30.03</x:v>
      </x:c>
      <x:c r="G16" s="48" t="n">
        <x:f>SUM(G11:G15)</x:f>
        <x:v>0.9999999999999998</x:v>
      </x:c>
      <x:c r="H16" s="47" t="n">
        <x:f>SUM(H11:H15)</x:f>
        <x:v>79.02631578947367</x:v>
      </x:c>
      <x:c r="I16" s="49" t="n">
        <x:f>J16/H16</x:f>
        <x:v>69.71028971028971</x:v>
      </x:c>
      <x:c r="J16" s="50" t="n">
        <x:f>SUM(J11:J15)</x:f>
        <x:v>5508.947368421052</x:v>
      </x:c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2" t="str">
        <x:v>EPS triangulation and model checks</x:v>
      </x:c>
      <x:c r="D20" s="23"/>
      <x:c r="E20" s="23"/>
      <x:c r="F20" s="23"/>
      <x:c r="G20" s="23"/>
      <x:c r="H20" s="23"/>
      <x:c r="I20" s="24"/>
      <x:c r="J20" s="2"/>
      <x:c r="K20" s="2"/>
      <x:c r="L20" s="2"/>
      <x:c r="M20" s="2"/>
    </x:row>
    <x:row r="21">
      <x:c r="A21" s="2"/>
      <x:c r="B21" s="2"/>
      <x:c r="C21" s="6" t="str">
        <x:v>PAT from segments (₹bn)</x:v>
      </x:c>
      <x:c r="D21" s="51" t="n">
        <x:f>F16</x:f>
        <x:v>30.03</x:v>
      </x:c>
      <x:c r="E21" s="2"/>
      <x:c r="F21" s="6" t="str">
        <x:v>Segment revenue sum</x:v>
      </x:c>
      <x:c r="G21" s="51" t="n">
        <x:f>D16</x:f>
        <x:v>191</x:v>
      </x:c>
      <x:c r="H21" s="2"/>
      <x:c r="I21" s="2"/>
      <x:c r="J21" s="2"/>
      <x:c r="K21" s="2"/>
      <x:c r="L21" s="2"/>
      <x:c r="M21" s="2"/>
    </x:row>
    <x:row r="22">
      <x:c r="A22" s="2"/>
      <x:c r="B22" s="2"/>
      <x:c r="C22" s="6" t="str">
        <x:v>EPS from segments (₹)</x:v>
      </x:c>
      <x:c r="D22" s="51" t="n">
        <x:f>H16</x:f>
        <x:v>79.02631578947367</x:v>
      </x:c>
      <x:c r="E22" s="2"/>
      <x:c r="F22" s="6" t="str">
        <x:v>Consolidated revenue</x:v>
      </x:c>
      <x:c r="G22" s="52" t="n">
        <x:v>191</x:v>
      </x:c>
      <x:c r="H22" s="2"/>
      <x:c r="I22" s="2"/>
      <x:c r="J22" s="2"/>
      <x:c r="K22" s="2"/>
      <x:c r="L22" s="2"/>
      <x:c r="M22" s="2"/>
    </x:row>
    <x:row r="23">
      <x:c r="A23" s="2"/>
      <x:c r="B23" s="2"/>
      <x:c r="C23" s="6" t="str">
        <x:v>Consolidated FY27E EPS (₹)</x:v>
      </x:c>
      <x:c r="D23" s="52" t="n">
        <x:v>79</x:v>
      </x:c>
      <x:c r="E23" s="2"/>
      <x:c r="F23" s="6" t="str">
        <x:v>Revenue difference</x:v>
      </x:c>
      <x:c r="G23" s="51" t="n">
        <x:f>G21-G22</x:f>
        <x:v>0</x:v>
      </x:c>
      <x:c r="H23" s="2"/>
      <x:c r="I23" s="2"/>
      <x:c r="J23" s="2"/>
      <x:c r="K23" s="2"/>
      <x:c r="L23" s="2"/>
      <x:c r="M23" s="2"/>
    </x:row>
    <x:row r="24">
      <x:c r="A24" s="2"/>
      <x:c r="B24" s="2"/>
      <x:c r="C24" s="6" t="str">
        <x:v>EPS difference (₹)</x:v>
      </x:c>
      <x:c r="D24" s="51" t="n">
        <x:f>D22-D23</x:f>
        <x:v>0.026315789473670748</x:v>
      </x:c>
      <x:c r="E24" s="2"/>
      <x:c r="F24" s="6" t="str">
        <x:v>Check</x:v>
      </x:c>
      <x:c r="G24" s="53" t="str">
        <x:f>IF(AND(ABS(D24)&lt;0.1,ABS(G23)&lt;0.2),"OK","Review")</x:f>
        <x:v>OK</x:v>
      </x:c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2" t="str">
        <x:v>Sources and calibration</x:v>
      </x:c>
      <x:c r="D27" s="23"/>
      <x:c r="E27" s="23"/>
      <x:c r="F27" s="23"/>
      <x:c r="G27" s="23"/>
      <x:c r="H27" s="23"/>
      <x:c r="I27" s="23"/>
      <x:c r="J27" s="23"/>
      <x:c r="K27" s="23"/>
      <x:c r="L27" s="23"/>
      <x:c r="M27" s="24"/>
    </x:row>
    <x:row r="28" ht="21" customHeight="1">
      <x:c r="A28" s="2"/>
      <x:c r="B28" s="2"/>
      <x:c r="C28" s="54" t="str">
        <x:v>T1</x:v>
      </x:c>
      <x:c r="D28" s="41" t="str">
        <x:v>Torrent Q1 FY27 call: ₹49.21bn revenue, JB contribution, segment growth and synergies</x:v>
      </x:c>
      <x:c r="E28" s="2"/>
      <x:c r="F28" s="2"/>
      <x:c r="G28" s="2"/>
      <x:c r="H28" s="2"/>
      <x:c r="I28" s="2"/>
      <x:c r="J28" s="2"/>
      <x:c r="K28" s="2"/>
      <x:c r="L28" s="55" t="str">
        <x:v>https://www.investorstack.in/earnings-calls/torntpharm</x:v>
      </x:c>
      <x:c r="M28" s="2"/>
    </x:row>
    <x:row r="29" ht="21" customHeight="1">
      <x:c r="A29" s="2"/>
      <x:c r="B29" s="2"/>
      <x:c r="C29" s="54" t="str">
        <x:v>T2</x:v>
      </x:c>
      <x:c r="D29" s="41" t="str">
        <x:v>Financial Express: Q1 FY27 PAT and Brazil/US/Germany revenue, 30-Jul-2026</x:v>
      </x:c>
      <x:c r="E29" s="2"/>
      <x:c r="F29" s="2"/>
      <x:c r="G29" s="2"/>
      <x:c r="H29" s="2"/>
      <x:c r="I29" s="2"/>
      <x:c r="J29" s="2"/>
      <x:c r="K29" s="2"/>
      <x:c r="L29" s="55" t="str">
        <x:v>https://www.financialexpress.com/business/industry/torrent-pharma-q1-results-net-profit-up-3-revenue-surges-55nbsp/4306637/lite/</x:v>
      </x:c>
      <x:c r="M29" s="2"/>
    </x:row>
    <x:row r="30" ht="21" customHeight="1">
      <x:c r="A30" s="2"/>
      <x:c r="B30" s="2"/>
      <x:c r="C30" s="54" t="str">
        <x:v>T3</x:v>
      </x:c>
      <x:c r="D30" s="41" t="str">
        <x:v>Torrent Pharma FY26 annual report and JB transaction context</x:v>
      </x:c>
      <x:c r="E30" s="2"/>
      <x:c r="F30" s="2"/>
      <x:c r="G30" s="2"/>
      <x:c r="H30" s="2"/>
      <x:c r="I30" s="2"/>
      <x:c r="J30" s="2"/>
      <x:c r="K30" s="2"/>
      <x:c r="L30" s="55" t="str">
        <x:v>https://www.torrentpharma.com/pdf/investors/AR-2025-26.pdf</x:v>
      </x:c>
      <x:c r="M30" s="2"/>
    </x:row>
    <x:row r="31" ht="21" customHeight="1">
      <x:c r="A31" s="2"/>
      <x:c r="B31" s="2"/>
      <x:c r="C31" s="54" t="str">
        <x:v>T4</x:v>
      </x:c>
      <x:c r="D31" s="41" t="str">
        <x:v>Business Standard: Torrent Pharma reference price, 1-Oct-2026</x:v>
      </x:c>
      <x:c r="E31" s="2"/>
      <x:c r="F31" s="2"/>
      <x:c r="G31" s="2"/>
      <x:c r="H31" s="2"/>
      <x:c r="I31" s="2"/>
      <x:c r="J31" s="2"/>
      <x:c r="K31" s="2"/>
      <x:c r="L31" s="55" t="str">
        <x:v>https://www.business-standard.com/markets/torrent-pharmaceuticals-ltd-share-price-3616.html</x:v>
      </x:c>
      <x:c r="M31" s="2"/>
    </x:row>
    <x:row r="32" ht="21" customHeight="1">
      <x:c r="A32" s="2"/>
      <x:c r="B32" s="2"/>
      <x:c r="C32" s="54" t="str">
        <x:v>T5</x:v>
      </x:c>
      <x:c r="D32" s="41" t="str">
        <x:v>Post-merger allotment: 41.922m new shares issued for JB merger, 20-Jul-2026</x:v>
      </x:c>
      <x:c r="E32" s="2"/>
      <x:c r="F32" s="2"/>
      <x:c r="G32" s="2"/>
      <x:c r="H32" s="2"/>
      <x:c r="I32" s="2"/>
      <x:c r="J32" s="2"/>
      <x:c r="K32" s="2"/>
      <x:c r="L32" s="55" t="str">
        <x:v>https://news.tulsian.ai/news/company-news/torrent-pharma-allots-41-9-crore-shares-for-jb-chemicals-mer.html</x:v>
      </x:c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56" t="str">
        <x:v>Model convention: blue font = analyst input; black font = formula. Regional margins allocate consolidated PAT and are not company-reported.</x:v>
      </x:c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conditionalFormatting sqref="D24:D24">
    <x:cfRule type="expression" dxfId="9" priority="1">
      <x:formula>ABS(D24)&gt;=0.1</x:formula>
    </x:cfRule>
  </x:conditionalFormatting>
  <x:conditionalFormatting sqref="G23:G23">
    <x:cfRule type="expression" dxfId="10" priority="2">
      <x:formula>ABS(G23)&gt;=0.2</x:formula>
    </x:cfRule>
  </x:conditionalFormatting>
  <x:conditionalFormatting sqref="G24:G24">
    <x:cfRule type="containsText" dxfId="11" priority="3" operator="containsText" text="Review"/>
  </x:conditionalFormatting>
  <x:pageMargins left="0.7" right="0.7" top="0.75" bottom="0.75" header="0.3" footer="0.3"/>
</x:worksheet>
</file>