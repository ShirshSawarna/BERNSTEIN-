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f4dc8121cd4bbf" /></Relationships>
</file>

<file path=xl/workbook.xml><?xml version="1.0" encoding="utf-8"?>
<x:workbook xmlns:x="http://schemas.openxmlformats.org/spreadsheetml/2006/main">
  <x:sheets>
    <x:sheet xmlns:r="http://schemas.openxmlformats.org/officeDocument/2006/relationships" name="Chart data" sheetId="1" r:id="Rf402a8d4936e4808"/>
    <x:sheet xmlns:r="http://schemas.openxmlformats.org/officeDocument/2006/relationships" name="Trial audit" sheetId="2" r:id="R05d32b30e6c84dd2"/>
    <x:sheet xmlns:r="http://schemas.openxmlformats.org/officeDocument/2006/relationships" name="Methodology" sheetId="3" r:id="Re17d94241af84113"/>
    <x:sheet xmlns:r="http://schemas.openxmlformats.org/officeDocument/2006/relationships" name="Source queries" sheetId="4" r:id="R1b6c029e3e3e418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4">
    <x:font>
      <x:sz val="11"/>
      <x:name val="Carlito"/>
    </x:font>
    <x:font>
      <x:sz val="10"/>
      <x:color rgb="FF000000"/>
      <x:name val="Arial"/>
    </x:font>
    <x:font>
      <x:b/>
      <x:sz val="15"/>
      <x:color rgb="FF000000"/>
      <x:name val="Arial"/>
    </x:font>
    <x:font>
      <x:b/>
      <x:sz val="10"/>
      <x:color rgb="FF000000"/>
      <x:name val="Arial"/>
    </x:font>
  </x:fonts>
  <x:fills count="3">
    <x:fill>
      <x:patternFill patternType="none"/>
    </x:fill>
    <x:fill>
      <x:patternFill patternType="gray125"/>
    </x:fill>
    <x:fill>
      <x:patternFill patternType="solid">
        <x:fgColor rgb="FFFFFFFF"/>
      </x:patternFill>
    </x:fill>
  </x:fills>
  <x:borders count="3">
    <x:border>
      <x:left/>
      <x:right/>
      <x:top/>
      <x:bottom/>
      <x:diagonal/>
    </x:border>
    <x:border>
      <x:left/>
      <x:right/>
      <x:top/>
      <x:bottom style="thin">
        <x:color rgb="FF000000"/>
      </x:bottom>
      <x:diagonal/>
    </x:border>
    <x:border>
      <x:left/>
      <x:right/>
      <x:top style="thin">
        <x:color rgb="FF000000"/>
      </x:top>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200" fontId="1" fillId="2" borderId="0" xfId="0" applyNumberFormat="1" applyFont="1" applyFill="1" applyBorder="1"/>
    <x:xf numFmtId="201" fontId="1" fillId="2" borderId="0" xfId="0" applyNumberFormat="1" applyFont="1" applyFill="1" applyBorder="1"/>
    <x:xf numFmtId="0" fontId="1" fillId="2" borderId="0"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201" fontId="3" fillId="2" borderId="0" xfId="0" applyNumberFormat="1" applyFont="1" applyFill="1" applyBorder="1"/>
    <x:xf numFmtId="200" fontId="3" fillId="2" borderId="0" xfId="0" applyNumberFormat="1" applyFont="1" applyFill="1" applyBorder="1"/>
    <x:xf numFmtId="0" fontId="3" fillId="2" borderId="2" xfId="0" applyNumberFormat="1" applyFont="1" applyFill="1" applyBorder="1"/>
    <x:xf numFmtId="201" fontId="3" fillId="2" borderId="2" xfId="0" applyNumberFormat="1" applyFont="1" applyFill="1" applyBorder="1"/>
    <x:xf numFmtId="200" fontId="3" fillId="2" borderId="2" xfId="0" applyNumberFormat="1" applyFont="1" applyFill="1" applyBorder="1"/>
    <x:xf numFmtId="0" fontId="3" fillId="2" borderId="1" xfId="0" applyNumberFormat="1" applyFont="1" applyFill="1" applyBorder="1" applyAlignment="1">
      <x:alignment wrapText="1"/>
    </x:xf>
    <x:xf numFmtId="0" fontId="3"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74d41735f04de2" /><Relationship Type="http://schemas.openxmlformats.org/officeDocument/2006/relationships/theme" Target="/xl/theme/theme1.xml" Id="R1cf3b0c7f1c44420" /><Relationship Type="http://schemas.openxmlformats.org/officeDocument/2006/relationships/sharedStrings" Target="/xl/sharedStrings.xml" Id="R555968d092354e5c" /><Relationship Type="http://schemas.openxmlformats.org/officeDocument/2006/relationships/worksheet" Target="/xl/worksheets/sheet1.xml" Id="Rf402a8d4936e4808" /><Relationship Type="http://schemas.openxmlformats.org/officeDocument/2006/relationships/worksheet" Target="/xl/worksheets/sheet2.xml" Id="R05d32b30e6c84dd2" /><Relationship Type="http://schemas.openxmlformats.org/officeDocument/2006/relationships/worksheet" Target="/xl/worksheets/sheet3.xml" Id="Re17d94241af84113" /><Relationship Type="http://schemas.openxmlformats.org/officeDocument/2006/relationships/worksheet" Target="/xl/worksheets/sheet4.xml" Id="R1b6c029e3e3e4180" /></Relationships>
</file>

<file path=xl/drawings/_rels/drawing1.xml.rels>&#65279;<?xml version="1.0" encoding="utf-8"?><Relationships xmlns="http://schemas.openxmlformats.org/package/2006/relationships"><Relationship Type="http://schemas.openxmlformats.org/officeDocument/2006/relationships/chart" Target="/xl/drawings/charts/chart1.xml" Id="R81664c921d044f6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Oncology + respiratory share of India-linked Phase III studies</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varyColors val="0"/>
        <c:ser>
          <c:idx val="0"/>
          <c:order val="0"/>
          <c:tx>
            <c:v>Onco + resp share</c:v>
          </c:tx>
          <c:spPr>
            <a:solidFill xmlns:a="http://schemas.openxmlformats.org/drawingml/2006/main">
              <a:srgbClr val="404040"/>
            </a:solidFill>
          </c:spPr>
          <c:invertIfNegative val="0"/>
          <c:cat>
            <c:strRef>
              <c:f>'Chart data'!$A$5:$A$9</c:f>
              <c:strCache>
                <c:ptCount val="0"/>
              </c:strCache>
            </c:strRef>
          </c:cat>
          <c:val>
            <c:numRef>
              <c:f>'Chart data'!$F$5:$F$9</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19</xdr:row>
      <xdr:rowOff>0</xdr:rowOff>
    </xdr:from>
    <xdr:to>
      <xdr:col>8</xdr:col>
      <xdr:colOff>0</xdr:colOff>
      <xdr:row>40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664c921d044f6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cd51e1d89be4acb"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x:c r="A1" s="3" t="str">
        <x:v>MNC oncology / respiratory focus: India-linked late-stage studies</x:v>
      </x:c>
      <x:c r="B1" s="2"/>
      <x:c r="C1" s="2"/>
      <x:c r="D1" s="2"/>
      <x:c r="E1" s="2"/>
      <x:c r="F1" s="2"/>
      <x:c r="G1" s="2"/>
      <x:c r="H1" s="2"/>
      <x:c r="I1" s="2"/>
      <x:c r="J1" s="2"/>
      <x:c r="K1" s="2"/>
      <x:c r="L1" s="2"/>
      <x:c r="M1" s="2"/>
      <x:c r="N1" s="2"/>
    </x:row>
    <x:row r="2">
      <x:c r="A2" s="2" t="str">
        <x:v>ClinicalTrials.gov screen as of 21 October 2026; parent groups, not India-listed entities.</x:v>
      </x:c>
      <x:c r="B2" s="2"/>
      <x:c r="C2" s="2"/>
      <x:c r="D2" s="2"/>
      <x:c r="E2" s="2"/>
      <x:c r="F2" s="2"/>
      <x:c r="G2" s="2"/>
      <x:c r="H2" s="2"/>
      <x:c r="I2" s="2"/>
      <x:c r="J2" s="2"/>
      <x:c r="K2" s="2"/>
      <x:c r="L2" s="2"/>
      <x:c r="M2" s="2"/>
      <x:c r="N2" s="2"/>
    </x:row>
    <x:row r="3">
      <x:c r="A3" s="2"/>
      <x:c r="B3" s="2"/>
      <x:c r="C3" s="2"/>
      <x:c r="D3" s="2"/>
      <x:c r="E3" s="2"/>
      <x:c r="F3" s="2"/>
      <x:c r="G3" s="2"/>
      <x:c r="H3" s="2"/>
      <x:c r="I3" s="2"/>
      <x:c r="J3" s="2"/>
      <x:c r="K3" s="2"/>
      <x:c r="L3" s="2"/>
      <x:c r="M3" s="2"/>
      <x:c r="N3" s="2"/>
    </x:row>
    <x:row r="4" ht="32" customHeight="1">
      <x:c r="A4" s="14" t="str">
        <x:v>Company group</x:v>
      </x:c>
      <x:c r="B4" s="14" t="str">
        <x:v>Oncology studies</x:v>
      </x:c>
      <x:c r="C4" s="14" t="str">
        <x:v>Respiratory studies</x:v>
      </x:c>
      <x:c r="D4" s="14" t="str">
        <x:v>Other studies</x:v>
      </x:c>
      <x:c r="E4" s="14" t="str">
        <x:v>Total studies</x:v>
      </x:c>
      <x:c r="F4" s="14" t="str">
        <x:v>Onco + resp share</x:v>
      </x:c>
      <x:c r="G4" s="14" t="str">
        <x:v>Onco share</x:v>
      </x:c>
      <x:c r="H4" s="14" t="str">
        <x:v>Resp share</x:v>
      </x:c>
      <x:c r="I4" s="2"/>
      <x:c r="J4" s="2"/>
      <x:c r="K4" s="2"/>
      <x:c r="L4" s="2"/>
      <x:c r="M4" s="2"/>
      <x:c r="N4" s="2"/>
    </x:row>
    <x:row r="5">
      <x:c r="A5" s="2" t="str">
        <x:v>GSK</x:v>
      </x:c>
      <x:c r="B5" s="5" t="n">
        <x:f>COUNTIFS('Trial audit'!$A$5:$A$169,A5,'Trial audit'!$F$5:$F$169,"Oncology")</x:f>
        <x:v>4</x:v>
      </x:c>
      <x:c r="C5" s="5" t="n">
        <x:f>COUNTIFS('Trial audit'!$A$5:$A$169,A5,'Trial audit'!$F$5:$F$169,"Respiratory")</x:f>
        <x:v>1</x:v>
      </x:c>
      <x:c r="D5" s="5" t="n">
        <x:f>COUNTIFS('Trial audit'!$A$5:$A$169,A5,'Trial audit'!$F$5:$F$169,"Other")</x:f>
        <x:v>1</x:v>
      </x:c>
      <x:c r="E5" s="5" t="n">
        <x:f>SUM(B5:D5)</x:f>
        <x:v>6</x:v>
      </x:c>
      <x:c r="F5" s="4" t="n">
        <x:f>(B5+C5)/E5</x:f>
        <x:v>0.8333333333333334</x:v>
      </x:c>
      <x:c r="G5" s="4" t="n">
        <x:f>B5/E5</x:f>
        <x:v>0.6666666666666666</x:v>
      </x:c>
      <x:c r="H5" s="4" t="n">
        <x:f>C5/E5</x:f>
        <x:v>0.16666666666666666</x:v>
      </x:c>
      <x:c r="I5" s="2"/>
      <x:c r="J5" s="2"/>
      <x:c r="K5" s="2"/>
      <x:c r="L5" s="2"/>
      <x:c r="M5" s="2"/>
      <x:c r="N5" s="2"/>
    </x:row>
    <x:row r="6">
      <x:c r="A6" s="2" t="str">
        <x:v>AstraZeneca</x:v>
      </x:c>
      <x:c r="B6" s="5" t="n">
        <x:f>COUNTIFS('Trial audit'!$A$5:$A$169,A6,'Trial audit'!$F$5:$F$169,"Oncology")</x:f>
        <x:v>62</x:v>
      </x:c>
      <x:c r="C6" s="5" t="n">
        <x:f>COUNTIFS('Trial audit'!$A$5:$A$169,A6,'Trial audit'!$F$5:$F$169,"Respiratory")</x:f>
        <x:v>3</x:v>
      </x:c>
      <x:c r="D6" s="5" t="n">
        <x:f>COUNTIFS('Trial audit'!$A$5:$A$169,A6,'Trial audit'!$F$5:$F$169,"Other")</x:f>
        <x:v>25</x:v>
      </x:c>
      <x:c r="E6" s="5" t="n">
        <x:f>SUM(B6:D6)</x:f>
        <x:v>90</x:v>
      </x:c>
      <x:c r="F6" s="4" t="n">
        <x:f>(B6+C6)/E6</x:f>
        <x:v>0.7222222222222222</x:v>
      </x:c>
      <x:c r="G6" s="4" t="n">
        <x:f>B6/E6</x:f>
        <x:v>0.6888888888888889</x:v>
      </x:c>
      <x:c r="H6" s="4" t="n">
        <x:f>C6/E6</x:f>
        <x:v>0.03333333333333333</x:v>
      </x:c>
      <x:c r="I6" s="2"/>
      <x:c r="J6" s="2"/>
      <x:c r="K6" s="2"/>
      <x:c r="L6" s="2"/>
      <x:c r="M6" s="2"/>
      <x:c r="N6" s="2"/>
    </x:row>
    <x:row r="7">
      <x:c r="A7" s="2" t="str">
        <x:v>Pfizer</x:v>
      </x:c>
      <x:c r="B7" s="5" t="n">
        <x:f>COUNTIFS('Trial audit'!$A$5:$A$169,A7,'Trial audit'!$F$5:$F$169,"Oncology")</x:f>
        <x:v>10</x:v>
      </x:c>
      <x:c r="C7" s="5" t="n">
        <x:f>COUNTIFS('Trial audit'!$A$5:$A$169,A7,'Trial audit'!$F$5:$F$169,"Respiratory")</x:f>
        <x:v>1</x:v>
      </x:c>
      <x:c r="D7" s="5" t="n">
        <x:f>COUNTIFS('Trial audit'!$A$5:$A$169,A7,'Trial audit'!$F$5:$F$169,"Other")</x:f>
        <x:v>10</x:v>
      </x:c>
      <x:c r="E7" s="5" t="n">
        <x:f>SUM(B7:D7)</x:f>
        <x:v>21</x:v>
      </x:c>
      <x:c r="F7" s="4" t="n">
        <x:f>(B7+C7)/E7</x:f>
        <x:v>0.5238095238095238</x:v>
      </x:c>
      <x:c r="G7" s="4" t="n">
        <x:f>B7/E7</x:f>
        <x:v>0.47619047619047616</x:v>
      </x:c>
      <x:c r="H7" s="4" t="n">
        <x:f>C7/E7</x:f>
        <x:v>0.047619047619047616</x:v>
      </x:c>
      <x:c r="I7" s="2"/>
      <x:c r="J7" s="2"/>
      <x:c r="K7" s="2"/>
      <x:c r="L7" s="2"/>
      <x:c r="M7" s="2"/>
      <x:c r="N7" s="2"/>
    </x:row>
    <x:row r="8">
      <x:c r="A8" s="2" t="str">
        <x:v>Novartis</x:v>
      </x:c>
      <x:c r="B8" s="5" t="n">
        <x:f>COUNTIFS('Trial audit'!$A$5:$A$169,A8,'Trial audit'!$F$5:$F$169,"Oncology")</x:f>
        <x:v>7</x:v>
      </x:c>
      <x:c r="C8" s="5" t="n">
        <x:f>COUNTIFS('Trial audit'!$A$5:$A$169,A8,'Trial audit'!$F$5:$F$169,"Respiratory")</x:f>
        <x:v>0</x:v>
      </x:c>
      <x:c r="D8" s="5" t="n">
        <x:f>COUNTIFS('Trial audit'!$A$5:$A$169,A8,'Trial audit'!$F$5:$F$169,"Other")</x:f>
        <x:v>31</x:v>
      </x:c>
      <x:c r="E8" s="5" t="n">
        <x:f>SUM(B8:D8)</x:f>
        <x:v>38</x:v>
      </x:c>
      <x:c r="F8" s="4" t="n">
        <x:f>(B8+C8)/E8</x:f>
        <x:v>0.18421052631578946</x:v>
      </x:c>
      <x:c r="G8" s="4" t="n">
        <x:f>B8/E8</x:f>
        <x:v>0.18421052631578946</x:v>
      </x:c>
      <x:c r="H8" s="4" t="n">
        <x:f>C8/E8</x:f>
        <x:v>0</x:v>
      </x:c>
      <x:c r="I8" s="2"/>
      <x:c r="J8" s="2"/>
      <x:c r="K8" s="2"/>
      <x:c r="L8" s="2"/>
      <x:c r="M8" s="2"/>
      <x:c r="N8" s="2"/>
    </x:row>
    <x:row r="9">
      <x:c r="A9" s="2" t="str">
        <x:v>Sanofi</x:v>
      </x:c>
      <x:c r="B9" s="5" t="n">
        <x:f>COUNTIFS('Trial audit'!$A$5:$A$169,A9,'Trial audit'!$F$5:$F$169,"Oncology")</x:f>
        <x:v>0</x:v>
      </x:c>
      <x:c r="C9" s="5" t="n">
        <x:f>COUNTIFS('Trial audit'!$A$5:$A$169,A9,'Trial audit'!$F$5:$F$169,"Respiratory")</x:f>
        <x:v>0</x:v>
      </x:c>
      <x:c r="D9" s="5" t="n">
        <x:f>COUNTIFS('Trial audit'!$A$5:$A$169,A9,'Trial audit'!$F$5:$F$169,"Other")</x:f>
        <x:v>7</x:v>
      </x:c>
      <x:c r="E9" s="5" t="n">
        <x:f>SUM(B9:D9)</x:f>
        <x:v>7</x:v>
      </x:c>
      <x:c r="F9" s="4" t="n">
        <x:f>(B9+C9)/E9</x:f>
        <x:v>0</x:v>
      </x:c>
      <x:c r="G9" s="4" t="n">
        <x:f>B9/E9</x:f>
        <x:v>0</x:v>
      </x:c>
      <x:c r="H9" s="4" t="n">
        <x:f>C9/E9</x:f>
        <x:v>0</x:v>
      </x:c>
      <x:c r="I9" s="2"/>
      <x:c r="J9" s="2"/>
      <x:c r="K9" s="2"/>
      <x:c r="L9" s="2"/>
      <x:c r="M9" s="2"/>
      <x:c r="N9" s="2"/>
    </x:row>
    <x:row r="10">
      <x:c r="A10" s="2"/>
      <x:c r="B10" s="5"/>
      <x:c r="C10" s="5"/>
      <x:c r="D10" s="5"/>
      <x:c r="E10" s="5"/>
      <x:c r="F10" s="4"/>
      <x:c r="G10" s="4"/>
      <x:c r="H10" s="4"/>
      <x:c r="I10" s="2"/>
      <x:c r="J10" s="2"/>
      <x:c r="K10" s="2"/>
      <x:c r="L10" s="2"/>
      <x:c r="M10" s="2"/>
      <x:c r="N10" s="2"/>
    </x:row>
    <x:row r="11">
      <x:c r="A11" s="11" t="str">
        <x:v>All five groups</x:v>
      </x:c>
      <x:c r="B11" s="12" t="n">
        <x:f>SUM(B5:B9)</x:f>
        <x:v>83</x:v>
      </x:c>
      <x:c r="C11" s="12" t="n">
        <x:f>SUM(C5:C9)</x:f>
        <x:v>5</x:v>
      </x:c>
      <x:c r="D11" s="12" t="n">
        <x:f>SUM(D5:D9)</x:f>
        <x:v>74</x:v>
      </x:c>
      <x:c r="E11" s="12" t="n">
        <x:f>SUM(E5:E9)</x:f>
        <x:v>162</x:v>
      </x:c>
      <x:c r="F11" s="13" t="n">
        <x:f>(B11+C11)/E11</x:f>
        <x:v>0.5432098765432098</x:v>
      </x:c>
      <x:c r="G11" s="13" t="n">
        <x:f>B11/E11</x:f>
        <x:v>0.5123456790123457</x:v>
      </x:c>
      <x:c r="H11" s="13" t="n">
        <x:f>C11/E11</x:f>
        <x:v>0.030864197530864196</x:v>
      </x:c>
      <x:c r="I11" s="2"/>
      <x:c r="J11" s="2"/>
      <x:c r="K11" s="2"/>
      <x:c r="L11" s="2"/>
      <x:c r="M11" s="2"/>
      <x:c r="N11" s="2"/>
    </x:row>
    <x:row r="12">
      <x:c r="A12" s="7" t="str">
        <x:v>GSK + AZ + Pfizer</x:v>
      </x:c>
      <x:c r="B12" s="9" t="n">
        <x:f>SUM(B5:B7)</x:f>
        <x:v>76</x:v>
      </x:c>
      <x:c r="C12" s="9" t="n">
        <x:f>SUM(C5:C7)</x:f>
        <x:v>5</x:v>
      </x:c>
      <x:c r="D12" s="9" t="n">
        <x:f>SUM(D5:D7)</x:f>
        <x:v>36</x:v>
      </x:c>
      <x:c r="E12" s="9" t="n">
        <x:f>SUM(E5:E7)</x:f>
        <x:v>117</x:v>
      </x:c>
      <x:c r="F12" s="10" t="n">
        <x:f>(B12+C12)/E12</x:f>
        <x:v>0.6923076923076923</x:v>
      </x:c>
      <x:c r="G12" s="10" t="n">
        <x:f>B12/E12</x:f>
        <x:v>0.6495726495726496</x:v>
      </x:c>
      <x:c r="H12" s="10" t="n">
        <x:f>C12/E12</x:f>
        <x:v>0.042735042735042736</x:v>
      </x:c>
      <x:c r="I12" s="2"/>
      <x:c r="J12" s="2"/>
      <x:c r="K12" s="2"/>
      <x:c r="L12" s="2"/>
      <x:c r="M12" s="2"/>
      <x:c r="N12" s="2"/>
    </x:row>
    <x:row r="13">
      <x:c r="A13" s="2"/>
      <x:c r="B13" s="2"/>
      <x:c r="C13" s="2"/>
      <x:c r="D13" s="2"/>
      <x:c r="E13" s="2"/>
      <x:c r="F13" s="2"/>
      <x:c r="G13" s="2"/>
      <x:c r="H13" s="2"/>
      <x:c r="I13" s="2"/>
      <x:c r="J13" s="2"/>
      <x:c r="K13" s="2"/>
      <x:c r="L13" s="2"/>
      <x:c r="M13" s="2"/>
      <x:c r="N13" s="2"/>
    </x:row>
    <x:row r="14" ht="24" customHeight="1">
      <x:c r="A14" s="2" t="str">
        <x:v>READ-THROUGH: evidence of strategic focus and potential launch / indication-expansion activity; not a sales forecast.</x:v>
      </x:c>
      <x:c r="B14" s="2"/>
      <x:c r="C14" s="2"/>
      <x:c r="D14" s="2"/>
      <x:c r="E14" s="2"/>
      <x:c r="F14" s="2"/>
      <x:c r="G14" s="2"/>
      <x:c r="H14" s="2"/>
      <x:c r="I14" s="2"/>
      <x:c r="J14" s="2"/>
      <x:c r="K14" s="2"/>
      <x:c r="L14" s="2"/>
      <x:c r="M14" s="2"/>
      <x:c r="N14" s="2"/>
    </x:row>
    <x:row r="15" ht="24" customHeight="1">
      <x:c r="A15" s="2" t="str">
        <x:v>Abbott: zero qualifying records in this screen. No percentage calculated; absence in this registry is not absence of R&amp;D.</x:v>
      </x:c>
      <x:c r="B15" s="2"/>
      <x:c r="C15" s="2"/>
      <x:c r="D15" s="2"/>
      <x:c r="E15" s="2"/>
      <x:c r="F15" s="2"/>
      <x:c r="G15" s="2"/>
      <x:c r="H15" s="2"/>
      <x:c r="I15" s="2"/>
      <x:c r="J15" s="2"/>
      <x:c r="K15" s="2"/>
      <x:c r="L15" s="2"/>
      <x:c r="M15" s="2"/>
      <x:c r="N15" s="2"/>
    </x:row>
    <x:row r="16" ht="24" customHeight="1">
      <x:c r="A16" s="6" t="str">
        <x:v>Do not present this as proof that every MNC will outgrow domestic pharma. Domestic India-only trials are incompletely captured here. Trials can concern existing products, additional indications or longer follow-up; counts are not distinct molecules.</x:v>
      </x:c>
      <x:c r="B16" s="6"/>
      <x:c r="C16" s="6"/>
      <x:c r="D16" s="6"/>
      <x:c r="E16" s="6"/>
      <x:c r="F16" s="6"/>
      <x:c r="G16" s="6"/>
      <x:c r="H16" s="6"/>
      <x:c r="I16" s="2"/>
      <x:c r="J16" s="2"/>
      <x:c r="K16" s="2"/>
      <x:c r="L16" s="2"/>
      <x:c r="M16" s="2"/>
      <x:c r="N16" s="2"/>
    </x:row>
    <x:row r="17" ht="24" customHeight="1">
      <x:c r="A17" s="6"/>
      <x:c r="B17" s="6"/>
      <x:c r="C17" s="6"/>
      <x:c r="D17" s="6"/>
      <x:c r="E17" s="6"/>
      <x:c r="F17" s="6"/>
      <x:c r="G17" s="6"/>
      <x:c r="H17" s="6"/>
      <x:c r="I17" s="2"/>
      <x:c r="J17" s="2"/>
      <x:c r="K17" s="2"/>
      <x:c r="L17" s="2"/>
      <x:c r="M17" s="2"/>
      <x:c r="N17" s="2"/>
    </x:row>
    <x:row r="18">
      <x:c r="A18" s="2"/>
      <x:c r="B18" s="2"/>
      <x:c r="C18" s="2"/>
      <x:c r="D18" s="2"/>
      <x:c r="E18" s="2"/>
      <x:c r="F18" s="2"/>
      <x:c r="G18" s="2"/>
      <x:c r="H18" s="2"/>
      <x:c r="I18" s="2"/>
      <x:c r="J18" s="2"/>
      <x:c r="K18" s="2"/>
      <x:c r="L18" s="2"/>
      <x:c r="M18" s="2"/>
      <x:c r="N18" s="2"/>
    </x:row>
    <x:row r="19">
      <x:c r="A19" s="2"/>
      <x:c r="B19" s="2"/>
      <x:c r="C19" s="2"/>
      <x:c r="D19" s="2"/>
      <x:c r="E19" s="2"/>
      <x:c r="F19" s="2"/>
      <x:c r="G19" s="2"/>
      <x:c r="H19" s="2"/>
      <x:c r="I19" s="2"/>
      <x:c r="J19" s="2"/>
      <x:c r="K19" s="2"/>
      <x:c r="L19" s="2"/>
      <x:c r="M19" s="2"/>
      <x:c r="N19" s="2"/>
    </x:row>
    <x:row r="20">
      <x:c r="A20" s="2"/>
      <x:c r="B20" s="2"/>
      <x:c r="C20" s="2"/>
      <x:c r="D20" s="2"/>
      <x:c r="E20" s="2"/>
      <x:c r="F20" s="2"/>
      <x:c r="G20" s="2"/>
      <x:c r="H20" s="2"/>
      <x:c r="I20" s="2"/>
      <x:c r="J20" s="2"/>
      <x:c r="K20" s="2"/>
      <x:c r="L20" s="2"/>
      <x:c r="M20" s="2"/>
      <x:c r="N20" s="2"/>
    </x:row>
    <x:row r="21">
      <x:c r="A21" s="2"/>
      <x:c r="B21" s="2"/>
      <x:c r="C21" s="2"/>
      <x:c r="D21" s="2"/>
      <x:c r="E21" s="2"/>
      <x:c r="F21" s="2"/>
      <x:c r="G21" s="2"/>
      <x:c r="H21" s="2"/>
      <x:c r="I21" s="2"/>
      <x:c r="J21" s="2"/>
      <x:c r="K21" s="2"/>
      <x:c r="L21" s="2"/>
      <x:c r="M21" s="2"/>
      <x:c r="N21" s="2"/>
    </x:row>
    <x:row r="22">
      <x:c r="A22" s="2"/>
      <x:c r="B22" s="2"/>
      <x:c r="C22" s="2"/>
      <x:c r="D22" s="2"/>
      <x:c r="E22" s="2"/>
      <x:c r="F22" s="2"/>
      <x:c r="G22" s="2"/>
      <x:c r="H22" s="2"/>
      <x:c r="I22" s="2"/>
      <x:c r="J22" s="2"/>
      <x:c r="K22" s="2"/>
      <x:c r="L22" s="2"/>
      <x:c r="M22" s="2"/>
      <x:c r="N22" s="2"/>
    </x:row>
    <x:row r="23">
      <x:c r="A23" s="2"/>
      <x:c r="B23" s="2"/>
      <x:c r="C23" s="2"/>
      <x:c r="D23" s="2"/>
      <x:c r="E23" s="2"/>
      <x:c r="F23" s="2"/>
      <x:c r="G23" s="2"/>
      <x:c r="H23" s="2"/>
      <x:c r="I23" s="2"/>
      <x:c r="J23" s="2"/>
      <x:c r="K23" s="2"/>
      <x:c r="L23" s="2"/>
      <x:c r="M23" s="2"/>
      <x:c r="N23" s="2"/>
    </x:row>
    <x:row r="24">
      <x:c r="A24" s="2"/>
      <x:c r="B24" s="2"/>
      <x:c r="C24" s="2"/>
      <x:c r="D24" s="2"/>
      <x:c r="E24" s="2"/>
      <x:c r="F24" s="2"/>
      <x:c r="G24" s="2"/>
      <x:c r="H24" s="2"/>
      <x:c r="I24" s="2"/>
      <x:c r="J24" s="2"/>
      <x:c r="K24" s="2"/>
      <x:c r="L24" s="2"/>
      <x:c r="M24" s="2"/>
      <x:c r="N24" s="2"/>
    </x:row>
    <x:row r="25">
      <x:c r="A25" s="2"/>
      <x:c r="B25" s="2"/>
      <x:c r="C25" s="2"/>
      <x:c r="D25" s="2"/>
      <x:c r="E25" s="2"/>
      <x:c r="F25" s="2"/>
      <x:c r="G25" s="2"/>
      <x:c r="H25" s="2"/>
      <x:c r="I25" s="2"/>
      <x:c r="J25" s="2"/>
      <x:c r="K25" s="2"/>
      <x:c r="L25" s="2"/>
      <x:c r="M25" s="2"/>
      <x:c r="N25" s="2"/>
    </x:row>
    <x:row r="26">
      <x:c r="A26" s="2"/>
      <x:c r="B26" s="2"/>
      <x:c r="C26" s="2"/>
      <x:c r="D26" s="2"/>
      <x:c r="E26" s="2"/>
      <x:c r="F26" s="2"/>
      <x:c r="G26" s="2"/>
      <x:c r="H26" s="2"/>
      <x:c r="I26" s="2"/>
      <x:c r="J26" s="2"/>
      <x:c r="K26" s="2"/>
      <x:c r="L26" s="2"/>
      <x:c r="M26" s="2"/>
      <x:c r="N26" s="2"/>
    </x:row>
    <x:row r="27">
      <x:c r="A27" s="2"/>
      <x:c r="B27" s="2"/>
      <x:c r="C27" s="2"/>
      <x:c r="D27" s="2"/>
      <x:c r="E27" s="2"/>
      <x:c r="F27" s="2"/>
      <x:c r="G27" s="2"/>
      <x:c r="H27" s="2"/>
      <x:c r="I27" s="2"/>
      <x:c r="J27" s="2"/>
      <x:c r="K27" s="2"/>
      <x:c r="L27" s="2"/>
      <x:c r="M27" s="2"/>
      <x:c r="N27" s="2"/>
    </x:row>
    <x:row r="28">
      <x:c r="A28" s="2"/>
      <x:c r="B28" s="2"/>
      <x:c r="C28" s="2"/>
      <x:c r="D28" s="2"/>
      <x:c r="E28" s="2"/>
      <x:c r="F28" s="2"/>
      <x:c r="G28" s="2"/>
      <x:c r="H28" s="2"/>
      <x:c r="I28" s="2"/>
      <x:c r="J28" s="2"/>
      <x:c r="K28" s="2"/>
      <x:c r="L28" s="2"/>
      <x:c r="M28" s="2"/>
      <x:c r="N28" s="2"/>
    </x:row>
    <x:row r="29">
      <x:c r="A29" s="2"/>
      <x:c r="B29" s="2"/>
      <x:c r="C29" s="2"/>
      <x:c r="D29" s="2"/>
      <x:c r="E29" s="2"/>
      <x:c r="F29" s="2"/>
      <x:c r="G29" s="2"/>
      <x:c r="H29" s="2"/>
      <x:c r="I29" s="2"/>
      <x:c r="J29" s="2"/>
      <x:c r="K29" s="2"/>
      <x:c r="L29" s="2"/>
      <x:c r="M29" s="2"/>
      <x:c r="N29" s="2"/>
    </x:row>
    <x:row r="30">
      <x:c r="A30" s="2"/>
      <x:c r="B30" s="2"/>
      <x:c r="C30" s="2"/>
      <x:c r="D30" s="2"/>
      <x:c r="E30" s="2"/>
      <x:c r="F30" s="2"/>
      <x:c r="G30" s="2"/>
      <x:c r="H30" s="2"/>
      <x:c r="I30" s="2"/>
      <x:c r="J30" s="2"/>
      <x:c r="K30" s="2"/>
      <x:c r="L30" s="2"/>
      <x:c r="M30" s="2"/>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row r="49">
      <x:c r="A49" s="2"/>
      <x:c r="B49" s="2"/>
      <x:c r="C49" s="2"/>
      <x:c r="D49" s="2"/>
      <x:c r="E49" s="2"/>
      <x:c r="F49" s="2"/>
      <x:c r="G49" s="2"/>
      <x:c r="H49" s="2"/>
      <x:c r="I49" s="2"/>
      <x:c r="J49" s="2"/>
      <x:c r="K49" s="2"/>
      <x:c r="L49" s="2"/>
      <x:c r="M49" s="2"/>
      <x:c r="N49" s="2"/>
    </x:row>
    <x:row r="50">
      <x:c r="A50" s="2"/>
      <x:c r="B50" s="2"/>
      <x:c r="C50" s="2"/>
      <x:c r="D50" s="2"/>
      <x:c r="E50" s="2"/>
      <x:c r="F50" s="2"/>
      <x:c r="G50" s="2"/>
      <x:c r="H50" s="2"/>
      <x:c r="I50" s="2"/>
      <x:c r="J50" s="2"/>
      <x:c r="K50" s="2"/>
      <x:c r="L50" s="2"/>
      <x:c r="M50" s="2"/>
      <x:c r="N50" s="2"/>
    </x:row>
    <x:row r="51">
      <x:c r="A51" s="2"/>
      <x:c r="B51" s="2"/>
      <x:c r="C51" s="2"/>
      <x:c r="D51" s="2"/>
      <x:c r="E51" s="2"/>
      <x:c r="F51" s="2"/>
      <x:c r="G51" s="2"/>
      <x:c r="H51" s="2"/>
      <x:c r="I51" s="2"/>
      <x:c r="J51" s="2"/>
      <x:c r="K51" s="2"/>
      <x:c r="L51" s="2"/>
      <x:c r="M51" s="2"/>
      <x:c r="N51" s="2"/>
    </x:row>
    <x:row r="52">
      <x:c r="A52" s="2"/>
      <x:c r="B52" s="2"/>
      <x:c r="C52" s="2"/>
      <x:c r="D52" s="2"/>
      <x:c r="E52" s="2"/>
      <x:c r="F52" s="2"/>
      <x:c r="G52" s="2"/>
      <x:c r="H52" s="2"/>
      <x:c r="I52" s="2"/>
      <x:c r="J52" s="2"/>
      <x:c r="K52" s="2"/>
      <x:c r="L52" s="2"/>
      <x:c r="M52" s="2"/>
      <x:c r="N52" s="2"/>
    </x:row>
    <x:row r="53">
      <x:c r="A53" s="2"/>
      <x:c r="B53" s="2"/>
      <x:c r="C53" s="2"/>
      <x:c r="D53" s="2"/>
      <x:c r="E53" s="2"/>
      <x:c r="F53" s="2"/>
      <x:c r="G53" s="2"/>
      <x:c r="H53" s="2"/>
      <x:c r="I53" s="2"/>
      <x:c r="J53" s="2"/>
      <x:c r="K53" s="2"/>
      <x:c r="L53" s="2"/>
      <x:c r="M53" s="2"/>
      <x:c r="N53" s="2"/>
    </x:row>
    <x:row r="54">
      <x:c r="A54" s="2"/>
      <x:c r="B54" s="2"/>
      <x:c r="C54" s="2"/>
      <x:c r="D54" s="2"/>
      <x:c r="E54" s="2"/>
      <x:c r="F54" s="2"/>
      <x:c r="G54" s="2"/>
      <x:c r="H54" s="2"/>
      <x:c r="I54" s="2"/>
      <x:c r="J54" s="2"/>
      <x:c r="K54" s="2"/>
      <x:c r="L54" s="2"/>
      <x:c r="M54" s="2"/>
      <x:c r="N54" s="2"/>
    </x:row>
    <x:row r="55">
      <x:c r="A55" s="2"/>
      <x:c r="B55" s="2"/>
      <x:c r="C55" s="2"/>
      <x:c r="D55" s="2"/>
      <x:c r="E55" s="2"/>
      <x:c r="F55" s="2"/>
      <x:c r="G55" s="2"/>
      <x:c r="H55" s="2"/>
      <x:c r="I55" s="2"/>
      <x:c r="J55" s="2"/>
      <x:c r="K55" s="2"/>
      <x:c r="L55" s="2"/>
      <x:c r="M55" s="2"/>
      <x:c r="N55" s="2"/>
    </x:row>
    <x:row r="56">
      <x:c r="A56" s="2"/>
      <x:c r="B56" s="2"/>
      <x:c r="C56" s="2"/>
      <x:c r="D56" s="2"/>
      <x:c r="E56" s="2"/>
      <x:c r="F56" s="2"/>
      <x:c r="G56" s="2"/>
      <x:c r="H56" s="2"/>
      <x:c r="I56" s="2"/>
      <x:c r="J56" s="2"/>
      <x:c r="K56" s="2"/>
      <x:c r="L56" s="2"/>
      <x:c r="M56" s="2"/>
      <x:c r="N56" s="2"/>
    </x:row>
    <x:row r="57">
      <x:c r="A57" s="2"/>
      <x:c r="B57" s="2"/>
      <x:c r="C57" s="2"/>
      <x:c r="D57" s="2"/>
      <x:c r="E57" s="2"/>
      <x:c r="F57" s="2"/>
      <x:c r="G57" s="2"/>
      <x:c r="H57" s="2"/>
      <x:c r="I57" s="2"/>
      <x:c r="J57" s="2"/>
      <x:c r="K57" s="2"/>
      <x:c r="L57" s="2"/>
      <x:c r="M57" s="2"/>
      <x:c r="N57" s="2"/>
    </x:row>
    <x:row r="58">
      <x:c r="A58" s="2"/>
      <x:c r="B58" s="2"/>
      <x:c r="C58" s="2"/>
      <x:c r="D58" s="2"/>
      <x:c r="E58" s="2"/>
      <x:c r="F58" s="2"/>
      <x:c r="G58" s="2"/>
      <x:c r="H58" s="2"/>
      <x:c r="I58" s="2"/>
      <x:c r="J58" s="2"/>
      <x:c r="K58" s="2"/>
      <x:c r="L58" s="2"/>
      <x:c r="M58" s="2"/>
      <x:c r="N58" s="2"/>
    </x:row>
    <x:row r="59">
      <x:c r="A59" s="2"/>
      <x:c r="B59" s="2"/>
      <x:c r="C59" s="2"/>
      <x:c r="D59" s="2"/>
      <x:c r="E59" s="2"/>
      <x:c r="F59" s="2"/>
      <x:c r="G59" s="2"/>
      <x:c r="H59" s="2"/>
      <x:c r="I59" s="2"/>
      <x:c r="J59" s="2"/>
      <x:c r="K59" s="2"/>
      <x:c r="L59" s="2"/>
      <x:c r="M59" s="2"/>
      <x:c r="N59" s="2"/>
    </x:row>
    <x:row r="60">
      <x:c r="A60" s="2"/>
      <x:c r="B60" s="2"/>
      <x:c r="C60" s="2"/>
      <x:c r="D60" s="2"/>
      <x:c r="E60" s="2"/>
      <x:c r="F60" s="2"/>
      <x:c r="G60" s="2"/>
      <x:c r="H60" s="2"/>
      <x:c r="I60" s="2"/>
      <x:c r="J60" s="2"/>
      <x:c r="K60" s="2"/>
      <x:c r="L60" s="2"/>
      <x:c r="M60" s="2"/>
      <x:c r="N60" s="2"/>
    </x:row>
    <x:row r="61">
      <x:c r="A61" s="2"/>
      <x:c r="B61" s="2"/>
      <x:c r="C61" s="2"/>
      <x:c r="D61" s="2"/>
      <x:c r="E61" s="2"/>
      <x:c r="F61" s="2"/>
      <x:c r="G61" s="2"/>
      <x:c r="H61" s="2"/>
      <x:c r="I61" s="2"/>
      <x:c r="J61" s="2"/>
      <x:c r="K61" s="2"/>
      <x:c r="L61" s="2"/>
      <x:c r="M61" s="2"/>
      <x:c r="N61" s="2"/>
    </x:row>
    <x:row r="62">
      <x:c r="A62" s="2"/>
      <x:c r="B62" s="2"/>
      <x:c r="C62" s="2"/>
      <x:c r="D62" s="2"/>
      <x:c r="E62" s="2"/>
      <x:c r="F62" s="2"/>
      <x:c r="G62" s="2"/>
      <x:c r="H62" s="2"/>
      <x:c r="I62" s="2"/>
      <x:c r="J62" s="2"/>
      <x:c r="K62" s="2"/>
      <x:c r="L62" s="2"/>
      <x:c r="M62" s="2"/>
      <x:c r="N62" s="2"/>
    </x:row>
    <x:row r="63">
      <x:c r="A63" s="2"/>
      <x:c r="B63" s="2"/>
      <x:c r="C63" s="2"/>
      <x:c r="D63" s="2"/>
      <x:c r="E63" s="2"/>
      <x:c r="F63" s="2"/>
      <x:c r="G63" s="2"/>
      <x:c r="H63" s="2"/>
      <x:c r="I63" s="2"/>
      <x:c r="J63" s="2"/>
      <x:c r="K63" s="2"/>
      <x:c r="L63" s="2"/>
      <x:c r="M63" s="2"/>
      <x:c r="N63" s="2"/>
    </x:row>
    <x:row r="64">
      <x:c r="A64" s="2"/>
      <x:c r="B64" s="2"/>
      <x:c r="C64" s="2"/>
      <x:c r="D64" s="2"/>
      <x:c r="E64" s="2"/>
      <x:c r="F64" s="2"/>
      <x:c r="G64" s="2"/>
      <x:c r="H64" s="2"/>
      <x:c r="I64" s="2"/>
      <x:c r="J64" s="2"/>
      <x:c r="K64" s="2"/>
      <x:c r="L64" s="2"/>
      <x:c r="M64" s="2"/>
      <x:c r="N64" s="2"/>
    </x:row>
    <x:row r="65">
      <x:c r="A65" s="2"/>
      <x:c r="B65" s="2"/>
      <x:c r="C65" s="2"/>
      <x:c r="D65" s="2"/>
      <x:c r="E65" s="2"/>
      <x:c r="F65" s="2"/>
      <x:c r="G65" s="2"/>
      <x:c r="H65" s="2"/>
      <x:c r="I65" s="2"/>
      <x:c r="J65" s="2"/>
      <x:c r="K65" s="2"/>
      <x:c r="L65" s="2"/>
      <x:c r="M65" s="2"/>
      <x:c r="N65" s="2"/>
    </x:row>
    <x:row r="66">
      <x:c r="A66" s="2"/>
      <x:c r="B66" s="2"/>
      <x:c r="C66" s="2"/>
      <x:c r="D66" s="2"/>
      <x:c r="E66" s="2"/>
      <x:c r="F66" s="2"/>
      <x:c r="G66" s="2"/>
      <x:c r="H66" s="2"/>
      <x:c r="I66" s="2"/>
      <x:c r="J66" s="2"/>
      <x:c r="K66" s="2"/>
      <x:c r="L66" s="2"/>
      <x:c r="M66" s="2"/>
      <x:c r="N66" s="2"/>
    </x:row>
    <x:row r="67">
      <x:c r="A67" s="2"/>
      <x:c r="B67" s="2"/>
      <x:c r="C67" s="2"/>
      <x:c r="D67" s="2"/>
      <x:c r="E67" s="2"/>
      <x:c r="F67" s="2"/>
      <x:c r="G67" s="2"/>
      <x:c r="H67" s="2"/>
      <x:c r="I67" s="2"/>
      <x:c r="J67" s="2"/>
      <x:c r="K67" s="2"/>
      <x:c r="L67" s="2"/>
      <x:c r="M67" s="2"/>
      <x:c r="N67" s="2"/>
    </x:row>
    <x:row r="68">
      <x:c r="A68" s="2"/>
      <x:c r="B68" s="2"/>
      <x:c r="C68" s="2"/>
      <x:c r="D68" s="2"/>
      <x:c r="E68" s="2"/>
      <x:c r="F68" s="2"/>
      <x:c r="G68" s="2"/>
      <x:c r="H68" s="2"/>
      <x:c r="I68" s="2"/>
      <x:c r="J68" s="2"/>
      <x:c r="K68" s="2"/>
      <x:c r="L68" s="2"/>
      <x:c r="M68" s="2"/>
      <x:c r="N68" s="2"/>
    </x:row>
    <x:row r="69">
      <x:c r="A69" s="2"/>
      <x:c r="B69" s="2"/>
      <x:c r="C69" s="2"/>
      <x:c r="D69" s="2"/>
      <x:c r="E69" s="2"/>
      <x:c r="F69" s="2"/>
      <x:c r="G69" s="2"/>
      <x:c r="H69" s="2"/>
      <x:c r="I69" s="2"/>
      <x:c r="J69" s="2"/>
      <x:c r="K69" s="2"/>
      <x:c r="L69" s="2"/>
      <x:c r="M69" s="2"/>
      <x:c r="N69" s="2"/>
    </x:row>
    <x:row r="70">
      <x:c r="A70" s="2"/>
      <x:c r="B70" s="2"/>
      <x:c r="C70" s="2"/>
      <x:c r="D70" s="2"/>
      <x:c r="E70" s="2"/>
      <x:c r="F70" s="2"/>
      <x:c r="G70" s="2"/>
      <x:c r="H70" s="2"/>
      <x:c r="I70" s="2"/>
      <x:c r="J70" s="2"/>
      <x:c r="K70" s="2"/>
      <x:c r="L70" s="2"/>
      <x:c r="M70" s="2"/>
      <x:c r="N70" s="2"/>
    </x:row>
    <x:row r="71">
      <x:c r="A71" s="2"/>
      <x:c r="B71" s="2"/>
      <x:c r="C71" s="2"/>
      <x:c r="D71" s="2"/>
      <x:c r="E71" s="2"/>
      <x:c r="F71" s="2"/>
      <x:c r="G71" s="2"/>
      <x:c r="H71" s="2"/>
      <x:c r="I71" s="2"/>
      <x:c r="J71" s="2"/>
      <x:c r="K71" s="2"/>
      <x:c r="L71" s="2"/>
      <x:c r="M71" s="2"/>
      <x:c r="N71" s="2"/>
    </x:row>
    <x:row r="72">
      <x:c r="A72" s="2"/>
      <x:c r="B72" s="2"/>
      <x:c r="C72" s="2"/>
      <x:c r="D72" s="2"/>
      <x:c r="E72" s="2"/>
      <x:c r="F72" s="2"/>
      <x:c r="G72" s="2"/>
      <x:c r="H72" s="2"/>
      <x:c r="I72" s="2"/>
      <x:c r="J72" s="2"/>
      <x:c r="K72" s="2"/>
      <x:c r="L72" s="2"/>
      <x:c r="M72" s="2"/>
      <x:c r="N72" s="2"/>
    </x:row>
    <x:row r="73">
      <x:c r="A73" s="2"/>
      <x:c r="B73" s="2"/>
      <x:c r="C73" s="2"/>
      <x:c r="D73" s="2"/>
      <x:c r="E73" s="2"/>
      <x:c r="F73" s="2"/>
      <x:c r="G73" s="2"/>
      <x:c r="H73" s="2"/>
      <x:c r="I73" s="2"/>
      <x:c r="J73" s="2"/>
      <x:c r="K73" s="2"/>
      <x:c r="L73" s="2"/>
      <x:c r="M73" s="2"/>
      <x:c r="N73" s="2"/>
    </x:row>
    <x:row r="74">
      <x:c r="A74" s="2"/>
      <x:c r="B74" s="2"/>
      <x:c r="C74" s="2"/>
      <x:c r="D74" s="2"/>
      <x:c r="E74" s="2"/>
      <x:c r="F74" s="2"/>
      <x:c r="G74" s="2"/>
      <x:c r="H74" s="2"/>
      <x:c r="I74" s="2"/>
      <x:c r="J74" s="2"/>
      <x:c r="K74" s="2"/>
      <x:c r="L74" s="2"/>
      <x:c r="M74" s="2"/>
      <x:c r="N74" s="2"/>
    </x:row>
    <x:row r="75">
      <x:c r="A75" s="2"/>
      <x:c r="B75" s="2"/>
      <x:c r="C75" s="2"/>
      <x:c r="D75" s="2"/>
      <x:c r="E75" s="2"/>
      <x:c r="F75" s="2"/>
      <x:c r="G75" s="2"/>
      <x:c r="H75" s="2"/>
      <x:c r="I75" s="2"/>
      <x:c r="J75" s="2"/>
      <x:c r="K75" s="2"/>
      <x:c r="L75" s="2"/>
      <x:c r="M75" s="2"/>
      <x:c r="N75" s="2"/>
    </x:row>
    <x:row r="76">
      <x:c r="A76" s="2"/>
      <x:c r="B76" s="2"/>
      <x:c r="C76" s="2"/>
      <x:c r="D76" s="2"/>
      <x:c r="E76" s="2"/>
      <x:c r="F76" s="2"/>
      <x:c r="G76" s="2"/>
      <x:c r="H76" s="2"/>
      <x:c r="I76" s="2"/>
      <x:c r="J76" s="2"/>
      <x:c r="K76" s="2"/>
      <x:c r="L76" s="2"/>
      <x:c r="M76" s="2"/>
      <x:c r="N76" s="2"/>
    </x:row>
    <x:row r="77">
      <x:c r="A77" s="2"/>
      <x:c r="B77" s="2"/>
      <x:c r="C77" s="2"/>
      <x:c r="D77" s="2"/>
      <x:c r="E77" s="2"/>
      <x:c r="F77" s="2"/>
      <x:c r="G77" s="2"/>
      <x:c r="H77" s="2"/>
      <x:c r="I77" s="2"/>
      <x:c r="J77" s="2"/>
      <x:c r="K77" s="2"/>
      <x:c r="L77" s="2"/>
      <x:c r="M77" s="2"/>
      <x:c r="N77" s="2"/>
    </x:row>
    <x:row r="78">
      <x:c r="A78" s="2"/>
      <x:c r="B78" s="2"/>
      <x:c r="C78" s="2"/>
      <x:c r="D78" s="2"/>
      <x:c r="E78" s="2"/>
      <x:c r="F78" s="2"/>
      <x:c r="G78" s="2"/>
      <x:c r="H78" s="2"/>
      <x:c r="I78" s="2"/>
      <x:c r="J78" s="2"/>
      <x:c r="K78" s="2"/>
      <x:c r="L78" s="2"/>
      <x:c r="M78" s="2"/>
      <x:c r="N78" s="2"/>
    </x:row>
    <x:row r="79">
      <x:c r="A79" s="2"/>
      <x:c r="B79" s="2"/>
      <x:c r="C79" s="2"/>
      <x:c r="D79" s="2"/>
      <x:c r="E79" s="2"/>
      <x:c r="F79" s="2"/>
      <x:c r="G79" s="2"/>
      <x:c r="H79" s="2"/>
      <x:c r="I79" s="2"/>
      <x:c r="J79" s="2"/>
      <x:c r="K79" s="2"/>
      <x:c r="L79" s="2"/>
      <x:c r="M79" s="2"/>
      <x:c r="N79" s="2"/>
    </x:row>
    <x:row r="80">
      <x:c r="A80" s="2"/>
      <x:c r="B80" s="2"/>
      <x:c r="C80" s="2"/>
      <x:c r="D80" s="2"/>
      <x:c r="E80" s="2"/>
      <x:c r="F80" s="2"/>
      <x:c r="G80" s="2"/>
      <x:c r="H80" s="2"/>
      <x:c r="I80" s="2"/>
      <x:c r="J80" s="2"/>
      <x:c r="K80" s="2"/>
      <x:c r="L80" s="2"/>
      <x:c r="M80" s="2"/>
      <x:c r="N80" s="2"/>
    </x:row>
    <x:row r="81">
      <x:c r="A81" s="2"/>
      <x:c r="B81" s="2"/>
      <x:c r="C81" s="2"/>
      <x:c r="D81" s="2"/>
      <x:c r="E81" s="2"/>
      <x:c r="F81" s="2"/>
      <x:c r="G81" s="2"/>
      <x:c r="H81" s="2"/>
      <x:c r="I81" s="2"/>
      <x:c r="J81" s="2"/>
      <x:c r="K81" s="2"/>
      <x:c r="L81" s="2"/>
      <x:c r="M81" s="2"/>
      <x:c r="N81" s="2"/>
    </x:row>
    <x:row r="82">
      <x:c r="A82" s="2"/>
      <x:c r="B82" s="2"/>
      <x:c r="C82" s="2"/>
      <x:c r="D82" s="2"/>
      <x:c r="E82" s="2"/>
      <x:c r="F82" s="2"/>
      <x:c r="G82" s="2"/>
      <x:c r="H82" s="2"/>
      <x:c r="I82" s="2"/>
      <x:c r="J82" s="2"/>
      <x:c r="K82" s="2"/>
      <x:c r="L82" s="2"/>
      <x:c r="M82" s="2"/>
      <x:c r="N82" s="2"/>
    </x:row>
    <x:row r="83">
      <x:c r="A83" s="2"/>
      <x:c r="B83" s="2"/>
      <x:c r="C83" s="2"/>
      <x:c r="D83" s="2"/>
      <x:c r="E83" s="2"/>
      <x:c r="F83" s="2"/>
      <x:c r="G83" s="2"/>
      <x:c r="H83" s="2"/>
      <x:c r="I83" s="2"/>
      <x:c r="J83" s="2"/>
      <x:c r="K83" s="2"/>
      <x:c r="L83" s="2"/>
      <x:c r="M83" s="2"/>
      <x:c r="N83" s="2"/>
    </x:row>
    <x:row r="84">
      <x:c r="A84" s="2"/>
      <x:c r="B84" s="2"/>
      <x:c r="C84" s="2"/>
      <x:c r="D84" s="2"/>
      <x:c r="E84" s="2"/>
      <x:c r="F84" s="2"/>
      <x:c r="G84" s="2"/>
      <x:c r="H84" s="2"/>
      <x:c r="I84" s="2"/>
      <x:c r="J84" s="2"/>
      <x:c r="K84" s="2"/>
      <x:c r="L84" s="2"/>
      <x:c r="M84" s="2"/>
      <x:c r="N84" s="2"/>
    </x:row>
    <x:row r="85">
      <x:c r="A85" s="2"/>
      <x:c r="B85" s="2"/>
      <x:c r="C85" s="2"/>
      <x:c r="D85" s="2"/>
      <x:c r="E85" s="2"/>
      <x:c r="F85" s="2"/>
      <x:c r="G85" s="2"/>
      <x:c r="H85" s="2"/>
      <x:c r="I85" s="2"/>
      <x:c r="J85" s="2"/>
      <x:c r="K85" s="2"/>
      <x:c r="L85" s="2"/>
      <x:c r="M85" s="2"/>
      <x:c r="N85" s="2"/>
    </x:row>
    <x:row r="86">
      <x:c r="A86" s="2"/>
      <x:c r="B86" s="2"/>
      <x:c r="C86" s="2"/>
      <x:c r="D86" s="2"/>
      <x:c r="E86" s="2"/>
      <x:c r="F86" s="2"/>
      <x:c r="G86" s="2"/>
      <x:c r="H86" s="2"/>
      <x:c r="I86" s="2"/>
      <x:c r="J86" s="2"/>
      <x:c r="K86" s="2"/>
      <x:c r="L86" s="2"/>
      <x:c r="M86" s="2"/>
      <x:c r="N86" s="2"/>
    </x:row>
    <x:row r="87">
      <x:c r="A87" s="2"/>
      <x:c r="B87" s="2"/>
      <x:c r="C87" s="2"/>
      <x:c r="D87" s="2"/>
      <x:c r="E87" s="2"/>
      <x:c r="F87" s="2"/>
      <x:c r="G87" s="2"/>
      <x:c r="H87" s="2"/>
      <x:c r="I87" s="2"/>
      <x:c r="J87" s="2"/>
      <x:c r="K87" s="2"/>
      <x:c r="L87" s="2"/>
      <x:c r="M87" s="2"/>
      <x:c r="N87" s="2"/>
    </x:row>
    <x:row r="88">
      <x:c r="A88" s="2"/>
      <x:c r="B88" s="2"/>
      <x:c r="C88" s="2"/>
      <x:c r="D88" s="2"/>
      <x:c r="E88" s="2"/>
      <x:c r="F88" s="2"/>
      <x:c r="G88" s="2"/>
      <x:c r="H88" s="2"/>
      <x:c r="I88" s="2"/>
      <x:c r="J88" s="2"/>
      <x:c r="K88" s="2"/>
      <x:c r="L88" s="2"/>
      <x:c r="M88" s="2"/>
      <x:c r="N88" s="2"/>
    </x:row>
    <x:row r="89">
      <x:c r="A89" s="2"/>
      <x:c r="B89" s="2"/>
      <x:c r="C89" s="2"/>
      <x:c r="D89" s="2"/>
      <x:c r="E89" s="2"/>
      <x:c r="F89" s="2"/>
      <x:c r="G89" s="2"/>
      <x:c r="H89" s="2"/>
      <x:c r="I89" s="2"/>
      <x:c r="J89" s="2"/>
      <x:c r="K89" s="2"/>
      <x:c r="L89" s="2"/>
      <x:c r="M89" s="2"/>
      <x:c r="N89" s="2"/>
    </x:row>
    <x:row r="90">
      <x:c r="A90" s="2"/>
      <x:c r="B90" s="2"/>
      <x:c r="C90" s="2"/>
      <x:c r="D90" s="2"/>
      <x:c r="E90" s="2"/>
      <x:c r="F90" s="2"/>
      <x:c r="G90" s="2"/>
      <x:c r="H90" s="2"/>
      <x:c r="I90" s="2"/>
      <x:c r="J90" s="2"/>
      <x:c r="K90" s="2"/>
      <x:c r="L90" s="2"/>
      <x:c r="M90" s="2"/>
      <x:c r="N90" s="2"/>
    </x:row>
    <x:row r="91">
      <x:c r="A91" s="2"/>
      <x:c r="B91" s="2"/>
      <x:c r="C91" s="2"/>
      <x:c r="D91" s="2"/>
      <x:c r="E91" s="2"/>
      <x:c r="F91" s="2"/>
      <x:c r="G91" s="2"/>
      <x:c r="H91" s="2"/>
      <x:c r="I91" s="2"/>
      <x:c r="J91" s="2"/>
      <x:c r="K91" s="2"/>
      <x:c r="L91" s="2"/>
      <x:c r="M91" s="2"/>
      <x:c r="N91" s="2"/>
    </x:row>
    <x:row r="92">
      <x:c r="A92" s="2"/>
      <x:c r="B92" s="2"/>
      <x:c r="C92" s="2"/>
      <x:c r="D92" s="2"/>
      <x:c r="E92" s="2"/>
      <x:c r="F92" s="2"/>
      <x:c r="G92" s="2"/>
      <x:c r="H92" s="2"/>
      <x:c r="I92" s="2"/>
      <x:c r="J92" s="2"/>
      <x:c r="K92" s="2"/>
      <x:c r="L92" s="2"/>
      <x:c r="M92" s="2"/>
      <x:c r="N92" s="2"/>
    </x:row>
    <x:row r="93">
      <x:c r="A93" s="2"/>
      <x:c r="B93" s="2"/>
      <x:c r="C93" s="2"/>
      <x:c r="D93" s="2"/>
      <x:c r="E93" s="2"/>
      <x:c r="F93" s="2"/>
      <x:c r="G93" s="2"/>
      <x:c r="H93" s="2"/>
      <x:c r="I93" s="2"/>
      <x:c r="J93" s="2"/>
      <x:c r="K93" s="2"/>
      <x:c r="L93" s="2"/>
      <x:c r="M93" s="2"/>
      <x:c r="N93" s="2"/>
    </x:row>
    <x:row r="94">
      <x:c r="A94" s="2"/>
      <x:c r="B94" s="2"/>
      <x:c r="C94" s="2"/>
      <x:c r="D94" s="2"/>
      <x:c r="E94" s="2"/>
      <x:c r="F94" s="2"/>
      <x:c r="G94" s="2"/>
      <x:c r="H94" s="2"/>
      <x:c r="I94" s="2"/>
      <x:c r="J94" s="2"/>
      <x:c r="K94" s="2"/>
      <x:c r="L94" s="2"/>
      <x:c r="M94" s="2"/>
      <x:c r="N94" s="2"/>
    </x:row>
    <x:row r="95">
      <x:c r="A95" s="2"/>
      <x:c r="B95" s="2"/>
      <x:c r="C95" s="2"/>
      <x:c r="D95" s="2"/>
      <x:c r="E95" s="2"/>
      <x:c r="F95" s="2"/>
      <x:c r="G95" s="2"/>
      <x:c r="H95" s="2"/>
      <x:c r="I95" s="2"/>
      <x:c r="J95" s="2"/>
      <x:c r="K95" s="2"/>
      <x:c r="L95" s="2"/>
      <x:c r="M95" s="2"/>
      <x:c r="N95" s="2"/>
    </x:row>
    <x:row r="96">
      <x:c r="A96" s="2"/>
      <x:c r="B96" s="2"/>
      <x:c r="C96" s="2"/>
      <x:c r="D96" s="2"/>
      <x:c r="E96" s="2"/>
      <x:c r="F96" s="2"/>
      <x:c r="G96" s="2"/>
      <x:c r="H96" s="2"/>
      <x:c r="I96" s="2"/>
      <x:c r="J96" s="2"/>
      <x:c r="K96" s="2"/>
      <x:c r="L96" s="2"/>
      <x:c r="M96" s="2"/>
      <x:c r="N96" s="2"/>
    </x:row>
    <x:row r="97">
      <x:c r="A97" s="2"/>
      <x:c r="B97" s="2"/>
      <x:c r="C97" s="2"/>
      <x:c r="D97" s="2"/>
      <x:c r="E97" s="2"/>
      <x:c r="F97" s="2"/>
      <x:c r="G97" s="2"/>
      <x:c r="H97" s="2"/>
      <x:c r="I97" s="2"/>
      <x:c r="J97" s="2"/>
      <x:c r="K97" s="2"/>
      <x:c r="L97" s="2"/>
      <x:c r="M97" s="2"/>
      <x:c r="N97" s="2"/>
    </x:row>
    <x:row r="98">
      <x:c r="A98" s="2"/>
      <x:c r="B98" s="2"/>
      <x:c r="C98" s="2"/>
      <x:c r="D98" s="2"/>
      <x:c r="E98" s="2"/>
      <x:c r="F98" s="2"/>
      <x:c r="G98" s="2"/>
      <x:c r="H98" s="2"/>
      <x:c r="I98" s="2"/>
      <x:c r="J98" s="2"/>
      <x:c r="K98" s="2"/>
      <x:c r="L98" s="2"/>
      <x:c r="M98" s="2"/>
      <x:c r="N98" s="2"/>
    </x:row>
    <x:row r="99">
      <x:c r="A99" s="2"/>
      <x:c r="B99" s="2"/>
      <x:c r="C99" s="2"/>
      <x:c r="D99" s="2"/>
      <x:c r="E99" s="2"/>
      <x:c r="F99" s="2"/>
      <x:c r="G99" s="2"/>
      <x:c r="H99" s="2"/>
      <x:c r="I99" s="2"/>
      <x:c r="J99" s="2"/>
      <x:c r="K99" s="2"/>
      <x:c r="L99" s="2"/>
      <x:c r="M99" s="2"/>
      <x:c r="N99" s="2"/>
    </x:row>
    <x:row r="100">
      <x:c r="A100" s="2"/>
      <x:c r="B100" s="2"/>
      <x:c r="C100" s="2"/>
      <x:c r="D100" s="2"/>
      <x:c r="E100" s="2"/>
      <x:c r="F100" s="2"/>
      <x:c r="G100" s="2"/>
      <x:c r="H100" s="2"/>
      <x:c r="I100" s="2"/>
      <x:c r="J100" s="2"/>
      <x:c r="K100" s="2"/>
      <x:c r="L100" s="2"/>
      <x:c r="M100" s="2"/>
      <x:c r="N100" s="2"/>
    </x:row>
    <x:row r="101">
      <x:c r="A101" s="2"/>
      <x:c r="B101" s="2"/>
      <x:c r="C101" s="2"/>
      <x:c r="D101" s="2"/>
      <x:c r="E101" s="2"/>
      <x:c r="F101" s="2"/>
      <x:c r="G101" s="2"/>
      <x:c r="H101" s="2"/>
      <x:c r="I101" s="2"/>
      <x:c r="J101" s="2"/>
      <x:c r="K101" s="2"/>
      <x:c r="L101" s="2"/>
      <x:c r="M101" s="2"/>
      <x:c r="N101" s="2"/>
    </x:row>
    <x:row r="102">
      <x:c r="A102" s="2"/>
      <x:c r="B102" s="2"/>
      <x:c r="C102" s="2"/>
      <x:c r="D102" s="2"/>
      <x:c r="E102" s="2"/>
      <x:c r="F102" s="2"/>
      <x:c r="G102" s="2"/>
      <x:c r="H102" s="2"/>
      <x:c r="I102" s="2"/>
      <x:c r="J102" s="2"/>
      <x:c r="K102" s="2"/>
      <x:c r="L102" s="2"/>
      <x:c r="M102" s="2"/>
      <x:c r="N102" s="2"/>
    </x:row>
    <x:row r="103">
      <x:c r="A103" s="2"/>
      <x:c r="B103" s="2"/>
      <x:c r="C103" s="2"/>
      <x:c r="D103" s="2"/>
      <x:c r="E103" s="2"/>
      <x:c r="F103" s="2"/>
      <x:c r="G103" s="2"/>
      <x:c r="H103" s="2"/>
      <x:c r="I103" s="2"/>
      <x:c r="J103" s="2"/>
      <x:c r="K103" s="2"/>
      <x:c r="L103" s="2"/>
      <x:c r="M103" s="2"/>
      <x:c r="N103" s="2"/>
    </x:row>
    <x:row r="104">
      <x:c r="A104" s="2"/>
      <x:c r="B104" s="2"/>
      <x:c r="C104" s="2"/>
      <x:c r="D104" s="2"/>
      <x:c r="E104" s="2"/>
      <x:c r="F104" s="2"/>
      <x:c r="G104" s="2"/>
      <x:c r="H104" s="2"/>
      <x:c r="I104" s="2"/>
      <x:c r="J104" s="2"/>
      <x:c r="K104" s="2"/>
      <x:c r="L104" s="2"/>
      <x:c r="M104" s="2"/>
      <x:c r="N104" s="2"/>
    </x:row>
    <x:row r="105">
      <x:c r="A105" s="2"/>
      <x:c r="B105" s="2"/>
      <x:c r="C105" s="2"/>
      <x:c r="D105" s="2"/>
      <x:c r="E105" s="2"/>
      <x:c r="F105" s="2"/>
      <x:c r="G105" s="2"/>
      <x:c r="H105" s="2"/>
      <x:c r="I105" s="2"/>
      <x:c r="J105" s="2"/>
      <x:c r="K105" s="2"/>
      <x:c r="L105" s="2"/>
      <x:c r="M105" s="2"/>
      <x:c r="N105" s="2"/>
    </x:row>
    <x:row r="106">
      <x:c r="A106" s="2"/>
      <x:c r="B106" s="2"/>
      <x:c r="C106" s="2"/>
      <x:c r="D106" s="2"/>
      <x:c r="E106" s="2"/>
      <x:c r="F106" s="2"/>
      <x:c r="G106" s="2"/>
      <x:c r="H106" s="2"/>
      <x:c r="I106" s="2"/>
      <x:c r="J106" s="2"/>
      <x:c r="K106" s="2"/>
      <x:c r="L106" s="2"/>
      <x:c r="M106" s="2"/>
      <x:c r="N106" s="2"/>
    </x:row>
    <x:row r="107">
      <x:c r="A107" s="2"/>
      <x:c r="B107" s="2"/>
      <x:c r="C107" s="2"/>
      <x:c r="D107" s="2"/>
      <x:c r="E107" s="2"/>
      <x:c r="F107" s="2"/>
      <x:c r="G107" s="2"/>
      <x:c r="H107" s="2"/>
      <x:c r="I107" s="2"/>
      <x:c r="J107" s="2"/>
      <x:c r="K107" s="2"/>
      <x:c r="L107" s="2"/>
      <x:c r="M107" s="2"/>
      <x:c r="N107" s="2"/>
    </x:row>
    <x:row r="108">
      <x:c r="A108" s="2"/>
      <x:c r="B108" s="2"/>
      <x:c r="C108" s="2"/>
      <x:c r="D108" s="2"/>
      <x:c r="E108" s="2"/>
      <x:c r="F108" s="2"/>
      <x:c r="G108" s="2"/>
      <x:c r="H108" s="2"/>
      <x:c r="I108" s="2"/>
      <x:c r="J108" s="2"/>
      <x:c r="K108" s="2"/>
      <x:c r="L108" s="2"/>
      <x:c r="M108" s="2"/>
      <x:c r="N108" s="2"/>
    </x:row>
    <x:row r="109">
      <x:c r="A109" s="2"/>
      <x:c r="B109" s="2"/>
      <x:c r="C109" s="2"/>
      <x:c r="D109" s="2"/>
      <x:c r="E109" s="2"/>
      <x:c r="F109" s="2"/>
      <x:c r="G109" s="2"/>
      <x:c r="H109" s="2"/>
      <x:c r="I109" s="2"/>
      <x:c r="J109" s="2"/>
      <x:c r="K109" s="2"/>
      <x:c r="L109" s="2"/>
      <x:c r="M109" s="2"/>
      <x:c r="N109" s="2"/>
    </x:row>
    <x:row r="110">
      <x:c r="A110" s="2"/>
      <x:c r="B110" s="2"/>
      <x:c r="C110" s="2"/>
      <x:c r="D110" s="2"/>
      <x:c r="E110" s="2"/>
      <x:c r="F110" s="2"/>
      <x:c r="G110" s="2"/>
      <x:c r="H110" s="2"/>
      <x:c r="I110" s="2"/>
      <x:c r="J110" s="2"/>
      <x:c r="K110" s="2"/>
      <x:c r="L110" s="2"/>
      <x:c r="M110" s="2"/>
      <x:c r="N110" s="2"/>
    </x:row>
    <x:row r="111">
      <x:c r="A111" s="2"/>
      <x:c r="B111" s="2"/>
      <x:c r="C111" s="2"/>
      <x:c r="D111" s="2"/>
      <x:c r="E111" s="2"/>
      <x:c r="F111" s="2"/>
      <x:c r="G111" s="2"/>
      <x:c r="H111" s="2"/>
      <x:c r="I111" s="2"/>
      <x:c r="J111" s="2"/>
      <x:c r="K111" s="2"/>
      <x:c r="L111" s="2"/>
      <x:c r="M111" s="2"/>
      <x:c r="N111" s="2"/>
    </x:row>
    <x:row r="112">
      <x:c r="A112" s="2"/>
      <x:c r="B112" s="2"/>
      <x:c r="C112" s="2"/>
      <x:c r="D112" s="2"/>
      <x:c r="E112" s="2"/>
      <x:c r="F112" s="2"/>
      <x:c r="G112" s="2"/>
      <x:c r="H112" s="2"/>
      <x:c r="I112" s="2"/>
      <x:c r="J112" s="2"/>
      <x:c r="K112" s="2"/>
      <x:c r="L112" s="2"/>
      <x:c r="M112" s="2"/>
      <x:c r="N112" s="2"/>
    </x:row>
    <x:row r="113">
      <x:c r="A113" s="2"/>
      <x:c r="B113" s="2"/>
      <x:c r="C113" s="2"/>
      <x:c r="D113" s="2"/>
      <x:c r="E113" s="2"/>
      <x:c r="F113" s="2"/>
      <x:c r="G113" s="2"/>
      <x:c r="H113" s="2"/>
      <x:c r="I113" s="2"/>
      <x:c r="J113" s="2"/>
      <x:c r="K113" s="2"/>
      <x:c r="L113" s="2"/>
      <x:c r="M113" s="2"/>
      <x:c r="N113" s="2"/>
    </x:row>
    <x:row r="114">
      <x:c r="A114" s="2"/>
      <x:c r="B114" s="2"/>
      <x:c r="C114" s="2"/>
      <x:c r="D114" s="2"/>
      <x:c r="E114" s="2"/>
      <x:c r="F114" s="2"/>
      <x:c r="G114" s="2"/>
      <x:c r="H114" s="2"/>
      <x:c r="I114" s="2"/>
      <x:c r="J114" s="2"/>
      <x:c r="K114" s="2"/>
      <x:c r="L114" s="2"/>
      <x:c r="M114" s="2"/>
      <x:c r="N114" s="2"/>
    </x:row>
    <x:row r="115">
      <x:c r="A115" s="2"/>
      <x:c r="B115" s="2"/>
      <x:c r="C115" s="2"/>
      <x:c r="D115" s="2"/>
      <x:c r="E115" s="2"/>
      <x:c r="F115" s="2"/>
      <x:c r="G115" s="2"/>
      <x:c r="H115" s="2"/>
      <x:c r="I115" s="2"/>
      <x:c r="J115" s="2"/>
      <x:c r="K115" s="2"/>
      <x:c r="L115" s="2"/>
      <x:c r="M115" s="2"/>
      <x:c r="N115" s="2"/>
    </x:row>
    <x:row r="116">
      <x:c r="A116" s="2"/>
      <x:c r="B116" s="2"/>
      <x:c r="C116" s="2"/>
      <x:c r="D116" s="2"/>
      <x:c r="E116" s="2"/>
      <x:c r="F116" s="2"/>
      <x:c r="G116" s="2"/>
      <x:c r="H116" s="2"/>
      <x:c r="I116" s="2"/>
      <x:c r="J116" s="2"/>
      <x:c r="K116" s="2"/>
      <x:c r="L116" s="2"/>
      <x:c r="M116" s="2"/>
      <x:c r="N116" s="2"/>
    </x:row>
    <x:row r="117">
      <x:c r="A117" s="2"/>
      <x:c r="B117" s="2"/>
      <x:c r="C117" s="2"/>
      <x:c r="D117" s="2"/>
      <x:c r="E117" s="2"/>
      <x:c r="F117" s="2"/>
      <x:c r="G117" s="2"/>
      <x:c r="H117" s="2"/>
      <x:c r="I117" s="2"/>
      <x:c r="J117" s="2"/>
      <x:c r="K117" s="2"/>
      <x:c r="L117" s="2"/>
      <x:c r="M117" s="2"/>
      <x:c r="N117" s="2"/>
    </x:row>
    <x:row r="118">
      <x:c r="A118" s="2"/>
      <x:c r="B118" s="2"/>
      <x:c r="C118" s="2"/>
      <x:c r="D118" s="2"/>
      <x:c r="E118" s="2"/>
      <x:c r="F118" s="2"/>
      <x:c r="G118" s="2"/>
      <x:c r="H118" s="2"/>
      <x:c r="I118" s="2"/>
      <x:c r="J118" s="2"/>
      <x:c r="K118" s="2"/>
      <x:c r="L118" s="2"/>
      <x:c r="M118" s="2"/>
      <x:c r="N118" s="2"/>
    </x:row>
    <x:row r="119">
      <x:c r="A119" s="2"/>
      <x:c r="B119" s="2"/>
      <x:c r="C119" s="2"/>
      <x:c r="D119" s="2"/>
      <x:c r="E119" s="2"/>
      <x:c r="F119" s="2"/>
      <x:c r="G119" s="2"/>
      <x:c r="H119" s="2"/>
      <x:c r="I119" s="2"/>
      <x:c r="J119" s="2"/>
      <x:c r="K119" s="2"/>
      <x:c r="L119" s="2"/>
      <x:c r="M119" s="2"/>
      <x:c r="N119" s="2"/>
    </x:row>
    <x:row r="120">
      <x:c r="A120" s="2"/>
      <x:c r="B120" s="2"/>
      <x:c r="C120" s="2"/>
      <x:c r="D120" s="2"/>
      <x:c r="E120" s="2"/>
      <x:c r="F120" s="2"/>
      <x:c r="G120" s="2"/>
      <x:c r="H120" s="2"/>
      <x:c r="I120" s="2"/>
      <x:c r="J120" s="2"/>
      <x:c r="K120" s="2"/>
      <x:c r="L120" s="2"/>
      <x:c r="M120" s="2"/>
      <x:c r="N120" s="2"/>
    </x:row>
    <x:row r="121">
      <x:c r="A121" s="2"/>
      <x:c r="B121" s="2"/>
      <x:c r="C121" s="2"/>
      <x:c r="D121" s="2"/>
      <x:c r="E121" s="2"/>
      <x:c r="F121" s="2"/>
      <x:c r="G121" s="2"/>
      <x:c r="H121" s="2"/>
      <x:c r="I121" s="2"/>
      <x:c r="J121" s="2"/>
      <x:c r="K121" s="2"/>
      <x:c r="L121" s="2"/>
      <x:c r="M121" s="2"/>
      <x:c r="N121" s="2"/>
    </x:row>
    <x:row r="122">
      <x:c r="A122" s="2"/>
      <x:c r="B122" s="2"/>
      <x:c r="C122" s="2"/>
      <x:c r="D122" s="2"/>
      <x:c r="E122" s="2"/>
      <x:c r="F122" s="2"/>
      <x:c r="G122" s="2"/>
      <x:c r="H122" s="2"/>
      <x:c r="I122" s="2"/>
      <x:c r="J122" s="2"/>
      <x:c r="K122" s="2"/>
      <x:c r="L122" s="2"/>
      <x:c r="M122" s="2"/>
      <x:c r="N122" s="2"/>
    </x:row>
    <x:row r="123">
      <x:c r="A123" s="2"/>
      <x:c r="B123" s="2"/>
      <x:c r="C123" s="2"/>
      <x:c r="D123" s="2"/>
      <x:c r="E123" s="2"/>
      <x:c r="F123" s="2"/>
      <x:c r="G123" s="2"/>
      <x:c r="H123" s="2"/>
      <x:c r="I123" s="2"/>
      <x:c r="J123" s="2"/>
      <x:c r="K123" s="2"/>
      <x:c r="L123" s="2"/>
      <x:c r="M123" s="2"/>
      <x:c r="N123" s="2"/>
    </x:row>
    <x:row r="124">
      <x:c r="A124" s="2"/>
      <x:c r="B124" s="2"/>
      <x:c r="C124" s="2"/>
      <x:c r="D124" s="2"/>
      <x:c r="E124" s="2"/>
      <x:c r="F124" s="2"/>
      <x:c r="G124" s="2"/>
      <x:c r="H124" s="2"/>
      <x:c r="I124" s="2"/>
      <x:c r="J124" s="2"/>
      <x:c r="K124" s="2"/>
      <x:c r="L124" s="2"/>
      <x:c r="M124" s="2"/>
      <x:c r="N124" s="2"/>
    </x:row>
    <x:row r="125">
      <x:c r="A125" s="2"/>
      <x:c r="B125" s="2"/>
      <x:c r="C125" s="2"/>
      <x:c r="D125" s="2"/>
      <x:c r="E125" s="2"/>
      <x:c r="F125" s="2"/>
      <x:c r="G125" s="2"/>
      <x:c r="H125" s="2"/>
      <x:c r="I125" s="2"/>
      <x:c r="J125" s="2"/>
      <x:c r="K125" s="2"/>
      <x:c r="L125" s="2"/>
      <x:c r="M125" s="2"/>
      <x:c r="N125" s="2"/>
    </x:row>
    <x:row r="126">
      <x:c r="A126" s="2"/>
      <x:c r="B126" s="2"/>
      <x:c r="C126" s="2"/>
      <x:c r="D126" s="2"/>
      <x:c r="E126" s="2"/>
      <x:c r="F126" s="2"/>
      <x:c r="G126" s="2"/>
      <x:c r="H126" s="2"/>
      <x:c r="I126" s="2"/>
      <x:c r="J126" s="2"/>
      <x:c r="K126" s="2"/>
      <x:c r="L126" s="2"/>
      <x:c r="M126" s="2"/>
      <x:c r="N126" s="2"/>
    </x:row>
    <x:row r="127">
      <x:c r="A127" s="2"/>
      <x:c r="B127" s="2"/>
      <x:c r="C127" s="2"/>
      <x:c r="D127" s="2"/>
      <x:c r="E127" s="2"/>
      <x:c r="F127" s="2"/>
      <x:c r="G127" s="2"/>
      <x:c r="H127" s="2"/>
      <x:c r="I127" s="2"/>
      <x:c r="J127" s="2"/>
      <x:c r="K127" s="2"/>
      <x:c r="L127" s="2"/>
      <x:c r="M127" s="2"/>
      <x:c r="N127" s="2"/>
    </x:row>
    <x:row r="128">
      <x:c r="A128" s="2"/>
      <x:c r="B128" s="2"/>
      <x:c r="C128" s="2"/>
      <x:c r="D128" s="2"/>
      <x:c r="E128" s="2"/>
      <x:c r="F128" s="2"/>
      <x:c r="G128" s="2"/>
      <x:c r="H128" s="2"/>
      <x:c r="I128" s="2"/>
      <x:c r="J128" s="2"/>
      <x:c r="K128" s="2"/>
      <x:c r="L128" s="2"/>
      <x:c r="M128" s="2"/>
      <x:c r="N128" s="2"/>
    </x:row>
    <x:row r="129">
      <x:c r="A129" s="2"/>
      <x:c r="B129" s="2"/>
      <x:c r="C129" s="2"/>
      <x:c r="D129" s="2"/>
      <x:c r="E129" s="2"/>
      <x:c r="F129" s="2"/>
      <x:c r="G129" s="2"/>
      <x:c r="H129" s="2"/>
      <x:c r="I129" s="2"/>
      <x:c r="J129" s="2"/>
      <x:c r="K129" s="2"/>
      <x:c r="L129" s="2"/>
      <x:c r="M129" s="2"/>
      <x:c r="N129" s="2"/>
    </x:row>
    <x:row r="130">
      <x:c r="A130" s="2"/>
      <x:c r="B130" s="2"/>
      <x:c r="C130" s="2"/>
      <x:c r="D130" s="2"/>
      <x:c r="E130" s="2"/>
      <x:c r="F130" s="2"/>
      <x:c r="G130" s="2"/>
      <x:c r="H130" s="2"/>
      <x:c r="I130" s="2"/>
      <x:c r="J130" s="2"/>
      <x:c r="K130" s="2"/>
      <x:c r="L130" s="2"/>
      <x:c r="M130" s="2"/>
      <x:c r="N130" s="2"/>
    </x:row>
    <x:row r="131">
      <x:c r="A131" s="2"/>
      <x:c r="B131" s="2"/>
      <x:c r="C131" s="2"/>
      <x:c r="D131" s="2"/>
      <x:c r="E131" s="2"/>
      <x:c r="F131" s="2"/>
      <x:c r="G131" s="2"/>
      <x:c r="H131" s="2"/>
      <x:c r="I131" s="2"/>
      <x:c r="J131" s="2"/>
      <x:c r="K131" s="2"/>
      <x:c r="L131" s="2"/>
      <x:c r="M131" s="2"/>
      <x:c r="N131" s="2"/>
    </x:row>
    <x:row r="132">
      <x:c r="A132" s="2"/>
      <x:c r="B132" s="2"/>
      <x:c r="C132" s="2"/>
      <x:c r="D132" s="2"/>
      <x:c r="E132" s="2"/>
      <x:c r="F132" s="2"/>
      <x:c r="G132" s="2"/>
      <x:c r="H132" s="2"/>
      <x:c r="I132" s="2"/>
      <x:c r="J132" s="2"/>
      <x:c r="K132" s="2"/>
      <x:c r="L132" s="2"/>
      <x:c r="M132" s="2"/>
      <x:c r="N132" s="2"/>
    </x:row>
    <x:row r="133">
      <x:c r="A133" s="2"/>
      <x:c r="B133" s="2"/>
      <x:c r="C133" s="2"/>
      <x:c r="D133" s="2"/>
      <x:c r="E133" s="2"/>
      <x:c r="F133" s="2"/>
      <x:c r="G133" s="2"/>
      <x:c r="H133" s="2"/>
      <x:c r="I133" s="2"/>
      <x:c r="J133" s="2"/>
      <x:c r="K133" s="2"/>
      <x:c r="L133" s="2"/>
      <x:c r="M133" s="2"/>
      <x:c r="N133" s="2"/>
    </x:row>
    <x:row r="134">
      <x:c r="A134" s="2"/>
      <x:c r="B134" s="2"/>
      <x:c r="C134" s="2"/>
      <x:c r="D134" s="2"/>
      <x:c r="E134" s="2"/>
      <x:c r="F134" s="2"/>
      <x:c r="G134" s="2"/>
      <x:c r="H134" s="2"/>
      <x:c r="I134" s="2"/>
      <x:c r="J134" s="2"/>
      <x:c r="K134" s="2"/>
      <x:c r="L134" s="2"/>
      <x:c r="M134" s="2"/>
      <x:c r="N134" s="2"/>
    </x:row>
    <x:row r="135">
      <x:c r="A135" s="2"/>
      <x:c r="B135" s="2"/>
      <x:c r="C135" s="2"/>
      <x:c r="D135" s="2"/>
      <x:c r="E135" s="2"/>
      <x:c r="F135" s="2"/>
      <x:c r="G135" s="2"/>
      <x:c r="H135" s="2"/>
      <x:c r="I135" s="2"/>
      <x:c r="J135" s="2"/>
      <x:c r="K135" s="2"/>
      <x:c r="L135" s="2"/>
      <x:c r="M135" s="2"/>
      <x:c r="N135" s="2"/>
    </x:row>
    <x:row r="136">
      <x:c r="A136" s="2"/>
      <x:c r="B136" s="2"/>
      <x:c r="C136" s="2"/>
      <x:c r="D136" s="2"/>
      <x:c r="E136" s="2"/>
      <x:c r="F136" s="2"/>
      <x:c r="G136" s="2"/>
      <x:c r="H136" s="2"/>
      <x:c r="I136" s="2"/>
      <x:c r="J136" s="2"/>
      <x:c r="K136" s="2"/>
      <x:c r="L136" s="2"/>
      <x:c r="M136" s="2"/>
      <x:c r="N136" s="2"/>
    </x:row>
    <x:row r="137">
      <x:c r="A137" s="2"/>
      <x:c r="B137" s="2"/>
      <x:c r="C137" s="2"/>
      <x:c r="D137" s="2"/>
      <x:c r="E137" s="2"/>
      <x:c r="F137" s="2"/>
      <x:c r="G137" s="2"/>
      <x:c r="H137" s="2"/>
      <x:c r="I137" s="2"/>
      <x:c r="J137" s="2"/>
      <x:c r="K137" s="2"/>
      <x:c r="L137" s="2"/>
      <x:c r="M137" s="2"/>
      <x:c r="N137" s="2"/>
    </x:row>
    <x:row r="138">
      <x:c r="A138" s="2"/>
      <x:c r="B138" s="2"/>
      <x:c r="C138" s="2"/>
      <x:c r="D138" s="2"/>
      <x:c r="E138" s="2"/>
      <x:c r="F138" s="2"/>
      <x:c r="G138" s="2"/>
      <x:c r="H138" s="2"/>
      <x:c r="I138" s="2"/>
      <x:c r="J138" s="2"/>
      <x:c r="K138" s="2"/>
      <x:c r="L138" s="2"/>
      <x:c r="M138" s="2"/>
      <x:c r="N138" s="2"/>
    </x:row>
    <x:row r="139">
      <x:c r="A139" s="2"/>
      <x:c r="B139" s="2"/>
      <x:c r="C139" s="2"/>
      <x:c r="D139" s="2"/>
      <x:c r="E139" s="2"/>
      <x:c r="F139" s="2"/>
      <x:c r="G139" s="2"/>
      <x:c r="H139" s="2"/>
      <x:c r="I139" s="2"/>
      <x:c r="J139" s="2"/>
      <x:c r="K139" s="2"/>
      <x:c r="L139" s="2"/>
      <x:c r="M139" s="2"/>
      <x:c r="N139" s="2"/>
    </x:row>
    <x:row r="140">
      <x:c r="A140" s="2"/>
      <x:c r="B140" s="2"/>
      <x:c r="C140" s="2"/>
      <x:c r="D140" s="2"/>
      <x:c r="E140" s="2"/>
      <x:c r="F140" s="2"/>
      <x:c r="G140" s="2"/>
      <x:c r="H140" s="2"/>
      <x:c r="I140" s="2"/>
      <x:c r="J140" s="2"/>
      <x:c r="K140" s="2"/>
      <x:c r="L140" s="2"/>
      <x:c r="M140" s="2"/>
      <x:c r="N140" s="2"/>
    </x:row>
    <x:row r="141">
      <x:c r="A141" s="2"/>
      <x:c r="B141" s="2"/>
      <x:c r="C141" s="2"/>
      <x:c r="D141" s="2"/>
      <x:c r="E141" s="2"/>
      <x:c r="F141" s="2"/>
      <x:c r="G141" s="2"/>
      <x:c r="H141" s="2"/>
      <x:c r="I141" s="2"/>
      <x:c r="J141" s="2"/>
      <x:c r="K141" s="2"/>
      <x:c r="L141" s="2"/>
      <x:c r="M141" s="2"/>
      <x:c r="N141" s="2"/>
    </x:row>
    <x:row r="142">
      <x:c r="A142" s="2"/>
      <x:c r="B142" s="2"/>
      <x:c r="C142" s="2"/>
      <x:c r="D142" s="2"/>
      <x:c r="E142" s="2"/>
      <x:c r="F142" s="2"/>
      <x:c r="G142" s="2"/>
      <x:c r="H142" s="2"/>
      <x:c r="I142" s="2"/>
      <x:c r="J142" s="2"/>
      <x:c r="K142" s="2"/>
      <x:c r="L142" s="2"/>
      <x:c r="M142" s="2"/>
      <x:c r="N142" s="2"/>
    </x:row>
    <x:row r="143">
      <x:c r="A143" s="2"/>
      <x:c r="B143" s="2"/>
      <x:c r="C143" s="2"/>
      <x:c r="D143" s="2"/>
      <x:c r="E143" s="2"/>
      <x:c r="F143" s="2"/>
      <x:c r="G143" s="2"/>
      <x:c r="H143" s="2"/>
      <x:c r="I143" s="2"/>
      <x:c r="J143" s="2"/>
      <x:c r="K143" s="2"/>
      <x:c r="L143" s="2"/>
      <x:c r="M143" s="2"/>
      <x:c r="N143" s="2"/>
    </x:row>
    <x:row r="144">
      <x:c r="A144" s="2"/>
      <x:c r="B144" s="2"/>
      <x:c r="C144" s="2"/>
      <x:c r="D144" s="2"/>
      <x:c r="E144" s="2"/>
      <x:c r="F144" s="2"/>
      <x:c r="G144" s="2"/>
      <x:c r="H144" s="2"/>
      <x:c r="I144" s="2"/>
      <x:c r="J144" s="2"/>
      <x:c r="K144" s="2"/>
      <x:c r="L144" s="2"/>
      <x:c r="M144" s="2"/>
      <x:c r="N144" s="2"/>
    </x:row>
    <x:row r="145">
      <x:c r="A145" s="2"/>
      <x:c r="B145" s="2"/>
      <x:c r="C145" s="2"/>
      <x:c r="D145" s="2"/>
      <x:c r="E145" s="2"/>
      <x:c r="F145" s="2"/>
      <x:c r="G145" s="2"/>
      <x:c r="H145" s="2"/>
      <x:c r="I145" s="2"/>
      <x:c r="J145" s="2"/>
      <x:c r="K145" s="2"/>
      <x:c r="L145" s="2"/>
      <x:c r="M145" s="2"/>
      <x:c r="N145" s="2"/>
    </x:row>
    <x:row r="146">
      <x:c r="A146" s="2"/>
      <x:c r="B146" s="2"/>
      <x:c r="C146" s="2"/>
      <x:c r="D146" s="2"/>
      <x:c r="E146" s="2"/>
      <x:c r="F146" s="2"/>
      <x:c r="G146" s="2"/>
      <x:c r="H146" s="2"/>
      <x:c r="I146" s="2"/>
      <x:c r="J146" s="2"/>
      <x:c r="K146" s="2"/>
      <x:c r="L146" s="2"/>
      <x:c r="M146" s="2"/>
      <x:c r="N146" s="2"/>
    </x:row>
    <x:row r="147">
      <x:c r="A147" s="2"/>
      <x:c r="B147" s="2"/>
      <x:c r="C147" s="2"/>
      <x:c r="D147" s="2"/>
      <x:c r="E147" s="2"/>
      <x:c r="F147" s="2"/>
      <x:c r="G147" s="2"/>
      <x:c r="H147" s="2"/>
      <x:c r="I147" s="2"/>
      <x:c r="J147" s="2"/>
      <x:c r="K147" s="2"/>
      <x:c r="L147" s="2"/>
      <x:c r="M147" s="2"/>
      <x:c r="N147" s="2"/>
    </x:row>
    <x:row r="148">
      <x:c r="A148" s="2"/>
      <x:c r="B148" s="2"/>
      <x:c r="C148" s="2"/>
      <x:c r="D148" s="2"/>
      <x:c r="E148" s="2"/>
      <x:c r="F148" s="2"/>
      <x:c r="G148" s="2"/>
      <x:c r="H148" s="2"/>
      <x:c r="I148" s="2"/>
      <x:c r="J148" s="2"/>
      <x:c r="K148" s="2"/>
      <x:c r="L148" s="2"/>
      <x:c r="M148" s="2"/>
      <x:c r="N148" s="2"/>
    </x:row>
    <x:row r="149">
      <x:c r="A149" s="2"/>
      <x:c r="B149" s="2"/>
      <x:c r="C149" s="2"/>
      <x:c r="D149" s="2"/>
      <x:c r="E149" s="2"/>
      <x:c r="F149" s="2"/>
      <x:c r="G149" s="2"/>
      <x:c r="H149" s="2"/>
      <x:c r="I149" s="2"/>
      <x:c r="J149" s="2"/>
      <x:c r="K149" s="2"/>
      <x:c r="L149" s="2"/>
      <x:c r="M149" s="2"/>
      <x:c r="N149" s="2"/>
    </x:row>
    <x:row r="150">
      <x:c r="A150" s="2"/>
      <x:c r="B150" s="2"/>
      <x:c r="C150" s="2"/>
      <x:c r="D150" s="2"/>
      <x:c r="E150" s="2"/>
      <x:c r="F150" s="2"/>
      <x:c r="G150" s="2"/>
      <x:c r="H150" s="2"/>
      <x:c r="I150" s="2"/>
      <x:c r="J150" s="2"/>
      <x:c r="K150" s="2"/>
      <x:c r="L150" s="2"/>
      <x:c r="M150" s="2"/>
      <x:c r="N150" s="2"/>
    </x:row>
    <x:row r="151">
      <x:c r="A151" s="2"/>
      <x:c r="B151" s="2"/>
      <x:c r="C151" s="2"/>
      <x:c r="D151" s="2"/>
      <x:c r="E151" s="2"/>
      <x:c r="F151" s="2"/>
      <x:c r="G151" s="2"/>
      <x:c r="H151" s="2"/>
      <x:c r="I151" s="2"/>
      <x:c r="J151" s="2"/>
      <x:c r="K151" s="2"/>
      <x:c r="L151" s="2"/>
      <x:c r="M151" s="2"/>
      <x:c r="N151" s="2"/>
    </x:row>
    <x:row r="152">
      <x:c r="A152" s="2"/>
      <x:c r="B152" s="2"/>
      <x:c r="C152" s="2"/>
      <x:c r="D152" s="2"/>
      <x:c r="E152" s="2"/>
      <x:c r="F152" s="2"/>
      <x:c r="G152" s="2"/>
      <x:c r="H152" s="2"/>
      <x:c r="I152" s="2"/>
      <x:c r="J152" s="2"/>
      <x:c r="K152" s="2"/>
      <x:c r="L152" s="2"/>
      <x:c r="M152" s="2"/>
      <x:c r="N152" s="2"/>
    </x:row>
    <x:row r="153">
      <x:c r="A153" s="2"/>
      <x:c r="B153" s="2"/>
      <x:c r="C153" s="2"/>
      <x:c r="D153" s="2"/>
      <x:c r="E153" s="2"/>
      <x:c r="F153" s="2"/>
      <x:c r="G153" s="2"/>
      <x:c r="H153" s="2"/>
      <x:c r="I153" s="2"/>
      <x:c r="J153" s="2"/>
      <x:c r="K153" s="2"/>
      <x:c r="L153" s="2"/>
      <x:c r="M153" s="2"/>
      <x:c r="N153" s="2"/>
    </x:row>
    <x:row r="154">
      <x:c r="A154" s="2"/>
      <x:c r="B154" s="2"/>
      <x:c r="C154" s="2"/>
      <x:c r="D154" s="2"/>
      <x:c r="E154" s="2"/>
      <x:c r="F154" s="2"/>
      <x:c r="G154" s="2"/>
      <x:c r="H154" s="2"/>
      <x:c r="I154" s="2"/>
      <x:c r="J154" s="2"/>
      <x:c r="K154" s="2"/>
      <x:c r="L154" s="2"/>
      <x:c r="M154" s="2"/>
      <x:c r="N154" s="2"/>
    </x:row>
    <x:row r="155">
      <x:c r="A155" s="2"/>
      <x:c r="B155" s="2"/>
      <x:c r="C155" s="2"/>
      <x:c r="D155" s="2"/>
      <x:c r="E155" s="2"/>
      <x:c r="F155" s="2"/>
      <x:c r="G155" s="2"/>
      <x:c r="H155" s="2"/>
      <x:c r="I155" s="2"/>
      <x:c r="J155" s="2"/>
      <x:c r="K155" s="2"/>
      <x:c r="L155" s="2"/>
      <x:c r="M155" s="2"/>
      <x:c r="N155" s="2"/>
    </x:row>
    <x:row r="156">
      <x:c r="A156" s="2"/>
      <x:c r="B156" s="2"/>
      <x:c r="C156" s="2"/>
      <x:c r="D156" s="2"/>
      <x:c r="E156" s="2"/>
      <x:c r="F156" s="2"/>
      <x:c r="G156" s="2"/>
      <x:c r="H156" s="2"/>
      <x:c r="I156" s="2"/>
      <x:c r="J156" s="2"/>
      <x:c r="K156" s="2"/>
      <x:c r="L156" s="2"/>
      <x:c r="M156" s="2"/>
      <x:c r="N156" s="2"/>
    </x:row>
    <x:row r="157">
      <x:c r="A157" s="2"/>
      <x:c r="B157" s="2"/>
      <x:c r="C157" s="2"/>
      <x:c r="D157" s="2"/>
      <x:c r="E157" s="2"/>
      <x:c r="F157" s="2"/>
      <x:c r="G157" s="2"/>
      <x:c r="H157" s="2"/>
      <x:c r="I157" s="2"/>
      <x:c r="J157" s="2"/>
      <x:c r="K157" s="2"/>
      <x:c r="L157" s="2"/>
      <x:c r="M157" s="2"/>
      <x:c r="N157" s="2"/>
    </x:row>
    <x:row r="158">
      <x:c r="A158" s="2"/>
      <x:c r="B158" s="2"/>
      <x:c r="C158" s="2"/>
      <x:c r="D158" s="2"/>
      <x:c r="E158" s="2"/>
      <x:c r="F158" s="2"/>
      <x:c r="G158" s="2"/>
      <x:c r="H158" s="2"/>
      <x:c r="I158" s="2"/>
      <x:c r="J158" s="2"/>
      <x:c r="K158" s="2"/>
      <x:c r="L158" s="2"/>
      <x:c r="M158" s="2"/>
      <x:c r="N158" s="2"/>
    </x:row>
    <x:row r="159">
      <x:c r="A159" s="2"/>
      <x:c r="B159" s="2"/>
      <x:c r="C159" s="2"/>
      <x:c r="D159" s="2"/>
      <x:c r="E159" s="2"/>
      <x:c r="F159" s="2"/>
      <x:c r="G159" s="2"/>
      <x:c r="H159" s="2"/>
      <x:c r="I159" s="2"/>
      <x:c r="J159" s="2"/>
      <x:c r="K159" s="2"/>
      <x:c r="L159" s="2"/>
      <x:c r="M159" s="2"/>
      <x:c r="N159" s="2"/>
    </x:row>
    <x:row r="160">
      <x:c r="A160" s="2"/>
      <x:c r="B160" s="2"/>
      <x:c r="C160" s="2"/>
      <x:c r="D160" s="2"/>
      <x:c r="E160" s="2"/>
      <x:c r="F160" s="2"/>
      <x:c r="G160" s="2"/>
      <x:c r="H160" s="2"/>
      <x:c r="I160" s="2"/>
      <x:c r="J160" s="2"/>
      <x:c r="K160" s="2"/>
      <x:c r="L160" s="2"/>
      <x:c r="M160" s="2"/>
      <x:c r="N160" s="2"/>
    </x:row>
    <x:row r="161">
      <x:c r="A161" s="2"/>
      <x:c r="B161" s="2"/>
      <x:c r="C161" s="2"/>
      <x:c r="D161" s="2"/>
      <x:c r="E161" s="2"/>
      <x:c r="F161" s="2"/>
      <x:c r="G161" s="2"/>
      <x:c r="H161" s="2"/>
      <x:c r="I161" s="2"/>
      <x:c r="J161" s="2"/>
      <x:c r="K161" s="2"/>
      <x:c r="L161" s="2"/>
      <x:c r="M161" s="2"/>
      <x:c r="N161" s="2"/>
    </x:row>
    <x:row r="162">
      <x:c r="A162" s="2"/>
      <x:c r="B162" s="2"/>
      <x:c r="C162" s="2"/>
      <x:c r="D162" s="2"/>
      <x:c r="E162" s="2"/>
      <x:c r="F162" s="2"/>
      <x:c r="G162" s="2"/>
      <x:c r="H162" s="2"/>
      <x:c r="I162" s="2"/>
      <x:c r="J162" s="2"/>
      <x:c r="K162" s="2"/>
      <x:c r="L162" s="2"/>
      <x:c r="M162" s="2"/>
      <x:c r="N162" s="2"/>
    </x:row>
    <x:row r="163">
      <x:c r="A163" s="2"/>
      <x:c r="B163" s="2"/>
      <x:c r="C163" s="2"/>
      <x:c r="D163" s="2"/>
      <x:c r="E163" s="2"/>
      <x:c r="F163" s="2"/>
      <x:c r="G163" s="2"/>
      <x:c r="H163" s="2"/>
      <x:c r="I163" s="2"/>
      <x:c r="J163" s="2"/>
      <x:c r="K163" s="2"/>
      <x:c r="L163" s="2"/>
      <x:c r="M163" s="2"/>
      <x:c r="N163" s="2"/>
    </x:row>
    <x:row r="164">
      <x:c r="A164" s="2"/>
      <x:c r="B164" s="2"/>
      <x:c r="C164" s="2"/>
      <x:c r="D164" s="2"/>
      <x:c r="E164" s="2"/>
      <x:c r="F164" s="2"/>
      <x:c r="G164" s="2"/>
      <x:c r="H164" s="2"/>
      <x:c r="I164" s="2"/>
      <x:c r="J164" s="2"/>
      <x:c r="K164" s="2"/>
      <x:c r="L164" s="2"/>
      <x:c r="M164" s="2"/>
      <x:c r="N164" s="2"/>
    </x:row>
    <x:row r="165">
      <x:c r="A165" s="2"/>
      <x:c r="B165" s="2"/>
      <x:c r="C165" s="2"/>
      <x:c r="D165" s="2"/>
      <x:c r="E165" s="2"/>
      <x:c r="F165" s="2"/>
      <x:c r="G165" s="2"/>
      <x:c r="H165" s="2"/>
      <x:c r="I165" s="2"/>
      <x:c r="J165" s="2"/>
      <x:c r="K165" s="2"/>
      <x:c r="L165" s="2"/>
      <x:c r="M165" s="2"/>
      <x:c r="N165" s="2"/>
    </x:row>
    <x:row r="166">
      <x:c r="A166" s="2"/>
      <x:c r="B166" s="2"/>
      <x:c r="C166" s="2"/>
      <x:c r="D166" s="2"/>
      <x:c r="E166" s="2"/>
      <x:c r="F166" s="2"/>
      <x:c r="G166" s="2"/>
      <x:c r="H166" s="2"/>
      <x:c r="I166" s="2"/>
      <x:c r="J166" s="2"/>
      <x:c r="K166" s="2"/>
      <x:c r="L166" s="2"/>
      <x:c r="M166" s="2"/>
      <x:c r="N166" s="2"/>
    </x:row>
    <x:row r="167">
      <x:c r="A167" s="2"/>
      <x:c r="B167" s="2"/>
      <x:c r="C167" s="2"/>
      <x:c r="D167" s="2"/>
      <x:c r="E167" s="2"/>
      <x:c r="F167" s="2"/>
      <x:c r="G167" s="2"/>
      <x:c r="H167" s="2"/>
      <x:c r="I167" s="2"/>
      <x:c r="J167" s="2"/>
      <x:c r="K167" s="2"/>
      <x:c r="L167" s="2"/>
      <x:c r="M167" s="2"/>
      <x:c r="N167" s="2"/>
    </x:row>
    <x:row r="168">
      <x:c r="A168" s="2"/>
      <x:c r="B168" s="2"/>
      <x:c r="C168" s="2"/>
      <x:c r="D168" s="2"/>
      <x:c r="E168" s="2"/>
      <x:c r="F168" s="2"/>
      <x:c r="G168" s="2"/>
      <x:c r="H168" s="2"/>
      <x:c r="I168" s="2"/>
      <x:c r="J168" s="2"/>
      <x:c r="K168" s="2"/>
      <x:c r="L168" s="2"/>
      <x:c r="M168" s="2"/>
      <x:c r="N168" s="2"/>
    </x:row>
    <x:row r="169">
      <x:c r="A169" s="2"/>
      <x:c r="B169" s="2"/>
      <x:c r="C169" s="2"/>
      <x:c r="D169" s="2"/>
      <x:c r="E169" s="2"/>
      <x:c r="F169" s="2"/>
      <x:c r="G169" s="2"/>
      <x:c r="H169" s="2"/>
      <x:c r="I169" s="2"/>
      <x:c r="J169" s="2"/>
      <x:c r="K169" s="2"/>
      <x:c r="L169" s="2"/>
      <x:c r="M169" s="2"/>
      <x:c r="N169" s="2"/>
    </x:row>
    <x:row r="170">
      <x:c r="A170" s="2"/>
      <x:c r="B170" s="2"/>
      <x:c r="C170" s="2"/>
      <x:c r="D170" s="2"/>
      <x:c r="E170" s="2"/>
      <x:c r="F170" s="2"/>
      <x:c r="G170" s="2"/>
      <x:c r="H170" s="2"/>
      <x:c r="I170" s="2"/>
      <x:c r="J170" s="2"/>
      <x:c r="K170" s="2"/>
      <x:c r="L170" s="2"/>
      <x:c r="M170" s="2"/>
      <x:c r="N170" s="2"/>
    </x:row>
    <x:row r="171">
      <x:c r="A171" s="2"/>
      <x:c r="B171" s="2"/>
      <x:c r="C171" s="2"/>
      <x:c r="D171" s="2"/>
      <x:c r="E171" s="2"/>
      <x:c r="F171" s="2"/>
      <x:c r="G171" s="2"/>
      <x:c r="H171" s="2"/>
      <x:c r="I171" s="2"/>
      <x:c r="J171" s="2"/>
      <x:c r="K171" s="2"/>
      <x:c r="L171" s="2"/>
      <x:c r="M171" s="2"/>
      <x:c r="N171" s="2"/>
    </x:row>
    <x:row r="172">
      <x:c r="A172" s="2"/>
      <x:c r="B172" s="2"/>
      <x:c r="C172" s="2"/>
      <x:c r="D172" s="2"/>
      <x:c r="E172" s="2"/>
      <x:c r="F172" s="2"/>
      <x:c r="G172" s="2"/>
      <x:c r="H172" s="2"/>
      <x:c r="I172" s="2"/>
      <x:c r="J172" s="2"/>
      <x:c r="K172" s="2"/>
      <x:c r="L172" s="2"/>
      <x:c r="M172" s="2"/>
      <x:c r="N172" s="2"/>
    </x:row>
    <x:row r="173">
      <x:c r="A173" s="2"/>
      <x:c r="B173" s="2"/>
      <x:c r="C173" s="2"/>
      <x:c r="D173" s="2"/>
      <x:c r="E173" s="2"/>
      <x:c r="F173" s="2"/>
      <x:c r="G173" s="2"/>
      <x:c r="H173" s="2"/>
      <x:c r="I173" s="2"/>
      <x:c r="J173" s="2"/>
      <x:c r="K173" s="2"/>
      <x:c r="L173" s="2"/>
      <x:c r="M173" s="2"/>
      <x:c r="N173" s="2"/>
    </x:row>
    <x:row r="174">
      <x:c r="A174" s="2"/>
      <x:c r="B174" s="2"/>
      <x:c r="C174" s="2"/>
      <x:c r="D174" s="2"/>
      <x:c r="E174" s="2"/>
      <x:c r="F174" s="2"/>
      <x:c r="G174" s="2"/>
      <x:c r="H174" s="2"/>
      <x:c r="I174" s="2"/>
      <x:c r="J174" s="2"/>
      <x:c r="K174" s="2"/>
      <x:c r="L174" s="2"/>
      <x:c r="M174" s="2"/>
      <x:c r="N174" s="2"/>
    </x:row>
    <x:row r="175">
      <x:c r="A175" s="2"/>
      <x:c r="B175" s="2"/>
      <x:c r="C175" s="2"/>
      <x:c r="D175" s="2"/>
      <x:c r="E175" s="2"/>
      <x:c r="F175" s="2"/>
      <x:c r="G175" s="2"/>
      <x:c r="H175" s="2"/>
      <x:c r="I175" s="2"/>
      <x:c r="J175" s="2"/>
      <x:c r="K175" s="2"/>
      <x:c r="L175" s="2"/>
      <x:c r="M175" s="2"/>
      <x:c r="N175" s="2"/>
    </x:row>
    <x:row r="176">
      <x:c r="A176" s="2"/>
      <x:c r="B176" s="2"/>
      <x:c r="C176" s="2"/>
      <x:c r="D176" s="2"/>
      <x:c r="E176" s="2"/>
      <x:c r="F176" s="2"/>
      <x:c r="G176" s="2"/>
      <x:c r="H176" s="2"/>
      <x:c r="I176" s="2"/>
      <x:c r="J176" s="2"/>
      <x:c r="K176" s="2"/>
      <x:c r="L176" s="2"/>
      <x:c r="M176" s="2"/>
      <x:c r="N176" s="2"/>
    </x:row>
    <x:row r="177">
      <x:c r="A177" s="2"/>
      <x:c r="B177" s="2"/>
      <x:c r="C177" s="2"/>
      <x:c r="D177" s="2"/>
      <x:c r="E177" s="2"/>
      <x:c r="F177" s="2"/>
      <x:c r="G177" s="2"/>
      <x:c r="H177" s="2"/>
      <x:c r="I177" s="2"/>
      <x:c r="J177" s="2"/>
      <x:c r="K177" s="2"/>
      <x:c r="L177" s="2"/>
      <x:c r="M177" s="2"/>
      <x:c r="N177" s="2"/>
    </x:row>
    <x:row r="178">
      <x:c r="A178" s="2"/>
      <x:c r="B178" s="2"/>
      <x:c r="C178" s="2"/>
      <x:c r="D178" s="2"/>
      <x:c r="E178" s="2"/>
      <x:c r="F178" s="2"/>
      <x:c r="G178" s="2"/>
      <x:c r="H178" s="2"/>
      <x:c r="I178" s="2"/>
      <x:c r="J178" s="2"/>
      <x:c r="K178" s="2"/>
      <x:c r="L178" s="2"/>
      <x:c r="M178" s="2"/>
      <x:c r="N178" s="2"/>
    </x:row>
    <x:row r="179">
      <x:c r="A179" s="2"/>
      <x:c r="B179" s="2"/>
      <x:c r="C179" s="2"/>
      <x:c r="D179" s="2"/>
      <x:c r="E179" s="2"/>
      <x:c r="F179" s="2"/>
      <x:c r="G179" s="2"/>
      <x:c r="H179" s="2"/>
      <x:c r="I179" s="2"/>
      <x:c r="J179" s="2"/>
      <x:c r="K179" s="2"/>
      <x:c r="L179" s="2"/>
      <x:c r="M179" s="2"/>
      <x:c r="N179" s="2"/>
    </x:row>
    <x:row r="180">
      <x:c r="A180" s="2"/>
      <x:c r="B180" s="2"/>
      <x:c r="C180" s="2"/>
      <x:c r="D180" s="2"/>
      <x:c r="E180" s="2"/>
      <x:c r="F180" s="2"/>
      <x:c r="G180" s="2"/>
      <x:c r="H180" s="2"/>
      <x:c r="I180" s="2"/>
      <x:c r="J180" s="2"/>
      <x:c r="K180" s="2"/>
      <x:c r="L180" s="2"/>
      <x:c r="M180" s="2"/>
      <x:c r="N180" s="2"/>
    </x:row>
    <x:row r="181">
      <x:c r="A181" s="2"/>
      <x:c r="B181" s="2"/>
      <x:c r="C181" s="2"/>
      <x:c r="D181" s="2"/>
      <x:c r="E181" s="2"/>
      <x:c r="F181" s="2"/>
      <x:c r="G181" s="2"/>
      <x:c r="H181" s="2"/>
      <x:c r="I181" s="2"/>
      <x:c r="J181" s="2"/>
      <x:c r="K181" s="2"/>
      <x:c r="L181" s="2"/>
      <x:c r="M181" s="2"/>
      <x:c r="N181" s="2"/>
    </x:row>
    <x:row r="182">
      <x:c r="A182" s="2"/>
      <x:c r="B182" s="2"/>
      <x:c r="C182" s="2"/>
      <x:c r="D182" s="2"/>
      <x:c r="E182" s="2"/>
      <x:c r="F182" s="2"/>
      <x:c r="G182" s="2"/>
      <x:c r="H182" s="2"/>
      <x:c r="I182" s="2"/>
      <x:c r="J182" s="2"/>
      <x:c r="K182" s="2"/>
      <x:c r="L182" s="2"/>
      <x:c r="M182" s="2"/>
      <x:c r="N182" s="2"/>
    </x:row>
    <x:row r="183">
      <x:c r="A183" s="2"/>
      <x:c r="B183" s="2"/>
      <x:c r="C183" s="2"/>
      <x:c r="D183" s="2"/>
      <x:c r="E183" s="2"/>
      <x:c r="F183" s="2"/>
      <x:c r="G183" s="2"/>
      <x:c r="H183" s="2"/>
      <x:c r="I183" s="2"/>
      <x:c r="J183" s="2"/>
      <x:c r="K183" s="2"/>
      <x:c r="L183" s="2"/>
      <x:c r="M183" s="2"/>
      <x:c r="N183" s="2"/>
    </x:row>
    <x:row r="184">
      <x:c r="A184" s="2"/>
      <x:c r="B184" s="2"/>
      <x:c r="C184" s="2"/>
      <x:c r="D184" s="2"/>
      <x:c r="E184" s="2"/>
      <x:c r="F184" s="2"/>
      <x:c r="G184" s="2"/>
      <x:c r="H184" s="2"/>
      <x:c r="I184" s="2"/>
      <x:c r="J184" s="2"/>
      <x:c r="K184" s="2"/>
      <x:c r="L184" s="2"/>
      <x:c r="M184" s="2"/>
      <x:c r="N184" s="2"/>
    </x:row>
    <x:row r="185">
      <x:c r="A185" s="2"/>
      <x:c r="B185" s="2"/>
      <x:c r="C185" s="2"/>
      <x:c r="D185" s="2"/>
      <x:c r="E185" s="2"/>
      <x:c r="F185" s="2"/>
      <x:c r="G185" s="2"/>
      <x:c r="H185" s="2"/>
      <x:c r="I185" s="2"/>
      <x:c r="J185" s="2"/>
      <x:c r="K185" s="2"/>
      <x:c r="L185" s="2"/>
      <x:c r="M185" s="2"/>
      <x:c r="N185" s="2"/>
    </x:row>
    <x:row r="186">
      <x:c r="A186" s="2"/>
      <x:c r="B186" s="2"/>
      <x:c r="C186" s="2"/>
      <x:c r="D186" s="2"/>
      <x:c r="E186" s="2"/>
      <x:c r="F186" s="2"/>
      <x:c r="G186" s="2"/>
      <x:c r="H186" s="2"/>
      <x:c r="I186" s="2"/>
      <x:c r="J186" s="2"/>
      <x:c r="K186" s="2"/>
      <x:c r="L186" s="2"/>
      <x:c r="M186" s="2"/>
      <x:c r="N186" s="2"/>
    </x:row>
    <x:row r="187">
      <x:c r="A187" s="2"/>
      <x:c r="B187" s="2"/>
      <x:c r="C187" s="2"/>
      <x:c r="D187" s="2"/>
      <x:c r="E187" s="2"/>
      <x:c r="F187" s="2"/>
      <x:c r="G187" s="2"/>
      <x:c r="H187" s="2"/>
      <x:c r="I187" s="2"/>
      <x:c r="J187" s="2"/>
      <x:c r="K187" s="2"/>
      <x:c r="L187" s="2"/>
      <x:c r="M187" s="2"/>
      <x:c r="N187" s="2"/>
    </x:row>
    <x:row r="188">
      <x:c r="A188" s="2"/>
      <x:c r="B188" s="2"/>
      <x:c r="C188" s="2"/>
      <x:c r="D188" s="2"/>
      <x:c r="E188" s="2"/>
      <x:c r="F188" s="2"/>
      <x:c r="G188" s="2"/>
      <x:c r="H188" s="2"/>
      <x:c r="I188" s="2"/>
      <x:c r="J188" s="2"/>
      <x:c r="K188" s="2"/>
      <x:c r="L188" s="2"/>
      <x:c r="M188" s="2"/>
      <x:c r="N188" s="2"/>
    </x:row>
    <x:row r="189">
      <x:c r="A189" s="2"/>
      <x:c r="B189" s="2"/>
      <x:c r="C189" s="2"/>
      <x:c r="D189" s="2"/>
      <x:c r="E189" s="2"/>
      <x:c r="F189" s="2"/>
      <x:c r="G189" s="2"/>
      <x:c r="H189" s="2"/>
      <x:c r="I189" s="2"/>
      <x:c r="J189" s="2"/>
      <x:c r="K189" s="2"/>
      <x:c r="L189" s="2"/>
      <x:c r="M189" s="2"/>
      <x:c r="N189" s="2"/>
    </x:row>
    <x:row r="190">
      <x:c r="A190" s="2"/>
      <x:c r="B190" s="2"/>
      <x:c r="C190" s="2"/>
      <x:c r="D190" s="2"/>
      <x:c r="E190" s="2"/>
      <x:c r="F190" s="2"/>
      <x:c r="G190" s="2"/>
      <x:c r="H190" s="2"/>
      <x:c r="I190" s="2"/>
      <x:c r="J190" s="2"/>
      <x:c r="K190" s="2"/>
      <x:c r="L190" s="2"/>
      <x:c r="M190" s="2"/>
      <x:c r="N190" s="2"/>
    </x:row>
    <x:row r="191">
      <x:c r="A191" s="2"/>
      <x:c r="B191" s="2"/>
      <x:c r="C191" s="2"/>
      <x:c r="D191" s="2"/>
      <x:c r="E191" s="2"/>
      <x:c r="F191" s="2"/>
      <x:c r="G191" s="2"/>
      <x:c r="H191" s="2"/>
      <x:c r="I191" s="2"/>
      <x:c r="J191" s="2"/>
      <x:c r="K191" s="2"/>
      <x:c r="L191" s="2"/>
      <x:c r="M191" s="2"/>
      <x:c r="N191" s="2"/>
    </x:row>
    <x:row r="192">
      <x:c r="A192" s="2"/>
      <x:c r="B192" s="2"/>
      <x:c r="C192" s="2"/>
      <x:c r="D192" s="2"/>
      <x:c r="E192" s="2"/>
      <x:c r="F192" s="2"/>
      <x:c r="G192" s="2"/>
      <x:c r="H192" s="2"/>
      <x:c r="I192" s="2"/>
      <x:c r="J192" s="2"/>
      <x:c r="K192" s="2"/>
      <x:c r="L192" s="2"/>
      <x:c r="M192" s="2"/>
      <x:c r="N192" s="2"/>
    </x:row>
    <x:row r="193">
      <x:c r="A193" s="2"/>
      <x:c r="B193" s="2"/>
      <x:c r="C193" s="2"/>
      <x:c r="D193" s="2"/>
      <x:c r="E193" s="2"/>
      <x:c r="F193" s="2"/>
      <x:c r="G193" s="2"/>
      <x:c r="H193" s="2"/>
      <x:c r="I193" s="2"/>
      <x:c r="J193" s="2"/>
      <x:c r="K193" s="2"/>
      <x:c r="L193" s="2"/>
      <x:c r="M193" s="2"/>
      <x:c r="N193" s="2"/>
    </x:row>
    <x:row r="194">
      <x:c r="A194" s="2"/>
      <x:c r="B194" s="2"/>
      <x:c r="C194" s="2"/>
      <x:c r="D194" s="2"/>
      <x:c r="E194" s="2"/>
      <x:c r="F194" s="2"/>
      <x:c r="G194" s="2"/>
      <x:c r="H194" s="2"/>
      <x:c r="I194" s="2"/>
      <x:c r="J194" s="2"/>
      <x:c r="K194" s="2"/>
      <x:c r="L194" s="2"/>
      <x:c r="M194" s="2"/>
      <x:c r="N194" s="2"/>
    </x:row>
    <x:row r="195">
      <x:c r="A195" s="2"/>
      <x:c r="B195" s="2"/>
      <x:c r="C195" s="2"/>
      <x:c r="D195" s="2"/>
      <x:c r="E195" s="2"/>
      <x:c r="F195" s="2"/>
      <x:c r="G195" s="2"/>
      <x:c r="H195" s="2"/>
      <x:c r="I195" s="2"/>
      <x:c r="J195" s="2"/>
      <x:c r="K195" s="2"/>
      <x:c r="L195" s="2"/>
      <x:c r="M195" s="2"/>
      <x:c r="N195" s="2"/>
    </x:row>
    <x:row r="196">
      <x:c r="A196" s="2"/>
      <x:c r="B196" s="2"/>
      <x:c r="C196" s="2"/>
      <x:c r="D196" s="2"/>
      <x:c r="E196" s="2"/>
      <x:c r="F196" s="2"/>
      <x:c r="G196" s="2"/>
      <x:c r="H196" s="2"/>
      <x:c r="I196" s="2"/>
      <x:c r="J196" s="2"/>
      <x:c r="K196" s="2"/>
      <x:c r="L196" s="2"/>
      <x:c r="M196" s="2"/>
      <x:c r="N196" s="2"/>
    </x:row>
    <x:row r="197">
      <x:c r="A197" s="2"/>
      <x:c r="B197" s="2"/>
      <x:c r="C197" s="2"/>
      <x:c r="D197" s="2"/>
      <x:c r="E197" s="2"/>
      <x:c r="F197" s="2"/>
      <x:c r="G197" s="2"/>
      <x:c r="H197" s="2"/>
      <x:c r="I197" s="2"/>
      <x:c r="J197" s="2"/>
      <x:c r="K197" s="2"/>
      <x:c r="L197" s="2"/>
      <x:c r="M197" s="2"/>
      <x:c r="N197" s="2"/>
    </x:row>
    <x:row r="198">
      <x:c r="A198" s="2"/>
      <x:c r="B198" s="2"/>
      <x:c r="C198" s="2"/>
      <x:c r="D198" s="2"/>
      <x:c r="E198" s="2"/>
      <x:c r="F198" s="2"/>
      <x:c r="G198" s="2"/>
      <x:c r="H198" s="2"/>
      <x:c r="I198" s="2"/>
      <x:c r="J198" s="2"/>
      <x:c r="K198" s="2"/>
      <x:c r="L198" s="2"/>
      <x:c r="M198" s="2"/>
      <x:c r="N198" s="2"/>
    </x:row>
    <x:row r="199">
      <x:c r="A199" s="2"/>
      <x:c r="B199" s="2"/>
      <x:c r="C199" s="2"/>
      <x:c r="D199" s="2"/>
      <x:c r="E199" s="2"/>
      <x:c r="F199" s="2"/>
      <x:c r="G199" s="2"/>
      <x:c r="H199" s="2"/>
      <x:c r="I199" s="2"/>
      <x:c r="J199" s="2"/>
      <x:c r="K199" s="2"/>
      <x:c r="L199" s="2"/>
      <x:c r="M199" s="2"/>
      <x:c r="N199" s="2"/>
    </x:row>
    <x:row r="200">
      <x:c r="A200" s="2"/>
      <x:c r="B200" s="2"/>
      <x:c r="C200" s="2"/>
      <x:c r="D200" s="2"/>
      <x:c r="E200" s="2"/>
      <x:c r="F200" s="2"/>
      <x:c r="G200" s="2"/>
      <x:c r="H200" s="2"/>
      <x:c r="I200" s="2"/>
      <x:c r="J200" s="2"/>
      <x:c r="K200" s="2"/>
      <x:c r="L200" s="2"/>
      <x:c r="M200" s="2"/>
      <x:c r="N200" s="2"/>
    </x:row>
    <x:row r="201">
      <x:c r="A201" s="2"/>
      <x:c r="B201" s="2"/>
      <x:c r="C201" s="2"/>
      <x:c r="D201" s="2"/>
      <x:c r="E201" s="2"/>
      <x:c r="F201" s="2"/>
      <x:c r="G201" s="2"/>
      <x:c r="H201" s="2"/>
      <x:c r="I201" s="2"/>
      <x:c r="J201" s="2"/>
      <x:c r="K201" s="2"/>
      <x:c r="L201" s="2"/>
      <x:c r="M201" s="2"/>
      <x:c r="N201" s="2"/>
    </x:row>
    <x:row r="202">
      <x:c r="A202" s="2"/>
      <x:c r="B202" s="2"/>
      <x:c r="C202" s="2"/>
      <x:c r="D202" s="2"/>
      <x:c r="E202" s="2"/>
      <x:c r="F202" s="2"/>
      <x:c r="G202" s="2"/>
      <x:c r="H202" s="2"/>
      <x:c r="I202" s="2"/>
      <x:c r="J202" s="2"/>
      <x:c r="K202" s="2"/>
      <x:c r="L202" s="2"/>
      <x:c r="M202" s="2"/>
      <x:c r="N202" s="2"/>
    </x:row>
    <x:row r="203">
      <x:c r="A203" s="2"/>
      <x:c r="B203" s="2"/>
      <x:c r="C203" s="2"/>
      <x:c r="D203" s="2"/>
      <x:c r="E203" s="2"/>
      <x:c r="F203" s="2"/>
      <x:c r="G203" s="2"/>
      <x:c r="H203" s="2"/>
      <x:c r="I203" s="2"/>
      <x:c r="J203" s="2"/>
      <x:c r="K203" s="2"/>
      <x:c r="L203" s="2"/>
      <x:c r="M203" s="2"/>
      <x:c r="N203" s="2"/>
    </x:row>
    <x:row r="204">
      <x:c r="A204" s="2"/>
      <x:c r="B204" s="2"/>
      <x:c r="C204" s="2"/>
      <x:c r="D204" s="2"/>
      <x:c r="E204" s="2"/>
      <x:c r="F204" s="2"/>
      <x:c r="G204" s="2"/>
      <x:c r="H204" s="2"/>
      <x:c r="I204" s="2"/>
      <x:c r="J204" s="2"/>
      <x:c r="K204" s="2"/>
      <x:c r="L204" s="2"/>
      <x:c r="M204" s="2"/>
      <x:c r="N204" s="2"/>
    </x:row>
    <x:row r="205">
      <x:c r="A205" s="2"/>
      <x:c r="B205" s="2"/>
      <x:c r="C205" s="2"/>
      <x:c r="D205" s="2"/>
      <x:c r="E205" s="2"/>
      <x:c r="F205" s="2"/>
      <x:c r="G205" s="2"/>
      <x:c r="H205" s="2"/>
      <x:c r="I205" s="2"/>
      <x:c r="J205" s="2"/>
      <x:c r="K205" s="2"/>
      <x:c r="L205" s="2"/>
      <x:c r="M205" s="2"/>
      <x:c r="N205" s="2"/>
    </x:row>
    <x:row r="206">
      <x:c r="A206" s="2"/>
      <x:c r="B206" s="2"/>
      <x:c r="C206" s="2"/>
      <x:c r="D206" s="2"/>
      <x:c r="E206" s="2"/>
      <x:c r="F206" s="2"/>
      <x:c r="G206" s="2"/>
      <x:c r="H206" s="2"/>
      <x:c r="I206" s="2"/>
      <x:c r="J206" s="2"/>
      <x:c r="K206" s="2"/>
      <x:c r="L206" s="2"/>
      <x:c r="M206" s="2"/>
      <x:c r="N206" s="2"/>
    </x:row>
    <x:row r="207">
      <x:c r="A207" s="2"/>
      <x:c r="B207" s="2"/>
      <x:c r="C207" s="2"/>
      <x:c r="D207" s="2"/>
      <x:c r="E207" s="2"/>
      <x:c r="F207" s="2"/>
      <x:c r="G207" s="2"/>
      <x:c r="H207" s="2"/>
      <x:c r="I207" s="2"/>
      <x:c r="J207" s="2"/>
      <x:c r="K207" s="2"/>
      <x:c r="L207" s="2"/>
      <x:c r="M207" s="2"/>
      <x:c r="N207" s="2"/>
    </x:row>
    <x:row r="208">
      <x:c r="A208" s="2"/>
      <x:c r="B208" s="2"/>
      <x:c r="C208" s="2"/>
      <x:c r="D208" s="2"/>
      <x:c r="E208" s="2"/>
      <x:c r="F208" s="2"/>
      <x:c r="G208" s="2"/>
      <x:c r="H208" s="2"/>
      <x:c r="I208" s="2"/>
      <x:c r="J208" s="2"/>
      <x:c r="K208" s="2"/>
      <x:c r="L208" s="2"/>
      <x:c r="M208" s="2"/>
      <x:c r="N208" s="2"/>
    </x:row>
    <x:row r="209">
      <x:c r="A209" s="2"/>
      <x:c r="B209" s="2"/>
      <x:c r="C209" s="2"/>
      <x:c r="D209" s="2"/>
      <x:c r="E209" s="2"/>
      <x:c r="F209" s="2"/>
      <x:c r="G209" s="2"/>
      <x:c r="H209" s="2"/>
      <x:c r="I209" s="2"/>
      <x:c r="J209" s="2"/>
      <x:c r="K209" s="2"/>
      <x:c r="L209" s="2"/>
      <x:c r="M209" s="2"/>
      <x:c r="N209" s="2"/>
    </x:row>
    <x:row r="210">
      <x:c r="A210" s="2"/>
      <x:c r="B210" s="2"/>
      <x:c r="C210" s="2"/>
      <x:c r="D210" s="2"/>
      <x:c r="E210" s="2"/>
      <x:c r="F210" s="2"/>
      <x:c r="G210" s="2"/>
      <x:c r="H210" s="2"/>
      <x:c r="I210" s="2"/>
      <x:c r="J210" s="2"/>
      <x:c r="K210" s="2"/>
      <x:c r="L210" s="2"/>
      <x:c r="M210" s="2"/>
      <x:c r="N210" s="2"/>
    </x:row>
    <x:row r="211">
      <x:c r="A211" s="2"/>
      <x:c r="B211" s="2"/>
      <x:c r="C211" s="2"/>
      <x:c r="D211" s="2"/>
      <x:c r="E211" s="2"/>
      <x:c r="F211" s="2"/>
      <x:c r="G211" s="2"/>
      <x:c r="H211" s="2"/>
      <x:c r="I211" s="2"/>
      <x:c r="J211" s="2"/>
      <x:c r="K211" s="2"/>
      <x:c r="L211" s="2"/>
      <x:c r="M211" s="2"/>
      <x:c r="N211" s="2"/>
    </x:row>
    <x:row r="212">
      <x:c r="A212" s="2"/>
      <x:c r="B212" s="2"/>
      <x:c r="C212" s="2"/>
      <x:c r="D212" s="2"/>
      <x:c r="E212" s="2"/>
      <x:c r="F212" s="2"/>
      <x:c r="G212" s="2"/>
      <x:c r="H212" s="2"/>
      <x:c r="I212" s="2"/>
      <x:c r="J212" s="2"/>
      <x:c r="K212" s="2"/>
      <x:c r="L212" s="2"/>
      <x:c r="M212" s="2"/>
      <x:c r="N212" s="2"/>
    </x:row>
    <x:row r="213">
      <x:c r="A213" s="2"/>
      <x:c r="B213" s="2"/>
      <x:c r="C213" s="2"/>
      <x:c r="D213" s="2"/>
      <x:c r="E213" s="2"/>
      <x:c r="F213" s="2"/>
      <x:c r="G213" s="2"/>
      <x:c r="H213" s="2"/>
      <x:c r="I213" s="2"/>
      <x:c r="J213" s="2"/>
      <x:c r="K213" s="2"/>
      <x:c r="L213" s="2"/>
      <x:c r="M213" s="2"/>
      <x:c r="N213" s="2"/>
    </x:row>
    <x:row r="214">
      <x:c r="A214" s="2"/>
      <x:c r="B214" s="2"/>
      <x:c r="C214" s="2"/>
      <x:c r="D214" s="2"/>
      <x:c r="E214" s="2"/>
      <x:c r="F214" s="2"/>
      <x:c r="G214" s="2"/>
      <x:c r="H214" s="2"/>
      <x:c r="I214" s="2"/>
      <x:c r="J214" s="2"/>
      <x:c r="K214" s="2"/>
      <x:c r="L214" s="2"/>
      <x:c r="M214" s="2"/>
      <x:c r="N214" s="2"/>
    </x:row>
    <x:row r="215">
      <x:c r="A215" s="2"/>
      <x:c r="B215" s="2"/>
      <x:c r="C215" s="2"/>
      <x:c r="D215" s="2"/>
      <x:c r="E215" s="2"/>
      <x:c r="F215" s="2"/>
      <x:c r="G215" s="2"/>
      <x:c r="H215" s="2"/>
      <x:c r="I215" s="2"/>
      <x:c r="J215" s="2"/>
      <x:c r="K215" s="2"/>
      <x:c r="L215" s="2"/>
      <x:c r="M215" s="2"/>
      <x:c r="N215" s="2"/>
    </x:row>
    <x:row r="216">
      <x:c r="A216" s="2"/>
      <x:c r="B216" s="2"/>
      <x:c r="C216" s="2"/>
      <x:c r="D216" s="2"/>
      <x:c r="E216" s="2"/>
      <x:c r="F216" s="2"/>
      <x:c r="G216" s="2"/>
      <x:c r="H216" s="2"/>
      <x:c r="I216" s="2"/>
      <x:c r="J216" s="2"/>
      <x:c r="K216" s="2"/>
      <x:c r="L216" s="2"/>
      <x:c r="M216" s="2"/>
      <x:c r="N216" s="2"/>
    </x:row>
    <x:row r="217">
      <x:c r="A217" s="2"/>
      <x:c r="B217" s="2"/>
      <x:c r="C217" s="2"/>
      <x:c r="D217" s="2"/>
      <x:c r="E217" s="2"/>
      <x:c r="F217" s="2"/>
      <x:c r="G217" s="2"/>
      <x:c r="H217" s="2"/>
      <x:c r="I217" s="2"/>
      <x:c r="J217" s="2"/>
      <x:c r="K217" s="2"/>
      <x:c r="L217" s="2"/>
      <x:c r="M217" s="2"/>
      <x:c r="N217" s="2"/>
    </x:row>
    <x:row r="218">
      <x:c r="A218" s="2"/>
      <x:c r="B218" s="2"/>
      <x:c r="C218" s="2"/>
      <x:c r="D218" s="2"/>
      <x:c r="E218" s="2"/>
      <x:c r="F218" s="2"/>
      <x:c r="G218" s="2"/>
      <x:c r="H218" s="2"/>
      <x:c r="I218" s="2"/>
      <x:c r="J218" s="2"/>
      <x:c r="K218" s="2"/>
      <x:c r="L218" s="2"/>
      <x:c r="M218" s="2"/>
      <x:c r="N218" s="2"/>
    </x:row>
    <x:row r="219">
      <x:c r="A219" s="2"/>
      <x:c r="B219" s="2"/>
      <x:c r="C219" s="2"/>
      <x:c r="D219" s="2"/>
      <x:c r="E219" s="2"/>
      <x:c r="F219" s="2"/>
      <x:c r="G219" s="2"/>
      <x:c r="H219" s="2"/>
      <x:c r="I219" s="2"/>
      <x:c r="J219" s="2"/>
      <x:c r="K219" s="2"/>
      <x:c r="L219" s="2"/>
      <x:c r="M219" s="2"/>
      <x:c r="N219" s="2"/>
    </x:row>
    <x:row r="220">
      <x:c r="A220" s="2"/>
      <x:c r="B220" s="2"/>
      <x:c r="C220" s="2"/>
      <x:c r="D220" s="2"/>
      <x:c r="E220" s="2"/>
      <x:c r="F220" s="2"/>
      <x:c r="G220" s="2"/>
      <x:c r="H220" s="2"/>
      <x:c r="I220" s="2"/>
      <x:c r="J220" s="2"/>
      <x:c r="K220" s="2"/>
      <x:c r="L220" s="2"/>
      <x:c r="M220" s="2"/>
      <x:c r="N220" s="2"/>
    </x:row>
  </x:sheetData>
  <x:mergeCells>
    <x:mergeCell ref="A1:H1"/>
    <x:mergeCell ref="A2:H2"/>
    <x:mergeCell ref="A14:H14"/>
    <x:mergeCell ref="A15:H15"/>
    <x:mergeCell ref="A16:H17"/>
  </x:mergeCells>
  <x:pageMargins left="0.7" right="0.7" top="0.75" bottom="0.75" header="0.3" footer="0.3"/>
  <x:drawing xmlns:r="http://schemas.openxmlformats.org/officeDocument/2006/relationships" r:id="Recd51e1d89be4acb"/>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20" hidden="0" customWidth="1"/>
    <x:col min="3" max="3" width="75" hidden="0" customWidth="1"/>
    <x:col min="4" max="4" width="40" hidden="0" customWidth="1"/>
    <x:col min="5" max="5" width="40" hidden="0" customWidth="1"/>
    <x:col min="6" max="6" width="20" hidden="0" customWidth="1"/>
    <x:col min="7" max="7" width="20" hidden="0" customWidth="1"/>
    <x:col min="8" max="8" width="20" hidden="0" customWidth="1"/>
    <x:col min="9" max="9" width="65" hidden="0" customWidth="1"/>
    <x:col min="10" max="10" width="20" hidden="0" customWidth="1"/>
    <x:col min="11" max="11" width="20" hidden="0" customWidth="1"/>
    <x:col min="12" max="12" width="55" hidden="0" customWidth="1"/>
  </x:cols>
  <x:sheetData>
    <x:row r="1">
      <x:c r="A1" s="7" t="str">
        <x:v>Underlying eligible study records</x:v>
      </x:c>
      <x:c r="B1" s="2"/>
      <x:c r="C1" s="2"/>
      <x:c r="D1" s="2"/>
      <x:c r="E1" s="2"/>
      <x:c r="F1" s="2"/>
      <x:c r="G1" s="2"/>
      <x:c r="H1" s="2"/>
      <x:c r="I1" s="2"/>
      <x:c r="J1" s="2"/>
      <x:c r="K1" s="2"/>
      <x:c r="L1" s="2"/>
      <x:c r="M1" s="2"/>
      <x:c r="N1" s="2"/>
    </x:row>
    <x:row r="2">
      <x:c r="A2" s="2" t="str">
        <x:v>One row per unique NCT record; classification and all study links retained for audit.</x:v>
      </x:c>
      <x:c r="B2" s="2"/>
      <x:c r="C2" s="2"/>
      <x:c r="D2" s="2"/>
      <x:c r="E2" s="2"/>
      <x:c r="F2" s="2"/>
      <x:c r="G2" s="2"/>
      <x:c r="H2" s="2"/>
      <x:c r="I2" s="2"/>
      <x:c r="J2" s="2"/>
      <x:c r="K2" s="2"/>
      <x:c r="L2" s="2"/>
      <x:c r="M2" s="2"/>
      <x:c r="N2" s="2"/>
    </x:row>
    <x:row r="3">
      <x:c r="A3" s="2"/>
      <x:c r="B3" s="2"/>
      <x:c r="C3" s="2"/>
      <x:c r="D3" s="2"/>
      <x:c r="E3" s="2"/>
      <x:c r="F3" s="2"/>
      <x:c r="G3" s="2"/>
      <x:c r="H3" s="2"/>
      <x:c r="I3" s="2"/>
      <x:c r="J3" s="2"/>
      <x:c r="K3" s="2"/>
      <x:c r="L3" s="2"/>
      <x:c r="M3" s="2"/>
      <x:c r="N3" s="2"/>
    </x:row>
    <x:row r="4" ht="30" customHeight="1">
      <x:c r="A4" s="15" t="str">
        <x:v>Company group</x:v>
      </x:c>
      <x:c r="B4" s="15" t="str">
        <x:v>NCT ID</x:v>
      </x:c>
      <x:c r="C4" s="15" t="str">
        <x:v>Study title</x:v>
      </x:c>
      <x:c r="D4" s="15" t="str">
        <x:v>Lead sponsor</x:v>
      </x:c>
      <x:c r="E4" s="15" t="str">
        <x:v>Conditions</x:v>
      </x:c>
      <x:c r="F4" s="15" t="str">
        <x:v>Therapy category</x:v>
      </x:c>
      <x:c r="G4" s="15" t="str">
        <x:v>Global status</x:v>
      </x:c>
      <x:c r="H4" s="15" t="str">
        <x:v>Phase</x:v>
      </x:c>
      <x:c r="I4" s="15" t="str">
        <x:v>Interventions</x:v>
      </x:c>
      <x:c r="J4" s="15" t="str">
        <x:v>First posted</x:v>
      </x:c>
      <x:c r="K4" s="15" t="str">
        <x:v>Last updated</x:v>
      </x:c>
      <x:c r="L4" s="15" t="str">
        <x:v>Primary source URL</x:v>
      </x:c>
      <x:c r="M4" s="2"/>
      <x:c r="N4" s="2"/>
    </x:row>
    <x:row r="5">
      <x:c r="A5" s="2" t="str">
        <x:v>GSK</x:v>
      </x:c>
      <x:c r="B5" s="2" t="str">
        <x:v>NCT06679101</x:v>
      </x:c>
      <x:c r="C5" s="2" t="str">
        <x:v>A Study of Belantamab Mafodotin Administered in Combination With Lenalidomide and Dexamethasone (BRd) Versus Daratumumab, Lenalidomide, and Dexamethasone (DRd) in Participants With Newly Diagnosed Multiple Myeloma (NDMM) Who Are Ineligible for Autologous Stem Cell Transplantation (TI-NDMM)</x:v>
      </x:c>
      <x:c r="D5" s="2" t="str">
        <x:v>GlaxoSmithKline</x:v>
      </x:c>
      <x:c r="E5" s="2" t="str">
        <x:v>Multiple Myeloma; Newly Diagnosed Multiple Myeloma</x:v>
      </x:c>
      <x:c r="F5" s="2" t="str">
        <x:v>Oncology</x:v>
      </x:c>
      <x:c r="G5" s="2" t="str">
        <x:v>RECRUITING</x:v>
      </x:c>
      <x:c r="H5" s="2" t="str">
        <x:v>PHASE3</x:v>
      </x:c>
      <x:c r="I5" s="2" t="str">
        <x:v>Belantamab mafodotin; Lenalidomide; Dexamethasone; Daratumumab</x:v>
      </x:c>
      <x:c r="J5" s="2" t="str">
        <x:v>2024-11-07</x:v>
      </x:c>
      <x:c r="K5" s="2" t="str">
        <x:v>2026-04-22</x:v>
      </x:c>
      <x:c r="L5" s="2" t="str">
        <x:v>https://clinicaltrials.gov/study/NCT06679101</x:v>
      </x:c>
      <x:c r="M5" s="2"/>
      <x:c r="N5" s="2"/>
    </x:row>
    <x:row r="6">
      <x:c r="A6" s="2" t="str">
        <x:v>GSK</x:v>
      </x:c>
      <x:c r="B6" s="2" t="str">
        <x:v>NCT06472076</x:v>
      </x:c>
      <x:c r="C6" s="2" t="str">
        <x:v>A Study of Belrestotug Plus Dostarlimab Compared With Placebo Plus Pembrolizumab in Previously Untreated Participants With Programmed Death Ligand 1 (PD-L1) High Non-small-cell Lung Cancer (NSCLC)</x:v>
      </x:c>
      <x:c r="D6" s="2" t="str">
        <x:v>GlaxoSmithKline</x:v>
      </x:c>
      <x:c r="E6" s="2" t="str">
        <x:v>Lung Cancer, Non-Small Cell</x:v>
      </x:c>
      <x:c r="F6" s="2" t="str">
        <x:v>Oncology</x:v>
      </x:c>
      <x:c r="G6" s="2" t="str">
        <x:v>ACTIVE_NOT_RECRUITING</x:v>
      </x:c>
      <x:c r="H6" s="2" t="str">
        <x:v>PHASE3</x:v>
      </x:c>
      <x:c r="I6" s="2" t="str">
        <x:v>Dostarlimab; Belrestotug; Pembrolizumab; Placebo</x:v>
      </x:c>
      <x:c r="J6" s="2" t="str">
        <x:v>2024-06-24</x:v>
      </x:c>
      <x:c r="K6" s="2" t="str">
        <x:v>2026-07-21</x:v>
      </x:c>
      <x:c r="L6" s="2" t="str">
        <x:v>https://clinicaltrials.gov/study/NCT06472076</x:v>
      </x:c>
      <x:c r="M6" s="2"/>
      <x:c r="N6" s="2"/>
    </x:row>
    <x:row r="7">
      <x:c r="A7" s="2" t="str">
        <x:v>GSK</x:v>
      </x:c>
      <x:c r="B7" s="2" t="str">
        <x:v>NCT06666491</x:v>
      </x:c>
      <x:c r="C7" s="2" t="str">
        <x:v>An Interventional Study to Compare the Efficacy and Safety of Tafenoquine (TQ) and Primaquine (PQ) When Either Are Taken Together With Chloroquine (CQ) for the Treatment of P. Vivax Malaria in Indian Participants Aged 2 Years and Older</x:v>
      </x:c>
      <x:c r="D7" s="2" t="str">
        <x:v>GlaxoSmithKline</x:v>
      </x:c>
      <x:c r="E7" s="2" t="str">
        <x:v>Malaria, Vivax</x:v>
      </x:c>
      <x:c r="F7" s="2" t="str">
        <x:v>Other</x:v>
      </x:c>
      <x:c r="G7" s="2" t="str">
        <x:v>RECRUITING</x:v>
      </x:c>
      <x:c r="H7" s="2" t="str">
        <x:v>PHASE3</x:v>
      </x:c>
      <x:c r="I7" s="2" t="str">
        <x:v>Tafenoquine; Primaquine; Chloroquine</x:v>
      </x:c>
      <x:c r="J7" s="2" t="str">
        <x:v>2024-10-30</x:v>
      </x:c>
      <x:c r="K7" s="2" t="str">
        <x:v>2026-10-01</x:v>
      </x:c>
      <x:c r="L7" s="2" t="str">
        <x:v>https://clinicaltrials.gov/study/NCT06666491</x:v>
      </x:c>
      <x:c r="M7" s="2"/>
      <x:c r="N7" s="2"/>
    </x:row>
    <x:row r="8">
      <x:c r="A8" s="2" t="str">
        <x:v>GSK</x:v>
      </x:c>
      <x:c r="B8" s="2" t="str">
        <x:v>NCT06256588</x:v>
      </x:c>
      <x:c r="C8" s="2" t="str">
        <x:v>A Study of Dostarlimab vs Placebo After Chemoradiation in Adult Participants With Locally Advanced Unresected Head and Neck Squamous Cell Carcinoma</x:v>
      </x:c>
      <x:c r="D8" s="2" t="str">
        <x:v>GlaxoSmithKline</x:v>
      </x:c>
      <x:c r="E8" s="2" t="str">
        <x:v>Neoplasms, Head and Neck</x:v>
      </x:c>
      <x:c r="F8" s="2" t="str">
        <x:v>Oncology</x:v>
      </x:c>
      <x:c r="G8" s="2" t="str">
        <x:v>RECRUITING</x:v>
      </x:c>
      <x:c r="H8" s="2" t="str">
        <x:v>PHASE3</x:v>
      </x:c>
      <x:c r="I8" s="2" t="str">
        <x:v>Dostarlimab; Placebo</x:v>
      </x:c>
      <x:c r="J8" s="2" t="str">
        <x:v>2024-02-13</x:v>
      </x:c>
      <x:c r="K8" s="2" t="str">
        <x:v>2026-05-26</x:v>
      </x:c>
      <x:c r="L8" s="2" t="str">
        <x:v>https://clinicaltrials.gov/study/NCT06256588</x:v>
      </x:c>
      <x:c r="M8" s="2"/>
      <x:c r="N8" s="2"/>
    </x:row>
    <x:row r="9">
      <x:c r="A9" s="2" t="str">
        <x:v>GSK</x:v>
      </x:c>
      <x:c r="B9" s="2" t="str">
        <x:v>NCT05855200</x:v>
      </x:c>
      <x:c r="C9" s="2" t="str">
        <x:v>Study of Perioperative Dostarlimab in Participants With Untreated T4N0 or Stage III dMMR/MSI-H Resectable Colon Cancer</x:v>
      </x:c>
      <x:c r="D9" s="2" t="str">
        <x:v>GlaxoSmithKline</x:v>
      </x:c>
      <x:c r="E9" s="2" t="str">
        <x:v>Colonic Neoplasms; Neoplasms, Colon</x:v>
      </x:c>
      <x:c r="F9" s="2" t="str">
        <x:v>Oncology</x:v>
      </x:c>
      <x:c r="G9" s="2" t="str">
        <x:v>RECRUITING</x:v>
      </x:c>
      <x:c r="H9" s="2" t="str">
        <x:v>PHASE3</x:v>
      </x:c>
      <x:c r="I9" s="2" t="str">
        <x:v>Dostarlimab; CAPEOX; FOLFOX</x:v>
      </x:c>
      <x:c r="J9" s="2" t="str">
        <x:v>2023-05-11</x:v>
      </x:c>
      <x:c r="K9" s="2" t="str">
        <x:v>2026-01-23</x:v>
      </x:c>
      <x:c r="L9" s="2" t="str">
        <x:v>https://clinicaltrials.gov/study/NCT05855200</x:v>
      </x:c>
      <x:c r="M9" s="2"/>
      <x:c r="N9" s="2"/>
    </x:row>
    <x:row r="10">
      <x:c r="A10" s="2" t="str">
        <x:v>GSK</x:v>
      </x:c>
      <x:c r="B10" s="2" t="str">
        <x:v>NCT05600777</x:v>
      </x:c>
      <x:c r="C10" s="2" t="str">
        <x:v>A 24-Week Study of the Efficacy and Safety of BLU-5937 in Adults With Refractory Chronic Cough</x:v>
      </x:c>
      <x:c r="D10" s="2" t="str">
        <x:v>Bellus Health Inc. - a GSK company</x:v>
      </x:c>
      <x:c r="E10" s="2" t="str">
        <x:v>Cough; Refractory Chronic Cough</x:v>
      </x:c>
      <x:c r="F10" s="2" t="str">
        <x:v>Respiratory</x:v>
      </x:c>
      <x:c r="G10" s="2" t="str">
        <x:v>ACTIVE_NOT_RECRUITING</x:v>
      </x:c>
      <x:c r="H10" s="2" t="str">
        <x:v>PHASE3</x:v>
      </x:c>
      <x:c r="I10" s="2" t="str">
        <x:v>BLU-5937; Placebo</x:v>
      </x:c>
      <x:c r="J10" s="2" t="str">
        <x:v>2022-10-31</x:v>
      </x:c>
      <x:c r="K10" s="2" t="str">
        <x:v>2026-07-14</x:v>
      </x:c>
      <x:c r="L10" s="2" t="str">
        <x:v>https://clinicaltrials.gov/study/NCT05600777</x:v>
      </x:c>
      <x:c r="M10" s="2"/>
      <x:c r="N10" s="2"/>
    </x:row>
    <x:row r="11">
      <x:c r="A11" s="2" t="str">
        <x:v>Pfizer</x:v>
      </x:c>
      <x:c r="B11" s="2" t="str">
        <x:v>NCT07222566</x:v>
      </x:c>
      <x:c r="C11" s="2" t="str">
        <x:v>Symbiotic-Lung-01 : A Study to Learn About the Study Medicine Called PF-08634404 in Combination With Chemotherapy in Adult Participants With Locally Advanced or Metastatic Non-Small Cell Lung Cancer</x:v>
      </x:c>
      <x:c r="D11" s="2" t="str">
        <x:v>Pfizer</x:v>
      </x:c>
      <x:c r="E11" s="2" t="str">
        <x:v>Advanced Non-Small Cell Lung Cancer; Non-Small Cell Lung Cancer; Carcinoma, Non-Small-Cell Lung; Carcinoma, Non-Small-Cell Lung (NSCLC); Metastatic Non Small Cell Lung Cancer; Lung Cancer</x:v>
      </x:c>
      <x:c r="F11" s="2" t="str">
        <x:v>Oncology</x:v>
      </x:c>
      <x:c r="G11" s="2" t="str">
        <x:v>RECRUITING</x:v>
      </x:c>
      <x:c r="H11" s="2" t="str">
        <x:v>PHASE3</x:v>
      </x:c>
      <x:c r="I11" s="2" t="str">
        <x:v>PF-08634404; Pembrolizumab; Chemotherapy Regimen 1; Chemotherapy Regimen 2</x:v>
      </x:c>
      <x:c r="J11" s="2" t="str">
        <x:v>2025-10-30</x:v>
      </x:c>
      <x:c r="K11" s="2" t="str">
        <x:v>2026-10-08</x:v>
      </x:c>
      <x:c r="L11" s="2" t="str">
        <x:v>https://clinicaltrials.gov/study/NCT07222566</x:v>
      </x:c>
      <x:c r="M11" s="2"/>
      <x:c r="N11" s="2"/>
    </x:row>
    <x:row r="12">
      <x:c r="A12" s="2" t="str">
        <x:v>Pfizer</x:v>
      </x:c>
      <x:c r="B12" s="2" t="str">
        <x:v>NCT04607421</x:v>
      </x:c>
      <x:c r="C12" s="2" t="str">
        <x:v>A Study of Encorafenib Plus Cetuximab With or Without Chemotherapy in People With Previously Untreated Metastatic Colorectal Cancer</x:v>
      </x:c>
      <x:c r="D12" s="2" t="str">
        <x:v>Pfizer</x:v>
      </x:c>
      <x:c r="E12" s="2" t="str">
        <x:v>Neoplasms</x:v>
      </x:c>
      <x:c r="F12" s="2" t="str">
        <x:v>Oncology</x:v>
      </x:c>
      <x:c r="G12" s="2" t="str">
        <x:v>ACTIVE_NOT_RECRUITING</x:v>
      </x:c>
      <x:c r="H12" s="2" t="str">
        <x:v>PHASE3</x:v>
      </x:c>
      <x:c r="I12" s="2" t="str">
        <x:v>Encorafenib; Cetuximab; Oxaliplatin; Irinotecan; Leucovorin; 5-FU; Capecitabine; Bevacizumab</x:v>
      </x:c>
      <x:c r="J12" s="2" t="str">
        <x:v>2020-10-29</x:v>
      </x:c>
      <x:c r="K12" s="2" t="str">
        <x:v>2026-06-11</x:v>
      </x:c>
      <x:c r="L12" s="2" t="str">
        <x:v>https://clinicaltrials.gov/study/NCT04607421</x:v>
      </x:c>
      <x:c r="M12" s="2"/>
      <x:c r="N12" s="2"/>
    </x:row>
    <x:row r="13">
      <x:c r="A13" s="2" t="str">
        <x:v>Pfizer</x:v>
      </x:c>
      <x:c r="B13" s="2" t="str">
        <x:v>NCT06616194</x:v>
      </x:c>
      <x:c r="C13" s="2" t="str">
        <x:v>A Study to Learn About the Study Medicine Called Rimegepant in Adolescents With Frequent Migraine</x:v>
      </x:c>
      <x:c r="D13" s="2" t="str">
        <x:v>Pfizer</x:v>
      </x:c>
      <x:c r="E13" s="2" t="str">
        <x:v>Migraine</x:v>
      </x:c>
      <x:c r="F13" s="2" t="str">
        <x:v>Other</x:v>
      </x:c>
      <x:c r="G13" s="2" t="str">
        <x:v>ACTIVE_NOT_RECRUITING</x:v>
      </x:c>
      <x:c r="H13" s="2" t="str">
        <x:v>PHASE3</x:v>
      </x:c>
      <x:c r="I13" s="2" t="str">
        <x:v>Rimegepant; Placebo</x:v>
      </x:c>
      <x:c r="J13" s="2" t="str">
        <x:v>2024-09-27</x:v>
      </x:c>
      <x:c r="K13" s="2" t="str">
        <x:v>2026-07-30</x:v>
      </x:c>
      <x:c r="L13" s="2" t="str">
        <x:v>https://clinicaltrials.gov/study/NCT06616194</x:v>
      </x:c>
      <x:c r="M13" s="2"/>
      <x:c r="N13" s="2"/>
    </x:row>
    <x:row r="14">
      <x:c r="A14" s="2" t="str">
        <x:v>Pfizer</x:v>
      </x:c>
      <x:c r="B14" s="2" t="str">
        <x:v>NCT06760637</x:v>
      </x:c>
      <x:c r="C14" s="2" t="str">
        <x:v>Study of PF-07220060 With Letrozole in Adults With HR-positive HER2-negative Breast Cancer Who Have Not Received Anticancer Treatment for Advanced/Metastatic Disease</x:v>
      </x:c>
      <x:c r="D14" s="2" t="str">
        <x:v>Pfizer</x:v>
      </x:c>
      <x:c r="E14" s="2" t="str">
        <x:v>Breast Cancer</x:v>
      </x:c>
      <x:c r="F14" s="2" t="str">
        <x:v>Oncology</x:v>
      </x:c>
      <x:c r="G14" s="2" t="str">
        <x:v>ACTIVE_NOT_RECRUITING</x:v>
      </x:c>
      <x:c r="H14" s="2" t="str">
        <x:v>PHASE3</x:v>
      </x:c>
      <x:c r="I14" s="2" t="str">
        <x:v>PF-07220060; letrozole; abemaciclib; palbociclib; ribociclib</x:v>
      </x:c>
      <x:c r="J14" s="2" t="str">
        <x:v>2025-01-07</x:v>
      </x:c>
      <x:c r="K14" s="2" t="str">
        <x:v>2026-10-16</x:v>
      </x:c>
      <x:c r="L14" s="2" t="str">
        <x:v>https://clinicaltrials.gov/study/NCT06760637</x:v>
      </x:c>
      <x:c r="M14" s="2"/>
      <x:c r="N14" s="2"/>
    </x:row>
    <x:row r="15">
      <x:c r="A15" s="2" t="str">
        <x:v>Pfizer</x:v>
      </x:c>
      <x:c r="B15" s="2" t="str">
        <x:v>NCT07363694</x:v>
      </x:c>
      <x:c r="C15" s="2" t="str">
        <x:v>A Study to Learn About the Study Medicine Called PF-07275315 in People With Moderate to Severe Chronic Obstructive Pulmonary Disease</x:v>
      </x:c>
      <x:c r="D15" s="2" t="str">
        <x:v>Pfizer</x:v>
      </x:c>
      <x:c r="E15" s="2" t="str">
        <x:v>Moderate to Severe Chronic Obstructive Pulmonary Disease</x:v>
      </x:c>
      <x:c r="F15" s="2" t="str">
        <x:v>Respiratory</x:v>
      </x:c>
      <x:c r="G15" s="2" t="str">
        <x:v>RECRUITING</x:v>
      </x:c>
      <x:c r="H15" s="2" t="str">
        <x:v>PHASE2; PHASE3</x:v>
      </x:c>
      <x:c r="I15" s="2" t="str">
        <x:v>PF-07275315 dose 1; PF-07275315-dose 2; Placebo; PF-07275315-dose 3</x:v>
      </x:c>
      <x:c r="J15" s="2" t="str">
        <x:v>2026-01-23</x:v>
      </x:c>
      <x:c r="K15" s="2" t="str">
        <x:v>2026-08-31</x:v>
      </x:c>
      <x:c r="L15" s="2" t="str">
        <x:v>https://clinicaltrials.gov/study/NCT07363694</x:v>
      </x:c>
      <x:c r="M15" s="2"/>
      <x:c r="N15" s="2"/>
    </x:row>
    <x:row r="16">
      <x:c r="A16" s="2" t="str">
        <x:v>Pfizer</x:v>
      </x:c>
      <x:c r="B16" s="2" t="str">
        <x:v>NCT03052608</x:v>
      </x:c>
      <x:c r="C16" s="2" t="str">
        <x:v>A Study Of Lorlatinib Versus Crizotinib In First Line Treatment Of Patients With ALK-Positive NSCLC</x:v>
      </x:c>
      <x:c r="D16" s="2" t="str">
        <x:v>Pfizer</x:v>
      </x:c>
      <x:c r="E16" s="2" t="str">
        <x:v>Carcinoma, Non-Small-Cell Lung</x:v>
      </x:c>
      <x:c r="F16" s="2" t="str">
        <x:v>Oncology</x:v>
      </x:c>
      <x:c r="G16" s="2" t="str">
        <x:v>ACTIVE_NOT_RECRUITING</x:v>
      </x:c>
      <x:c r="H16" s="2" t="str">
        <x:v>PHASE3</x:v>
      </x:c>
      <x:c r="I16" s="2" t="str">
        <x:v>Lorlatinib; Crizotinib</x:v>
      </x:c>
      <x:c r="J16" s="2" t="str">
        <x:v>2017-02-14</x:v>
      </x:c>
      <x:c r="K16" s="2" t="str">
        <x:v>2025-11-25</x:v>
      </x:c>
      <x:c r="L16" s="2" t="str">
        <x:v>https://clinicaltrials.gov/study/NCT03052608</x:v>
      </x:c>
      <x:c r="M16" s="2"/>
      <x:c r="N16" s="2"/>
    </x:row>
    <x:row r="17">
      <x:c r="A17" s="2" t="str">
        <x:v>Pfizer</x:v>
      </x:c>
      <x:c r="B17" s="2" t="str">
        <x:v>NCT05431088</x:v>
      </x:c>
      <x:c r="C17" s="2" t="str">
        <x:v>A Phase 2/3 Study of Osivelotor in Adult and Adolescent Participants With SCD</x:v>
      </x:c>
      <x:c r="D17" s="2" t="str">
        <x:v>Pfizer</x:v>
      </x:c>
      <x:c r="E17" s="2" t="str">
        <x:v>Sickle Cell Disease</x:v>
      </x:c>
      <x:c r="F17" s="2" t="str">
        <x:v>Other</x:v>
      </x:c>
      <x:c r="G17" s="2" t="str">
        <x:v>RECRUITING</x:v>
      </x:c>
      <x:c r="H17" s="2" t="str">
        <x:v>PHASE2; PHASE3</x:v>
      </x:c>
      <x:c r="I17" s="2" t="str">
        <x:v>Osivelotor</x:v>
      </x:c>
      <x:c r="J17" s="2" t="str">
        <x:v>2022-06-24</x:v>
      </x:c>
      <x:c r="K17" s="2" t="str">
        <x:v>2026-08-18</x:v>
      </x:c>
      <x:c r="L17" s="2" t="str">
        <x:v>https://clinicaltrials.gov/study/NCT05431088</x:v>
      </x:c>
      <x:c r="M17" s="2"/>
      <x:c r="N17" s="2"/>
    </x:row>
    <x:row r="18">
      <x:c r="A18" s="2" t="str">
        <x:v>Pfizer</x:v>
      </x:c>
      <x:c r="B18" s="2" t="str">
        <x:v>NCT06758401</x:v>
      </x:c>
      <x:c r="C18" s="2" t="str">
        <x:v>This is a Study to Learn About How the Combination of the Study Medicines Sigvotatug Vedotin Plus Pembrolizumab Works in People With Non-small Cell Lung Cancer With High Levels of PD-L1.</x:v>
      </x:c>
      <x:c r="D18" s="2" t="str">
        <x:v>Pfizer</x:v>
      </x:c>
      <x:c r="E18" s="2" t="str">
        <x:v>Non-Small Cell Lung Cancer; Carcinoma, Non-Small-Cell Lung; Carcinoma, Non-Small-Cell Lung (NSCLC)</x:v>
      </x:c>
      <x:c r="F18" s="2" t="str">
        <x:v>Oncology</x:v>
      </x:c>
      <x:c r="G18" s="2" t="str">
        <x:v>RECRUITING</x:v>
      </x:c>
      <x:c r="H18" s="2" t="str">
        <x:v>PHASE3</x:v>
      </x:c>
      <x:c r="I18" s="2" t="str">
        <x:v>Sigvotatug Vedotin; Pembrolizumab</x:v>
      </x:c>
      <x:c r="J18" s="2" t="str">
        <x:v>2025-01-03</x:v>
      </x:c>
      <x:c r="K18" s="2" t="str">
        <x:v>2026-09-25</x:v>
      </x:c>
      <x:c r="L18" s="2" t="str">
        <x:v>https://clinicaltrials.gov/study/NCT06758401</x:v>
      </x:c>
      <x:c r="M18" s="2"/>
      <x:c r="N18" s="2"/>
    </x:row>
    <x:row r="19">
      <x:c r="A19" s="2" t="str">
        <x:v>Pfizer</x:v>
      </x:c>
      <x:c r="B19" s="2" t="str">
        <x:v>NCT05895786</x:v>
      </x:c>
      <x:c r="C19" s="2" t="str">
        <x:v>A Study to Understand How the Study Medicine (PF-06823859) Works in People With Active Idiopathic Inflammatory Myopathies [Dermatomyositis (DM) and Polymyositis (PM)]</x:v>
      </x:c>
      <x:c r="D19" s="2" t="str">
        <x:v>Pfizer</x:v>
      </x:c>
      <x:c r="E19" s="2" t="str">
        <x:v>Myositis</x:v>
      </x:c>
      <x:c r="F19" s="2" t="str">
        <x:v>Other</x:v>
      </x:c>
      <x:c r="G19" s="2" t="str">
        <x:v>RECRUITING</x:v>
      </x:c>
      <x:c r="H19" s="2" t="str">
        <x:v>PHASE3</x:v>
      </x:c>
      <x:c r="I19" s="2" t="str">
        <x:v>PF-06823859; Placebo</x:v>
      </x:c>
      <x:c r="J19" s="2" t="str">
        <x:v>2023-06-09</x:v>
      </x:c>
      <x:c r="K19" s="2" t="str">
        <x:v>2026-09-15</x:v>
      </x:c>
      <x:c r="L19" s="2" t="str">
        <x:v>https://clinicaltrials.gov/study/NCT05895786</x:v>
      </x:c>
      <x:c r="M19" s="2"/>
      <x:c r="N19" s="2"/>
    </x:row>
    <x:row r="20">
      <x:c r="A20" s="2" t="str">
        <x:v>Pfizer</x:v>
      </x:c>
      <x:c r="B20" s="2" t="str">
        <x:v>NCT05611801</x:v>
      </x:c>
      <x:c r="C20" s="2" t="str">
        <x:v>A Clinical Trial of Study Medicine (Marstacimab) in Pediatric Patients With Hemophilia A or Hemophilia B</x:v>
      </x:c>
      <x:c r="D20" s="2" t="str">
        <x:v>Pfizer</x:v>
      </x:c>
      <x:c r="E20" s="2" t="str">
        <x:v>Hemophilia A; Hemophilia B</x:v>
      </x:c>
      <x:c r="F20" s="2" t="str">
        <x:v>Other</x:v>
      </x:c>
      <x:c r="G20" s="2" t="str">
        <x:v>RECRUITING</x:v>
      </x:c>
      <x:c r="H20" s="2" t="str">
        <x:v>PHASE3</x:v>
      </x:c>
      <x:c r="I20" s="2" t="str">
        <x:v>marstacimab</x:v>
      </x:c>
      <x:c r="J20" s="2" t="str">
        <x:v>2022-11-10</x:v>
      </x:c>
      <x:c r="K20" s="2" t="str">
        <x:v>2026-10-14</x:v>
      </x:c>
      <x:c r="L20" s="2" t="str">
        <x:v>https://clinicaltrials.gov/study/NCT05611801</x:v>
      </x:c>
      <x:c r="M20" s="2"/>
      <x:c r="N20" s="2"/>
    </x:row>
    <x:row r="21">
      <x:c r="A21" s="2" t="str">
        <x:v>Pfizer</x:v>
      </x:c>
      <x:c r="B21" s="2" t="str">
        <x:v>NCT05654623</x:v>
      </x:c>
      <x:c r="C21" s="2" t="str">
        <x:v>A Study to Learn About a New Medicine Called Vepdegestrant (ARV-471, PF-07850327) in People Who Have Advanced Metastatic Breast Cancer</x:v>
      </x:c>
      <x:c r="D21" s="2" t="str">
        <x:v>Pfizer</x:v>
      </x:c>
      <x:c r="E21" s="2" t="str">
        <x:v>Advanced Breast Cancer</x:v>
      </x:c>
      <x:c r="F21" s="2" t="str">
        <x:v>Oncology</x:v>
      </x:c>
      <x:c r="G21" s="2" t="str">
        <x:v>ACTIVE_NOT_RECRUITING</x:v>
      </x:c>
      <x:c r="H21" s="2" t="str">
        <x:v>PHASE3</x:v>
      </x:c>
      <x:c r="I21" s="2" t="str">
        <x:v>ARV-471; Fulvestrant</x:v>
      </x:c>
      <x:c r="J21" s="2" t="str">
        <x:v>2022-12-16</x:v>
      </x:c>
      <x:c r="K21" s="2" t="str">
        <x:v>2026-03-18</x:v>
      </x:c>
      <x:c r="L21" s="2" t="str">
        <x:v>https://clinicaltrials.gov/study/NCT05654623</x:v>
      </x:c>
      <x:c r="M21" s="2"/>
      <x:c r="N21" s="2"/>
    </x:row>
    <x:row r="22">
      <x:c r="A22" s="2" t="str">
        <x:v>Pfizer</x:v>
      </x:c>
      <x:c r="B22" s="2" t="str">
        <x:v>NCT06698796</x:v>
      </x:c>
      <x:c r="C22" s="2" t="str">
        <x:v>A Study to Understand How the Study Medicine Dazukibart Works in People With Idiopathic Inflammatory Myopathies</x:v>
      </x:c>
      <x:c r="D22" s="2" t="str">
        <x:v>Pfizer</x:v>
      </x:c>
      <x:c r="E22" s="2" t="str">
        <x:v>Dermatomyositis; Polymyositis</x:v>
      </x:c>
      <x:c r="F22" s="2" t="str">
        <x:v>Other</x:v>
      </x:c>
      <x:c r="G22" s="2" t="str">
        <x:v>RECRUITING</x:v>
      </x:c>
      <x:c r="H22" s="2" t="str">
        <x:v>PHASE3</x:v>
      </x:c>
      <x:c r="I22" s="2" t="str">
        <x:v>Dazukibart</x:v>
      </x:c>
      <x:c r="J22" s="2" t="str">
        <x:v>2024-11-21</x:v>
      </x:c>
      <x:c r="K22" s="2" t="str">
        <x:v>2026-08-25</x:v>
      </x:c>
      <x:c r="L22" s="2" t="str">
        <x:v>https://clinicaltrials.gov/study/NCT06698796</x:v>
      </x:c>
      <x:c r="M22" s="2"/>
      <x:c r="N22" s="2"/>
    </x:row>
    <x:row r="23">
      <x:c r="A23" s="2" t="str">
        <x:v>Pfizer</x:v>
      </x:c>
      <x:c r="B23" s="2" t="str">
        <x:v>NCT07062965</x:v>
      </x:c>
      <x:c r="C23" s="2" t="str">
        <x:v>A Study to Learn About the Study Medicine Called PF-07248144 in Combination With Fulvestrant in People With HR-positive, HER2-negative Advanced or Metastatic Breast Cancer Who Progressed After a Prior Line of Treatment.</x:v>
      </x:c>
      <x:c r="D23" s="2" t="str">
        <x:v>Pfizer</x:v>
      </x:c>
      <x:c r="E23" s="2" t="str">
        <x:v>Breast Cancer</x:v>
      </x:c>
      <x:c r="F23" s="2" t="str">
        <x:v>Oncology</x:v>
      </x:c>
      <x:c r="G23" s="2" t="str">
        <x:v>RECRUITING</x:v>
      </x:c>
      <x:c r="H23" s="2" t="str">
        <x:v>PHASE3</x:v>
      </x:c>
      <x:c r="I23" s="2" t="str">
        <x:v>PF-07248144; Fulvestrant; Everolimus; Exemestane</x:v>
      </x:c>
      <x:c r="J23" s="2" t="str">
        <x:v>2025-07-14</x:v>
      </x:c>
      <x:c r="K23" s="2" t="str">
        <x:v>2026-10-19</x:v>
      </x:c>
      <x:c r="L23" s="2" t="str">
        <x:v>https://clinicaltrials.gov/study/NCT07062965</x:v>
      </x:c>
      <x:c r="M23" s="2"/>
      <x:c r="N23" s="2"/>
    </x:row>
    <x:row r="24">
      <x:c r="A24" s="2" t="str">
        <x:v>Pfizer</x:v>
      </x:c>
      <x:c r="B24" s="2" t="str">
        <x:v>NCT03950232</x:v>
      </x:c>
      <x:c r="C24" s="2" t="str">
        <x:v>An Extension Study for Treatment of Moderately to Severely Active Ulcerative Colitis</x:v>
      </x:c>
      <x:c r="D24" s="2" t="str">
        <x:v>Pfizer</x:v>
      </x:c>
      <x:c r="E24" s="2" t="str">
        <x:v>Ulcerative Colitis</x:v>
      </x:c>
      <x:c r="F24" s="2" t="str">
        <x:v>Other</x:v>
      </x:c>
      <x:c r="G24" s="2" t="str">
        <x:v>ACTIVE_NOT_RECRUITING</x:v>
      </x:c>
      <x:c r="H24" s="2" t="str">
        <x:v>PHASE3</x:v>
      </x:c>
      <x:c r="I24" s="2" t="str">
        <x:v>Etrasimod</x:v>
      </x:c>
      <x:c r="J24" s="2" t="str">
        <x:v>2019-05-15</x:v>
      </x:c>
      <x:c r="K24" s="2" t="str">
        <x:v>2026-07-09</x:v>
      </x:c>
      <x:c r="L24" s="2" t="str">
        <x:v>https://clinicaltrials.gov/study/NCT03950232</x:v>
      </x:c>
      <x:c r="M24" s="2"/>
      <x:c r="N24" s="2"/>
    </x:row>
    <x:row r="25">
      <x:c r="A25" s="2" t="str">
        <x:v>Pfizer</x:v>
      </x:c>
      <x:c r="B25" s="2" t="str">
        <x:v>NCT04821622</x:v>
      </x:c>
      <x:c r="C25" s="2" t="str">
        <x:v>Study of Talazoparib With Enzalutamide in Men With DDR Gene Mutated mCSPC</x:v>
      </x:c>
      <x:c r="D25" s="2" t="str">
        <x:v>Pfizer</x:v>
      </x:c>
      <x:c r="E25" s="2" t="str">
        <x:v>Prostate Cancer</x:v>
      </x:c>
      <x:c r="F25" s="2" t="str">
        <x:v>Oncology</x:v>
      </x:c>
      <x:c r="G25" s="2" t="str">
        <x:v>ACTIVE_NOT_RECRUITING</x:v>
      </x:c>
      <x:c r="H25" s="2" t="str">
        <x:v>PHASE3</x:v>
      </x:c>
      <x:c r="I25" s="2" t="str">
        <x:v>talazoparib plus enzalutamide; Placebo plus enzalutamide</x:v>
      </x:c>
      <x:c r="J25" s="2" t="str">
        <x:v>2021-03-29</x:v>
      </x:c>
      <x:c r="K25" s="2" t="str">
        <x:v>2026-10-13</x:v>
      </x:c>
      <x:c r="L25" s="2" t="str">
        <x:v>https://clinicaltrials.gov/study/NCT04821622</x:v>
      </x:c>
      <x:c r="M25" s="2"/>
      <x:c r="N25" s="2"/>
    </x:row>
    <x:row r="26">
      <x:c r="A26" s="2" t="str">
        <x:v>Pfizer</x:v>
      </x:c>
      <x:c r="B26" s="2" t="str">
        <x:v>NCT07653100</x:v>
      </x:c>
      <x:c r="C26" s="2" t="str">
        <x:v>A Phase 3 Study in India to Describe the Safety and Immunogenicity of RSVpreF</x:v>
      </x:c>
      <x:c r="D26" s="2" t="str">
        <x:v>Pfizer</x:v>
      </x:c>
      <x:c r="E26" s="2" t="str">
        <x:v>Respiratory Syncytial Virus (RSV)</x:v>
      </x:c>
      <x:c r="F26" s="2" t="str">
        <x:v>Other</x:v>
      </x:c>
      <x:c r="G26" s="2" t="str">
        <x:v>RECRUITING</x:v>
      </x:c>
      <x:c r="H26" s="2" t="str">
        <x:v>PHASE3</x:v>
      </x:c>
      <x:c r="I26" s="2" t="str">
        <x:v>RSVpreF; Placebo</x:v>
      </x:c>
      <x:c r="J26" s="2" t="str">
        <x:v>2026-06-17</x:v>
      </x:c>
      <x:c r="K26" s="2" t="str">
        <x:v>2026-09-24</x:v>
      </x:c>
      <x:c r="L26" s="2" t="str">
        <x:v>https://clinicaltrials.gov/study/NCT07653100</x:v>
      </x:c>
      <x:c r="M26" s="2"/>
      <x:c r="N26" s="2"/>
    </x:row>
    <x:row r="27">
      <x:c r="A27" s="2" t="str">
        <x:v>Pfizer</x:v>
      </x:c>
      <x:c r="B27" s="2" t="str">
        <x:v>NCT06989437</x:v>
      </x:c>
      <x:c r="C27" s="2" t="str">
        <x:v>A Study to Learn About the Medicine Ponsegromab in Adults With Cancer of the Pancreas Which Has Spread and Caused Significant Body Weight Loss and Fatigue</x:v>
      </x:c>
      <x:c r="D27" s="2" t="str">
        <x:v>Pfizer</x:v>
      </x:c>
      <x:c r="E27" s="2" t="str">
        <x:v>Cachexia; Metastatic Pancreatic Ductal Adenocarcinoma</x:v>
      </x:c>
      <x:c r="F27" s="2" t="str">
        <x:v>Other</x:v>
      </x:c>
      <x:c r="G27" s="2" t="str">
        <x:v>RECRUITING</x:v>
      </x:c>
      <x:c r="H27" s="2" t="str">
        <x:v>PHASE2; PHASE3</x:v>
      </x:c>
      <x:c r="I27" s="2" t="str">
        <x:v>ponsegromab; placebo</x:v>
      </x:c>
      <x:c r="J27" s="2" t="str">
        <x:v>2025-05-25</x:v>
      </x:c>
      <x:c r="K27" s="2" t="str">
        <x:v>2026-10-14</x:v>
      </x:c>
      <x:c r="L27" s="2" t="str">
        <x:v>https://clinicaltrials.gov/study/NCT06989437</x:v>
      </x:c>
      <x:c r="M27" s="2"/>
      <x:c r="N27" s="2"/>
    </x:row>
    <x:row r="28">
      <x:c r="A28" s="2" t="str">
        <x:v>Pfizer</x:v>
      </x:c>
      <x:c r="B28" s="2" t="str">
        <x:v>NCT05145127</x:v>
      </x:c>
      <x:c r="C28" s="2" t="str">
        <x:v>Open-Label Extension Study of Marstacimab in Hemophilia Participants With or Without Inhibitors</x:v>
      </x:c>
      <x:c r="D28" s="2" t="str">
        <x:v>Pfizer</x:v>
      </x:c>
      <x:c r="E28" s="2" t="str">
        <x:v>Hemophilia A; Hemophilia B</x:v>
      </x:c>
      <x:c r="F28" s="2" t="str">
        <x:v>Other</x:v>
      </x:c>
      <x:c r="G28" s="2" t="str">
        <x:v>RECRUITING</x:v>
      </x:c>
      <x:c r="H28" s="2" t="str">
        <x:v>PHASE3</x:v>
      </x:c>
      <x:c r="I28" s="2" t="str">
        <x:v>PF-06741086</x:v>
      </x:c>
      <x:c r="J28" s="2" t="str">
        <x:v>2021-12-06</x:v>
      </x:c>
      <x:c r="K28" s="2" t="str">
        <x:v>2026-07-01</x:v>
      </x:c>
      <x:c r="L28" s="2" t="str">
        <x:v>https://clinicaltrials.gov/study/NCT05145127</x:v>
      </x:c>
      <x:c r="M28" s="2"/>
      <x:c r="N28" s="2"/>
    </x:row>
    <x:row r="29">
      <x:c r="A29" s="2" t="str">
        <x:v>Pfizer</x:v>
      </x:c>
      <x:c r="B29" s="2" t="str">
        <x:v>NCT07144280</x:v>
      </x:c>
      <x:c r="C29" s="2" t="str">
        <x:v>A Study to Learn About the Study Medicine Called PF-08046054/SGN-PDL1V Versus Docetaxel in Adult Participants With Previously-Treated Programmed Cell Death Ligand 1 (PD-L1) Positive Non-Small-Cell Lung Cancer (NSCLC)</x:v>
      </x:c>
      <x:c r="D29" s="2" t="str">
        <x:v>Pfizer</x:v>
      </x:c>
      <x:c r="E29" s="2" t="str">
        <x:v>Non-small Cell Carcinoma; Non-Small Cell Lung Cancer Metastatic; Non-Small Cell Lung Carcinoma</x:v>
      </x:c>
      <x:c r="F29" s="2" t="str">
        <x:v>Oncology</x:v>
      </x:c>
      <x:c r="G29" s="2" t="str">
        <x:v>RECRUITING</x:v>
      </x:c>
      <x:c r="H29" s="2" t="str">
        <x:v>PHASE3</x:v>
      </x:c>
      <x:c r="I29" s="2" t="str">
        <x:v>PF-08046054; Docetaxel monotherapy</x:v>
      </x:c>
      <x:c r="J29" s="2" t="str">
        <x:v>2025-08-27</x:v>
      </x:c>
      <x:c r="K29" s="2" t="str">
        <x:v>2026-10-13</x:v>
      </x:c>
      <x:c r="L29" s="2" t="str">
        <x:v>https://clinicaltrials.gov/study/NCT07144280</x:v>
      </x:c>
      <x:c r="M29" s="2"/>
      <x:c r="N29" s="2"/>
    </x:row>
    <x:row r="30">
      <x:c r="A30" s="2" t="str">
        <x:v>Pfizer</x:v>
      </x:c>
      <x:c r="B30" s="2" t="str">
        <x:v>NCT05317416</x:v>
      </x:c>
      <x:c r="C30" s="2" t="str">
        <x:v>Study With Elranatamab Versus Lenalidomide in Patients With Newly Diagnosed Multiple Myeloma After Transplant</x:v>
      </x:c>
      <x:c r="D30" s="2" t="str">
        <x:v>Pfizer</x:v>
      </x:c>
      <x:c r="E30" s="2" t="str">
        <x:v>Multiple Myeloma</x:v>
      </x:c>
      <x:c r="F30" s="2" t="str">
        <x:v>Oncology</x:v>
      </x:c>
      <x:c r="G30" s="2" t="str">
        <x:v>ACTIVE_NOT_RECRUITING</x:v>
      </x:c>
      <x:c r="H30" s="2" t="str">
        <x:v>PHASE3</x:v>
      </x:c>
      <x:c r="I30" s="2" t="str">
        <x:v>Elranatamab; Lenalidomide; Lenalidomide; Elranatamab</x:v>
      </x:c>
      <x:c r="J30" s="2" t="str">
        <x:v>2022-04-07</x:v>
      </x:c>
      <x:c r="K30" s="2" t="str">
        <x:v>2026-04-16</x:v>
      </x:c>
      <x:c r="L30" s="2" t="str">
        <x:v>https://clinicaltrials.gov/study/NCT05317416</x:v>
      </x:c>
      <x:c r="M30" s="2"/>
      <x:c r="N30" s="2"/>
    </x:row>
    <x:row r="31">
      <x:c r="A31" s="2" t="str">
        <x:v>Pfizer</x:v>
      </x:c>
      <x:c r="B31" s="2" t="str">
        <x:v>NCT06641466</x:v>
      </x:c>
      <x:c r="C31" s="2" t="str">
        <x:v>A Study to Learn About the Study Medicine Called Rimegepant in Women When Used for Intermittent Prevention of Menstrual Migraine</x:v>
      </x:c>
      <x:c r="D31" s="2" t="str">
        <x:v>Pfizer</x:v>
      </x:c>
      <x:c r="E31" s="2" t="str">
        <x:v>Menstrual Migraine</x:v>
      </x:c>
      <x:c r="F31" s="2" t="str">
        <x:v>Other</x:v>
      </x:c>
      <x:c r="G31" s="2" t="str">
        <x:v>RECRUITING</x:v>
      </x:c>
      <x:c r="H31" s="2" t="str">
        <x:v>PHASE3</x:v>
      </x:c>
      <x:c r="I31" s="2" t="str">
        <x:v>Rimegepant; Placebo Comparator; Standard of Care; Rimegepant</x:v>
      </x:c>
      <x:c r="J31" s="2" t="str">
        <x:v>2024-10-15</x:v>
      </x:c>
      <x:c r="K31" s="2" t="str">
        <x:v>2026-07-09</x:v>
      </x:c>
      <x:c r="L31" s="2" t="str">
        <x:v>https://clinicaltrials.gov/study/NCT06641466</x:v>
      </x:c>
      <x:c r="M31" s="2"/>
      <x:c r="N31" s="2"/>
    </x:row>
    <x:row r="32">
      <x:c r="A32" s="2" t="str">
        <x:v>AstraZeneca</x:v>
      </x:c>
      <x:c r="B32" s="2" t="str">
        <x:v>NCT06692738</x:v>
      </x:c>
      <x:c r="C32" s="2" t="str">
        <x:v>A Global Phase III Study of Rilvegostomig or Pembrolizumab Plus Chemotherapy for First-Line Treatment of Locally Advanced or Metastatic Squamous Non-small Cell Lung Cancer (NSCLC)</x:v>
      </x:c>
      <x:c r="D32" s="2" t="str">
        <x:v>AstraZeneca</x:v>
      </x:c>
      <x:c r="E32" s="2" t="str">
        <x:v>Non-small Cell Lung Cancer</x:v>
      </x:c>
      <x:c r="F32" s="2" t="str">
        <x:v>Oncology</x:v>
      </x:c>
      <x:c r="G32" s="2" t="str">
        <x:v>RECRUITING</x:v>
      </x:c>
      <x:c r="H32" s="2" t="str">
        <x:v>PHASE3</x:v>
      </x:c>
      <x:c r="I32" s="2" t="str">
        <x:v>Rilvegostomig; Pembrolizumab; Carboplatin; Paclitaxel; Nab-paclitaxel</x:v>
      </x:c>
      <x:c r="J32" s="2" t="str">
        <x:v>2024-11-18</x:v>
      </x:c>
      <x:c r="K32" s="2" t="str">
        <x:v>2026-09-18</x:v>
      </x:c>
      <x:c r="L32" s="2" t="str">
        <x:v>https://clinicaltrials.gov/study/NCT06692738</x:v>
      </x:c>
      <x:c r="M32" s="2"/>
      <x:c r="N32" s="2"/>
    </x:row>
    <x:row r="33">
      <x:c r="A33" s="2" t="str">
        <x:v>AstraZeneca</x:v>
      </x:c>
      <x:c r="B33" s="2" t="str">
        <x:v>NCT06350097</x:v>
      </x:c>
      <x:c r="C33" s="2" t="str">
        <x:v>Phase III, Open-label Study of First-line Osimertinib With or Without Datopotamab Deruxtecan for EGFRm Locally Advanced or Metastatic Non-small Cell Lung Cancer</x:v>
      </x:c>
      <x:c r="D33" s="2" t="str">
        <x:v>AstraZeneca</x:v>
      </x:c>
      <x:c r="E33" s="2" t="str">
        <x:v>Non-small Cell Lung Cancer</x:v>
      </x:c>
      <x:c r="F33" s="2" t="str">
        <x:v>Oncology</x:v>
      </x:c>
      <x:c r="G33" s="2" t="str">
        <x:v>RECRUITING</x:v>
      </x:c>
      <x:c r="H33" s="2" t="str">
        <x:v>PHASE3</x:v>
      </x:c>
      <x:c r="I33" s="2" t="str">
        <x:v>Osimertinib; Datopotamab Deruxtecan</x:v>
      </x:c>
      <x:c r="J33" s="2" t="str">
        <x:v>2024-04-05</x:v>
      </x:c>
      <x:c r="K33" s="2" t="str">
        <x:v>2026-08-26</x:v>
      </x:c>
      <x:c r="L33" s="2" t="str">
        <x:v>https://clinicaltrials.gov/study/NCT06350097</x:v>
      </x:c>
      <x:c r="M33" s="2"/>
      <x:c r="N33" s="2"/>
    </x:row>
    <x:row r="34">
      <x:c r="A34" s="2" t="str">
        <x:v>AstraZeneca</x:v>
      </x:c>
      <x:c r="B34" s="2" t="str">
        <x:v>NCT05774951</x:v>
      </x:c>
      <x:c r="C34" s="2" t="str">
        <x:v>A Study of Camizestrant in ER+/HER2- Early Breast Cancer After at Least 2 Years of Standard Adjuvant Endocrine Therapy</x:v>
      </x:c>
      <x:c r="D34" s="2" t="str">
        <x:v>AstraZeneca</x:v>
      </x:c>
      <x:c r="E34" s="2" t="str">
        <x:v>Breast Cancer, Early Breast Cancer</x:v>
      </x:c>
      <x:c r="F34" s="2" t="str">
        <x:v>Oncology</x:v>
      </x:c>
      <x:c r="G34" s="2" t="str">
        <x:v>RECRUITING</x:v>
      </x:c>
      <x:c r="H34" s="2" t="str">
        <x:v>PHASE3</x:v>
      </x:c>
      <x:c r="I34" s="2" t="str">
        <x:v>Camizestrant; Tamoxifen; Anastrozole; Letrozole; Exemestane</x:v>
      </x:c>
      <x:c r="J34" s="2" t="str">
        <x:v>2023-03-20</x:v>
      </x:c>
      <x:c r="K34" s="2" t="str">
        <x:v>2026-10-13</x:v>
      </x:c>
      <x:c r="L34" s="2" t="str">
        <x:v>https://clinicaltrials.gov/study/NCT05774951</x:v>
      </x:c>
      <x:c r="M34" s="2"/>
      <x:c r="N34" s="2"/>
    </x:row>
    <x:row r="35">
      <x:c r="A35" s="2" t="str">
        <x:v>AstraZeneca</x:v>
      </x:c>
      <x:c r="B35" s="2" t="str">
        <x:v>NCT05104866</x:v>
      </x:c>
      <x:c r="C35" s="2" t="str">
        <x:v>A Phase-3, Open-Label, Randomized Study of Dato-DXd Versus Investigator's Choice of Chemotherapy (ICC) in Participants With Inoperable or Metastatic HR-Positive, HER2-Negative Breast Cancer Who Have Been Treated With One or Two Prior Lines of Systemic Chemotherapy (TROPION-Breast01)</x:v>
      </x:c>
      <x:c r="D35" s="2" t="str">
        <x:v>AstraZeneca</x:v>
      </x:c>
      <x:c r="E35" s="2" t="str">
        <x:v>Breast Cancer</x:v>
      </x:c>
      <x:c r="F35" s="2" t="str">
        <x:v>Oncology</x:v>
      </x:c>
      <x:c r="G35" s="2" t="str">
        <x:v>ACTIVE_NOT_RECRUITING</x:v>
      </x:c>
      <x:c r="H35" s="2" t="str">
        <x:v>PHASE3</x:v>
      </x:c>
      <x:c r="I35" s="2" t="str">
        <x:v>Dato-DXd; Capecitabine; Gemcitabine; Eribulin; Vinorelbine</x:v>
      </x:c>
      <x:c r="J35" s="2" t="str">
        <x:v>2021-11-03</x:v>
      </x:c>
      <x:c r="K35" s="2" t="str">
        <x:v>2026-08-24</x:v>
      </x:c>
      <x:c r="L35" s="2" t="str">
        <x:v>https://clinicaltrials.gov/study/NCT05104866</x:v>
      </x:c>
      <x:c r="M35" s="2"/>
      <x:c r="N35" s="2"/>
    </x:row>
    <x:row r="36">
      <x:c r="A36" s="2" t="str">
        <x:v>AstraZeneca</x:v>
      </x:c>
      <x:c r="B36" s="2" t="str">
        <x:v>NCT03703297</x:v>
      </x:c>
      <x:c r="C36" s="2" t="str">
        <x:v>Study of Durvalumab + Tremelimumab, Durvalumab, and Placebo in Limited Stage Small-Cell Lung Cancer in Patients Who Have Not Progressed Following Concurrent Chemoradiation Therapy</x:v>
      </x:c>
      <x:c r="D36" s="2" t="str">
        <x:v>AstraZeneca</x:v>
      </x:c>
      <x:c r="E36" s="2" t="str">
        <x:v>Small Cell Lung Cancer</x:v>
      </x:c>
      <x:c r="F36" s="2" t="str">
        <x:v>Oncology</x:v>
      </x:c>
      <x:c r="G36" s="2" t="str">
        <x:v>ACTIVE_NOT_RECRUITING</x:v>
      </x:c>
      <x:c r="H36" s="2" t="str">
        <x:v>PHASE3</x:v>
      </x:c>
      <x:c r="I36" s="2" t="str">
        <x:v>Durvalumab; Tremelimumab; Placebo</x:v>
      </x:c>
      <x:c r="J36" s="2" t="str">
        <x:v>2018-10-11</x:v>
      </x:c>
      <x:c r="K36" s="2" t="str">
        <x:v>2025-11-21</x:v>
      </x:c>
      <x:c r="L36" s="2" t="str">
        <x:v>https://clinicaltrials.gov/study/NCT03703297</x:v>
      </x:c>
      <x:c r="M36" s="2"/>
      <x:c r="N36" s="2"/>
    </x:row>
    <x:row r="37">
      <x:c r="A37" s="2" t="str">
        <x:v>AstraZeneca</x:v>
      </x:c>
      <x:c r="B37" s="2" t="str">
        <x:v>NCT06268873</x:v>
      </x:c>
      <x:c r="C37" s="2" t="str">
        <x:v>A Phase III Study to Investigate the Efficacy and Safety of Baxdrostat in Combination With Dapagliflozin on CKD Progression in Participants With CKD and High Blood Pressure.</x:v>
      </x:c>
      <x:c r="D37" s="2" t="str">
        <x:v>AstraZeneca</x:v>
      </x:c>
      <x:c r="E37" s="2" t="str">
        <x:v>Chronic Kidney Disease and Hypertension</x:v>
      </x:c>
      <x:c r="F37" s="2" t="str">
        <x:v>Other</x:v>
      </x:c>
      <x:c r="G37" s="2" t="str">
        <x:v>ACTIVE_NOT_RECRUITING</x:v>
      </x:c>
      <x:c r="H37" s="2" t="str">
        <x:v>PHASE3</x:v>
      </x:c>
      <x:c r="I37" s="2" t="str">
        <x:v>Baxdrostat/dapagliflozin; Dapagliflozin in combination with placebo</x:v>
      </x:c>
      <x:c r="J37" s="2" t="str">
        <x:v>2024-02-20</x:v>
      </x:c>
      <x:c r="K37" s="2" t="str">
        <x:v>2026-06-26</x:v>
      </x:c>
      <x:c r="L37" s="2" t="str">
        <x:v>https://clinicaltrials.gov/study/NCT06268873</x:v>
      </x:c>
      <x:c r="M37" s="2"/>
      <x:c r="N37" s="2"/>
    </x:row>
    <x:row r="38">
      <x:c r="A38" s="2" t="str">
        <x:v>AstraZeneca</x:v>
      </x:c>
      <x:c r="B38" s="2" t="str">
        <x:v>NCT00099437</x:v>
      </x:c>
      <x:c r="C38" s="2" t="str">
        <x:v>Comparison of Fulvestrant (FASLODEX™) 250 mg and 500 mg in Postmenopausal Women With Oestrogen Receptor Positive Advanced Breast Cancer Progressing or Relapsing After Previous Endocrine Therapy.</x:v>
      </x:c>
      <x:c r="D38" s="2" t="str">
        <x:v>AstraZeneca</x:v>
      </x:c>
      <x:c r="E38" s="2" t="str">
        <x:v>Breast Cancer</x:v>
      </x:c>
      <x:c r="F38" s="2" t="str">
        <x:v>Oncology</x:v>
      </x:c>
      <x:c r="G38" s="2" t="str">
        <x:v>ACTIVE_NOT_RECRUITING</x:v>
      </x:c>
      <x:c r="H38" s="2" t="str">
        <x:v>PHASE3</x:v>
      </x:c>
      <x:c r="I38" s="2" t="str">
        <x:v>Fulvestrant</x:v>
      </x:c>
      <x:c r="J38" s="2" t="str">
        <x:v>2004-12-14</x:v>
      </x:c>
      <x:c r="K38" s="2" t="str">
        <x:v>2026-09-14</x:v>
      </x:c>
      <x:c r="L38" s="2" t="str">
        <x:v>https://clinicaltrials.gov/study/NCT00099437</x:v>
      </x:c>
      <x:c r="M38" s="2"/>
      <x:c r="N38" s="2"/>
    </x:row>
    <x:row r="39">
      <x:c r="A39" s="2" t="str">
        <x:v>AstraZeneca</x:v>
      </x:c>
      <x:c r="B39" s="2" t="str">
        <x:v>NCT06467357</x:v>
      </x:c>
      <x:c r="C39" s="2" t="str">
        <x:v>Phase 3 Study of T-DXd and Rilvegostomig Versus SoC in Advanced HER2-expressing Biliary Tract Cancer</x:v>
      </x:c>
      <x:c r="D39" s="2" t="str">
        <x:v>AstraZeneca</x:v>
      </x:c>
      <x:c r="E39" s="2" t="str">
        <x:v>Biliary Tract Cancer</x:v>
      </x:c>
      <x:c r="F39" s="2" t="str">
        <x:v>Oncology</x:v>
      </x:c>
      <x:c r="G39" s="2" t="str">
        <x:v>RECRUITING</x:v>
      </x:c>
      <x:c r="H39" s="2" t="str">
        <x:v>PHASE3</x:v>
      </x:c>
      <x:c r="I39" s="2" t="str">
        <x:v>Gemcitabine; Cisplatin; Durvalumab; Trastuzumab deruxtecan; Rilvegostomig</x:v>
      </x:c>
      <x:c r="J39" s="2" t="str">
        <x:v>2024-06-21</x:v>
      </x:c>
      <x:c r="K39" s="2" t="str">
        <x:v>2026-10-13</x:v>
      </x:c>
      <x:c r="L39" s="2" t="str">
        <x:v>https://clinicaltrials.gov/study/NCT06467357</x:v>
      </x:c>
      <x:c r="M39" s="2"/>
      <x:c r="N39" s="2"/>
    </x:row>
    <x:row r="40">
      <x:c r="A40" s="2" t="str">
        <x:v>AstraZeneca</x:v>
      </x:c>
      <x:c r="B40" s="2" t="str">
        <x:v>NCT06357533</x:v>
      </x:c>
      <x:c r="C40" s="2" t="str">
        <x:v>Phase III, Open-label, Study of First-line Dato-DXd in Combination With Rilvegostomig for Advanced Non-squamous NSCLC With High PD-L1 Expression (TC ≥ 50%) and Without Actionable Genomic Alterations</x:v>
      </x:c>
      <x:c r="D40" s="2" t="str">
        <x:v>AstraZeneca</x:v>
      </x:c>
      <x:c r="E40" s="2" t="str">
        <x:v>Non-Small Cell Lung Cancer</x:v>
      </x:c>
      <x:c r="F40" s="2" t="str">
        <x:v>Oncology</x:v>
      </x:c>
      <x:c r="G40" s="2" t="str">
        <x:v>RECRUITING</x:v>
      </x:c>
      <x:c r="H40" s="2" t="str">
        <x:v>PHASE3</x:v>
      </x:c>
      <x:c r="I40" s="2" t="str">
        <x:v>Datopotamab Deruxtecan; Rilvegostomig; Pembrolizumab</x:v>
      </x:c>
      <x:c r="J40" s="2" t="str">
        <x:v>2024-04-10</x:v>
      </x:c>
      <x:c r="K40" s="2" t="str">
        <x:v>2026-09-23</x:v>
      </x:c>
      <x:c r="L40" s="2" t="str">
        <x:v>https://clinicaltrials.gov/study/NCT06357533</x:v>
      </x:c>
      <x:c r="M40" s="2"/>
      <x:c r="N40" s="2"/>
    </x:row>
    <x:row r="41">
      <x:c r="A41" s="2" t="str">
        <x:v>AstraZeneca</x:v>
      </x:c>
      <x:c r="B41" s="2" t="str">
        <x:v>NCT05450692</x:v>
      </x:c>
      <x:c r="C41" s="2" t="str">
        <x:v>A Phase III Study of Ceralasertib Plus Durvalumab Versus Docetaxel in Patients With Non Small Cell Lung Cancer (NSCLC) Whose Disease Progressed On or After Prior Anti PD (L)1 Therapy And Platinum Based Chemotherapy</x:v>
      </x:c>
      <x:c r="D41" s="2" t="str">
        <x:v>AstraZeneca</x:v>
      </x:c>
      <x:c r="E41" s="2" t="str">
        <x:v>Advanced or Metastatic Non-Small Cell Lung Cancer</x:v>
      </x:c>
      <x:c r="F41" s="2" t="str">
        <x:v>Oncology</x:v>
      </x:c>
      <x:c r="G41" s="2" t="str">
        <x:v>ACTIVE_NOT_RECRUITING</x:v>
      </x:c>
      <x:c r="H41" s="2" t="str">
        <x:v>PHASE3</x:v>
      </x:c>
      <x:c r="I41" s="2" t="str">
        <x:v>Ceralasertib; Durvalumab; Docetaxel</x:v>
      </x:c>
      <x:c r="J41" s="2" t="str">
        <x:v>2022-07-11</x:v>
      </x:c>
      <x:c r="K41" s="2" t="str">
        <x:v>2026-07-13</x:v>
      </x:c>
      <x:c r="L41" s="2" t="str">
        <x:v>https://clinicaltrials.gov/study/NCT05450692</x:v>
      </x:c>
      <x:c r="M41" s="2"/>
      <x:c r="N41" s="2"/>
    </x:row>
    <x:row r="42">
      <x:c r="A42" s="2" t="str">
        <x:v>AstraZeneca</x:v>
      </x:c>
      <x:c r="B42" s="2" t="str">
        <x:v>NCT07218809</x:v>
      </x:c>
      <x:c r="C42" s="2" t="str">
        <x:v>AZD5335 vs. Mirvetuximab Soravtansine in FRα-high and AZD5335 vs. Chemotherapy in FRα-low Platinum-resistant Ovarian Cancer</x:v>
      </x:c>
      <x:c r="D42" s="2" t="str">
        <x:v>AstraZeneca</x:v>
      </x:c>
      <x:c r="E42" s="2" t="str">
        <x:v>Epithelial Ovarian Cancer</x:v>
      </x:c>
      <x:c r="F42" s="2" t="str">
        <x:v>Oncology</x:v>
      </x:c>
      <x:c r="G42" s="2" t="str">
        <x:v>RECRUITING</x:v>
      </x:c>
      <x:c r="H42" s="2" t="str">
        <x:v>PHASE3</x:v>
      </x:c>
      <x:c r="I42" s="2" t="str">
        <x:v>AZD5335; Mirvetuximab Soravtansine (MIRV); Paclitaxel; Pegylated liposomal Doxorubicin (PLD); Topotecan</x:v>
      </x:c>
      <x:c r="J42" s="2" t="str">
        <x:v>2025-10-20</x:v>
      </x:c>
      <x:c r="K42" s="2" t="str">
        <x:v>2026-07-21</x:v>
      </x:c>
      <x:c r="L42" s="2" t="str">
        <x:v>https://clinicaltrials.gov/study/NCT07218809</x:v>
      </x:c>
      <x:c r="M42" s="2"/>
      <x:c r="N42" s="2"/>
    </x:row>
    <x:row r="43">
      <x:c r="A43" s="2" t="str">
        <x:v>AstraZeneca</x:v>
      </x:c>
      <x:c r="B43" s="2" t="str">
        <x:v>NCT03800134</x:v>
      </x:c>
      <x:c r="C43" s="2" t="str">
        <x:v>A Study of Neoadjuvant/Adjuvant Durvalumab for the Treatment of Patients With Resectable Non-small Cell Lung Cancer</x:v>
      </x:c>
      <x:c r="D43" s="2" t="str">
        <x:v>AstraZeneca</x:v>
      </x:c>
      <x:c r="E43" s="2" t="str">
        <x:v>Non-Small Cell Lung Cancer</x:v>
      </x:c>
      <x:c r="F43" s="2" t="str">
        <x:v>Oncology</x:v>
      </x:c>
      <x:c r="G43" s="2" t="str">
        <x:v>ACTIVE_NOT_RECRUITING</x:v>
      </x:c>
      <x:c r="H43" s="2" t="str">
        <x:v>PHASE3</x:v>
      </x:c>
      <x:c r="I43" s="2" t="str">
        <x:v>Durvalumab; Placebo; Carboplatin; Cisplatin; Pemetrexed; Paclitaxel; Gemcitabine; Surgery</x:v>
      </x:c>
      <x:c r="J43" s="2" t="str">
        <x:v>2019-01-11</x:v>
      </x:c>
      <x:c r="K43" s="2" t="str">
        <x:v>2025-06-11</x:v>
      </x:c>
      <x:c r="L43" s="2" t="str">
        <x:v>https://clinicaltrials.gov/study/NCT03800134</x:v>
      </x:c>
      <x:c r="M43" s="2"/>
      <x:c r="N43" s="2"/>
    </x:row>
    <x:row r="44">
      <x:c r="A44" s="2" t="str">
        <x:v>AstraZeneca</x:v>
      </x:c>
      <x:c r="B44" s="2" t="str">
        <x:v>NCT07784270</x:v>
      </x:c>
      <x:c r="C44" s="2" t="str">
        <x:v>A Study to Evaluate Effect of AZD6234 in Adult Participants With Type 2 Diabetes Mellitus and Obesity or Overweight</x:v>
      </x:c>
      <x:c r="D44" s="2" t="str">
        <x:v>AstraZeneca</x:v>
      </x:c>
      <x:c r="E44" s="2" t="str">
        <x:v>Obesity or Overweight; Diabetes Mellitus, Type 2</x:v>
      </x:c>
      <x:c r="F44" s="2" t="str">
        <x:v>Other</x:v>
      </x:c>
      <x:c r="G44" s="2" t="str">
        <x:v>RECRUITING</x:v>
      </x:c>
      <x:c r="H44" s="2" t="str">
        <x:v>PHASE3</x:v>
      </x:c>
      <x:c r="I44" s="2" t="str">
        <x:v>AZD6234; Placebo</x:v>
      </x:c>
      <x:c r="J44" s="2" t="str">
        <x:v>2026-08-25</x:v>
      </x:c>
      <x:c r="K44" s="2" t="str">
        <x:v>2026-09-22</x:v>
      </x:c>
      <x:c r="L44" s="2" t="str">
        <x:v>https://clinicaltrials.gov/study/NCT07784270</x:v>
      </x:c>
      <x:c r="M44" s="2"/>
      <x:c r="N44" s="2"/>
    </x:row>
    <x:row r="45">
      <x:c r="A45" s="2" t="str">
        <x:v>AstraZeneca</x:v>
      </x:c>
      <x:c r="B45" s="2" t="str">
        <x:v>NCT06883305</x:v>
      </x:c>
      <x:c r="C45" s="2" t="str">
        <x:v>A Study to Investigate the Efficacy and Safety of Tezepelumab in Adult Participants With Moderate to Very Severe COPD (D5241C00006)</x:v>
      </x:c>
      <x:c r="D45" s="2" t="str">
        <x:v>AstraZeneca</x:v>
      </x:c>
      <x:c r="E45" s="2" t="str">
        <x:v>Chronic Obstructive Pulmonary Disease (COPD)</x:v>
      </x:c>
      <x:c r="F45" s="2" t="str">
        <x:v>Respiratory</x:v>
      </x:c>
      <x:c r="G45" s="2" t="str">
        <x:v>RECRUITING</x:v>
      </x:c>
      <x:c r="H45" s="2" t="str">
        <x:v>PHASE3</x:v>
      </x:c>
      <x:c r="I45" s="2" t="str">
        <x:v>Tezepelumab; Placebo</x:v>
      </x:c>
      <x:c r="J45" s="2" t="str">
        <x:v>2025-03-19</x:v>
      </x:c>
      <x:c r="K45" s="2" t="str">
        <x:v>2026-09-03</x:v>
      </x:c>
      <x:c r="L45" s="2" t="str">
        <x:v>https://clinicaltrials.gov/study/NCT06883305</x:v>
      </x:c>
      <x:c r="M45" s="2"/>
      <x:c r="N45" s="2"/>
    </x:row>
    <x:row r="46">
      <x:c r="A46" s="2" t="str">
        <x:v>AstraZeneca</x:v>
      </x:c>
      <x:c r="B46" s="2" t="str">
        <x:v>NCT05113251</x:v>
      </x:c>
      <x:c r="C46" s="2" t="str">
        <x:v>Trastuzumab Deruxtecan (T-DXd) Alone or in Sequence With THP, Versus Standard Treatment (ddAC-THP), in HER2-positive Early Breast Cancer</x:v>
      </x:c>
      <x:c r="D46" s="2" t="str">
        <x:v>AstraZeneca</x:v>
      </x:c>
      <x:c r="E46" s="2" t="str">
        <x:v>Breast Neoplasms; Breast Cancer; HER2-positive Early Breast Cancer</x:v>
      </x:c>
      <x:c r="F46" s="2" t="str">
        <x:v>Oncology</x:v>
      </x:c>
      <x:c r="G46" s="2" t="str">
        <x:v>ACTIVE_NOT_RECRUITING</x:v>
      </x:c>
      <x:c r="H46" s="2" t="str">
        <x:v>PHASE3</x:v>
      </x:c>
      <x:c r="I46" s="2" t="str">
        <x:v>Trastuzumab Deruxtecan; Paclitaxel; Trastuzumab; Pertuzumab; Doxorubicin; cyclophosphamide</x:v>
      </x:c>
      <x:c r="J46" s="2" t="str">
        <x:v>2021-11-09</x:v>
      </x:c>
      <x:c r="K46" s="2" t="str">
        <x:v>2026-08-11</x:v>
      </x:c>
      <x:c r="L46" s="2" t="str">
        <x:v>https://clinicaltrials.gov/study/NCT05113251</x:v>
      </x:c>
      <x:c r="M46" s="2"/>
      <x:c r="N46" s="2"/>
    </x:row>
    <x:row r="47">
      <x:c r="A47" s="2" t="str">
        <x:v>AstraZeneca</x:v>
      </x:c>
      <x:c r="B47" s="2" t="str">
        <x:v>NCT07761117</x:v>
      </x:c>
      <x:c r="C47" s="2" t="str">
        <x:v>A Study to Investigate CV Outcomes With Elecoglipron Compared With Placebo in Adult Participants With HFpEF or HFmrEF</x:v>
      </x:c>
      <x:c r="D47" s="2" t="str">
        <x:v>AstraZeneca</x:v>
      </x:c>
      <x:c r="E47" s="2" t="str">
        <x:v>Heart Failure With Preserved Ejection Fraction (HFpEF); Heart Failure With Mildly Reduced Ejection Fraction (HFmrEF)</x:v>
      </x:c>
      <x:c r="F47" s="2" t="str">
        <x:v>Other</x:v>
      </x:c>
      <x:c r="G47" s="2" t="str">
        <x:v>RECRUITING</x:v>
      </x:c>
      <x:c r="H47" s="2" t="str">
        <x:v>PHASE3</x:v>
      </x:c>
      <x:c r="I47" s="2" t="str">
        <x:v>Elecoglipron; Placebo</x:v>
      </x:c>
      <x:c r="J47" s="2" t="str">
        <x:v>2026-08-12</x:v>
      </x:c>
      <x:c r="K47" s="2" t="str">
        <x:v>2026-09-28</x:v>
      </x:c>
      <x:c r="L47" s="2" t="str">
        <x:v>https://clinicaltrials.gov/study/NCT07761117</x:v>
      </x:c>
      <x:c r="M47" s="2"/>
      <x:c r="N47" s="2"/>
    </x:row>
    <x:row r="48">
      <x:c r="A48" s="2" t="str">
        <x:v>AstraZeneca</x:v>
      </x:c>
      <x:c r="B48" s="2" t="str">
        <x:v>NCT06103864</x:v>
      </x:c>
      <x:c r="C48" s="2" t="str">
        <x:v>A Phase III Study of Dato-DXd With or Without Durvalumab Compared With Investigator's Choice of Chemotherapy in Combination With Pembrolizumab in Patients With PD-L1 Positive Locally Recurrent Inoperable or Metastatic Triple-negative Breast Cancer (TROPION-Breast05)</x:v>
      </x:c>
      <x:c r="D48" s="2" t="str">
        <x:v>AstraZeneca</x:v>
      </x:c>
      <x:c r="E48" s="2" t="str">
        <x:v>Breast Cancer</x:v>
      </x:c>
      <x:c r="F48" s="2" t="str">
        <x:v>Oncology</x:v>
      </x:c>
      <x:c r="G48" s="2" t="str">
        <x:v>RECRUITING</x:v>
      </x:c>
      <x:c r="H48" s="2" t="str">
        <x:v>PHASE3</x:v>
      </x:c>
      <x:c r="I48" s="2" t="str">
        <x:v>Dato-DXd; Durvalumab; Paclitaxel; Nab-paclitaxel; Gemcitabine; Carboplatin; Pembrolizumab</x:v>
      </x:c>
      <x:c r="J48" s="2" t="str">
        <x:v>2023-10-27</x:v>
      </x:c>
      <x:c r="K48" s="2" t="str">
        <x:v>2026-09-25</x:v>
      </x:c>
      <x:c r="L48" s="2" t="str">
        <x:v>https://clinicaltrials.gov/study/NCT06103864</x:v>
      </x:c>
      <x:c r="M48" s="2"/>
      <x:c r="N48" s="2"/>
    </x:row>
    <x:row r="49">
      <x:c r="A49" s="2" t="str">
        <x:v>AstraZeneca</x:v>
      </x:c>
      <x:c r="B49" s="2" t="str">
        <x:v>NCT07291037</x:v>
      </x:c>
      <x:c r="C49" s="2" t="str">
        <x:v>Phase III Study of Datopotamab Deruxtecan Versus Docetaxel in Previously Treated TROP2-positive Advanced or Metastatic Non-squamous NSCLC Without Actionable Genomic Alterations</x:v>
      </x:c>
      <x:c r="D49" s="2" t="str">
        <x:v>AstraZeneca</x:v>
      </x:c>
      <x:c r="E49" s="2" t="str">
        <x:v>Non-small Cell Lung Cancer (NSCLC)</x:v>
      </x:c>
      <x:c r="F49" s="2" t="str">
        <x:v>Oncology</x:v>
      </x:c>
      <x:c r="G49" s="2" t="str">
        <x:v>RECRUITING</x:v>
      </x:c>
      <x:c r="H49" s="2" t="str">
        <x:v>PHASE3</x:v>
      </x:c>
      <x:c r="I49" s="2" t="str">
        <x:v>Datopotamab deruxtecan (Dato-DXd); Docetaxel</x:v>
      </x:c>
      <x:c r="J49" s="2" t="str">
        <x:v>2025-12-18</x:v>
      </x:c>
      <x:c r="K49" s="2" t="str">
        <x:v>2026-10-13</x:v>
      </x:c>
      <x:c r="L49" s="2" t="str">
        <x:v>https://clinicaltrials.gov/study/NCT07291037</x:v>
      </x:c>
      <x:c r="M49" s="2"/>
      <x:c r="N49" s="2"/>
    </x:row>
    <x:row r="50">
      <x:c r="A50" s="2" t="str">
        <x:v>AstraZeneca</x:v>
      </x:c>
      <x:c r="B50" s="2" t="str">
        <x:v>NCT03706690</x:v>
      </x:c>
      <x:c r="C50" s="2" t="str">
        <x:v>A Study of Durvalumab as Consolidation Therapy in Non-Small Cell Lung Cancer Patients</x:v>
      </x:c>
      <x:c r="D50" s="2" t="str">
        <x:v>AstraZeneca</x:v>
      </x:c>
      <x:c r="E50" s="2" t="str">
        <x:v>Carcinoma, Non-Small-Cell Lung</x:v>
      </x:c>
      <x:c r="F50" s="2" t="str">
        <x:v>Oncology</x:v>
      </x:c>
      <x:c r="G50" s="2" t="str">
        <x:v>ACTIVE_NOT_RECRUITING</x:v>
      </x:c>
      <x:c r="H50" s="2" t="str">
        <x:v>PHASE3</x:v>
      </x:c>
      <x:c r="I50" s="2" t="str">
        <x:v>Durvalumab; Placebo</x:v>
      </x:c>
      <x:c r="J50" s="2" t="str">
        <x:v>2018-10-16</x:v>
      </x:c>
      <x:c r="K50" s="2" t="str">
        <x:v>2026-08-06</x:v>
      </x:c>
      <x:c r="L50" s="2" t="str">
        <x:v>https://clinicaltrials.gov/study/NCT03706690</x:v>
      </x:c>
      <x:c r="M50" s="2"/>
      <x:c r="N50" s="2"/>
    </x:row>
    <x:row r="51">
      <x:c r="A51" s="2" t="str">
        <x:v>AstraZeneca</x:v>
      </x:c>
      <x:c r="B51" s="2" t="str">
        <x:v>NCT03682068</x:v>
      </x:c>
      <x:c r="C51" s="2" t="str">
        <x:v>Study of Durvalumab Given With Chemotherapy, Durvalumab in Combination With Tremelimumab Given With Chemotherapy, or Chemotherapy in Patients With Unresectable Urothelial Cancer</x:v>
      </x:c>
      <x:c r="D51" s="2" t="str">
        <x:v>AstraZeneca</x:v>
      </x:c>
      <x:c r="E51" s="2" t="str">
        <x:v>Unresectable Locally Advanced Urothelial Cancer; Metastatic Urothelial Cancer</x:v>
      </x:c>
      <x:c r="F51" s="2" t="str">
        <x:v>Oncology</x:v>
      </x:c>
      <x:c r="G51" s="2" t="str">
        <x:v>ACTIVE_NOT_RECRUITING</x:v>
      </x:c>
      <x:c r="H51" s="2" t="str">
        <x:v>PHASE3</x:v>
      </x:c>
      <x:c r="I51" s="2" t="str">
        <x:v>Durvalumab; Tremelimumab; Cisplatin + Gemcitabine; Carboplatin + Gemcitabine</x:v>
      </x:c>
      <x:c r="J51" s="2" t="str">
        <x:v>2018-09-24</x:v>
      </x:c>
      <x:c r="K51" s="2" t="str">
        <x:v>2026-08-20</x:v>
      </x:c>
      <x:c r="L51" s="2" t="str">
        <x:v>https://clinicaltrials.gov/study/NCT03682068</x:v>
      </x:c>
      <x:c r="M51" s="2"/>
      <x:c r="N51" s="2"/>
    </x:row>
    <x:row r="52">
      <x:c r="A52" s="2" t="str">
        <x:v>AstraZeneca</x:v>
      </x:c>
      <x:c r="B52" s="2" t="str">
        <x:v>NCT05138133</x:v>
      </x:c>
      <x:c r="C52" s="2" t="str">
        <x:v>Phase 3 Study of Anifrolumab in Adult Patients With Active Proliferative Lupus Nephritis</x:v>
      </x:c>
      <x:c r="D52" s="2" t="str">
        <x:v>AstraZeneca</x:v>
      </x:c>
      <x:c r="E52" s="2" t="str">
        <x:v>Lupus Nephritis</x:v>
      </x:c>
      <x:c r="F52" s="2" t="str">
        <x:v>Other</x:v>
      </x:c>
      <x:c r="G52" s="2" t="str">
        <x:v>ACTIVE_NOT_RECRUITING</x:v>
      </x:c>
      <x:c r="H52" s="2" t="str">
        <x:v>PHASE3</x:v>
      </x:c>
      <x:c r="I52" s="2" t="str">
        <x:v>Anifrolumab; Placebo</x:v>
      </x:c>
      <x:c r="J52" s="2" t="str">
        <x:v>2021-11-30</x:v>
      </x:c>
      <x:c r="K52" s="2" t="str">
        <x:v>2026-07-31</x:v>
      </x:c>
      <x:c r="L52" s="2" t="str">
        <x:v>https://clinicaltrials.gov/study/NCT05138133</x:v>
      </x:c>
      <x:c r="M52" s="2"/>
      <x:c r="N52" s="2"/>
    </x:row>
    <x:row r="53">
      <x:c r="A53" s="2" t="str">
        <x:v>AstraZeneca</x:v>
      </x:c>
      <x:c r="B53" s="2" t="str">
        <x:v>NCT07720284</x:v>
      </x:c>
      <x:c r="C53" s="2" t="str">
        <x:v>An Open-label Study to Investigate the Efficacy and Safety of Dato-DXd + Rilvegostomig vs SoC in Adult Participants With High-risk MIUC</x:v>
      </x:c>
      <x:c r="D53" s="2" t="str">
        <x:v>AstraZeneca</x:v>
      </x:c>
      <x:c r="E53" s="2" t="str">
        <x:v>High-risk Muscle Invasive Urothelial Carcinoma</x:v>
      </x:c>
      <x:c r="F53" s="2" t="str">
        <x:v>Oncology</x:v>
      </x:c>
      <x:c r="G53" s="2" t="str">
        <x:v>RECRUITING</x:v>
      </x:c>
      <x:c r="H53" s="2" t="str">
        <x:v>PHASE3</x:v>
      </x:c>
      <x:c r="I53" s="2" t="str">
        <x:v>Dato-DXd; Rilvegostomig; Durvalumab; Nivolumab; Pembrolizumab; Enfortumab vedotin</x:v>
      </x:c>
      <x:c r="J53" s="2" t="str">
        <x:v>2026-07-22</x:v>
      </x:c>
      <x:c r="K53" s="2" t="str">
        <x:v>2026-07-22</x:v>
      </x:c>
      <x:c r="L53" s="2" t="str">
        <x:v>https://clinicaltrials.gov/study/NCT07720284</x:v>
      </x:c>
      <x:c r="M53" s="2"/>
      <x:c r="N53" s="2"/>
    </x:row>
    <x:row r="54">
      <x:c r="A54" s="2" t="str">
        <x:v>AstraZeneca</x:v>
      </x:c>
      <x:c r="B54" s="2" t="str">
        <x:v>NCT05952557</x:v>
      </x:c>
      <x:c r="C54" s="2" t="str">
        <x:v>An Adjuvant Endocrine-based Therapy Study of Camizestrant (AZD9833) in ER+/HER2- Early Breast Cancer (CAMBRIA-2)</x:v>
      </x:c>
      <x:c r="D54" s="2" t="str">
        <x:v>AstraZeneca</x:v>
      </x:c>
      <x:c r="E54" s="2" t="str">
        <x:v>Breast Cancer, Early Breast Cancer</x:v>
      </x:c>
      <x:c r="F54" s="2" t="str">
        <x:v>Oncology</x:v>
      </x:c>
      <x:c r="G54" s="2" t="str">
        <x:v>ACTIVE_NOT_RECRUITING</x:v>
      </x:c>
      <x:c r="H54" s="2" t="str">
        <x:v>PHASE3</x:v>
      </x:c>
      <x:c r="I54" s="2" t="str">
        <x:v>Camizestrant; Tamoxifen; Anastrozole; Letrozole; Exemestane; Abemaciclib</x:v>
      </x:c>
      <x:c r="J54" s="2" t="str">
        <x:v>2023-07-19</x:v>
      </x:c>
      <x:c r="K54" s="2" t="str">
        <x:v>2026-08-10</x:v>
      </x:c>
      <x:c r="L54" s="2" t="str">
        <x:v>https://clinicaltrials.gov/study/NCT05952557</x:v>
      </x:c>
      <x:c r="M54" s="2"/>
      <x:c r="N54" s="2"/>
    </x:row>
    <x:row r="55">
      <x:c r="A55" s="2" t="str">
        <x:v>AstraZeneca</x:v>
      </x:c>
      <x:c r="B55" s="2" t="str">
        <x:v>NCT04269200</x:v>
      </x:c>
      <x:c r="C55" s="2" t="str">
        <x:v>Durvalumab With or Without Olaparib as Maintenance Therapy After First-Line Treatment of Advanced and Recurrent Endometrial Cancer</x:v>
      </x:c>
      <x:c r="D55" s="2" t="str">
        <x:v>AstraZeneca</x:v>
      </x:c>
      <x:c r="E55" s="2" t="str">
        <x:v>Endometrial Neoplasms</x:v>
      </x:c>
      <x:c r="F55" s="2" t="str">
        <x:v>Oncology</x:v>
      </x:c>
      <x:c r="G55" s="2" t="str">
        <x:v>ACTIVE_NOT_RECRUITING</x:v>
      </x:c>
      <x:c r="H55" s="2" t="str">
        <x:v>PHASE3</x:v>
      </x:c>
      <x:c r="I55" s="2" t="str">
        <x:v>olaparib; durvalumab; durvalumab placebo; olaparib placebo; Carboplatin; Paclitaxel</x:v>
      </x:c>
      <x:c r="J55" s="2" t="str">
        <x:v>2020-02-13</x:v>
      </x:c>
      <x:c r="K55" s="2" t="str">
        <x:v>2026-08-07</x:v>
      </x:c>
      <x:c r="L55" s="2" t="str">
        <x:v>https://clinicaltrials.gov/study/NCT04269200</x:v>
      </x:c>
      <x:c r="M55" s="2"/>
      <x:c r="N55" s="2"/>
    </x:row>
    <x:row r="56">
      <x:c r="A56" s="2" t="str">
        <x:v>AstraZeneca</x:v>
      </x:c>
      <x:c r="B56" s="2" t="str">
        <x:v>NCT03875235</x:v>
      </x:c>
      <x:c r="C56" s="2" t="str">
        <x:v>Durvalumab or Placebo in Combination With Gemcitabine/Cisplatin in Patients With 1st Line Advanced Biliary Tract Cancer (TOPAZ-1)</x:v>
      </x:c>
      <x:c r="D56" s="2" t="str">
        <x:v>AstraZeneca</x:v>
      </x:c>
      <x:c r="E56" s="2" t="str">
        <x:v>Biliary Tract Neoplasms</x:v>
      </x:c>
      <x:c r="F56" s="2" t="str">
        <x:v>Oncology</x:v>
      </x:c>
      <x:c r="G56" s="2" t="str">
        <x:v>ACTIVE_NOT_RECRUITING</x:v>
      </x:c>
      <x:c r="H56" s="2" t="str">
        <x:v>PHASE3</x:v>
      </x:c>
      <x:c r="I56" s="2" t="str">
        <x:v>Durvalumab; Placebo</x:v>
      </x:c>
      <x:c r="J56" s="2" t="str">
        <x:v>2019-03-14</x:v>
      </x:c>
      <x:c r="K56" s="2" t="str">
        <x:v>2026-08-26</x:v>
      </x:c>
      <x:c r="L56" s="2" t="str">
        <x:v>https://clinicaltrials.gov/study/NCT03875235</x:v>
      </x:c>
      <x:c r="M56" s="2"/>
      <x:c r="N56" s="2"/>
    </x:row>
    <x:row r="57">
      <x:c r="A57" s="2" t="str">
        <x:v>AstraZeneca</x:v>
      </x:c>
      <x:c r="B57" s="2" t="str">
        <x:v>NCT05301842</x:v>
      </x:c>
      <x:c r="C57" s="2" t="str">
        <x:v>Evaluate Durvalumab and Tremelimumab +/- Lenvatinib in Combination With TACE in Patients With Locoregional HCC</x:v>
      </x:c>
      <x:c r="D57" s="2" t="str">
        <x:v>AstraZeneca</x:v>
      </x:c>
      <x:c r="E57" s="2" t="str">
        <x:v>Hepatocellular Carcinoma</x:v>
      </x:c>
      <x:c r="F57" s="2" t="str">
        <x:v>Oncology</x:v>
      </x:c>
      <x:c r="G57" s="2" t="str">
        <x:v>ACTIVE_NOT_RECRUITING</x:v>
      </x:c>
      <x:c r="H57" s="2" t="str">
        <x:v>PHASE3</x:v>
      </x:c>
      <x:c r="I57" s="2" t="str">
        <x:v>Tremelimumab; Durvalumab; Transarterial Chemoembolization (TACE); Lenvatinib</x:v>
      </x:c>
      <x:c r="J57" s="2" t="str">
        <x:v>2022-03-31</x:v>
      </x:c>
      <x:c r="K57" s="2" t="str">
        <x:v>2026-10-16</x:v>
      </x:c>
      <x:c r="L57" s="2" t="str">
        <x:v>https://clinicaltrials.gov/study/NCT05301842</x:v>
      </x:c>
      <x:c r="M57" s="2"/>
      <x:c r="N57" s="2"/>
    </x:row>
    <x:row r="58">
      <x:c r="A58" s="2" t="str">
        <x:v>AstraZeneca</x:v>
      </x:c>
      <x:c r="B58" s="2" t="str">
        <x:v>NCT07611110</x:v>
      </x:c>
      <x:c r="C58" s="2" t="str">
        <x:v>AZD2265 Compared With Standard of Care in PSMA-positive Metastatic Castration-resistant Prostate Cancer (VECTRA-01)</x:v>
      </x:c>
      <x:c r="D58" s="2" t="str">
        <x:v>AstraZeneca</x:v>
      </x:c>
      <x:c r="E58" s="2" t="str">
        <x:v>Metastatic Castration-resistant Prostate Cancer</x:v>
      </x:c>
      <x:c r="F58" s="2" t="str">
        <x:v>Oncology</x:v>
      </x:c>
      <x:c r="G58" s="2" t="str">
        <x:v>RECRUITING</x:v>
      </x:c>
      <x:c r="H58" s="2" t="str">
        <x:v>PHASE3</x:v>
      </x:c>
      <x:c r="I58" s="2" t="str">
        <x:v>Actinium (225Ac) zadavotide guraxetan (AZD2265 [FPI-2265]); Cabazitaxel; Abiraterone; Enzalutamide; Apalutamide; Darolutamide; Deutenzalutamide; Radium-223</x:v>
      </x:c>
      <x:c r="J58" s="2" t="str">
        <x:v>2026-05-28</x:v>
      </x:c>
      <x:c r="K58" s="2" t="str">
        <x:v>2026-10-19</x:v>
      </x:c>
      <x:c r="L58" s="2" t="str">
        <x:v>https://clinicaltrials.gov/study/NCT07611110</x:v>
      </x:c>
      <x:c r="M58" s="2"/>
      <x:c r="N58" s="2"/>
    </x:row>
    <x:row r="59">
      <x:c r="A59" s="2" t="str">
        <x:v>AstraZeneca</x:v>
      </x:c>
      <x:c r="B59" s="2" t="str">
        <x:v>NCT07664553</x:v>
      </x:c>
      <x:c r="C59" s="2" t="str">
        <x:v>A Phase III Study to Investigate the Efficacy and Safety of Elecoglipron Compared With Placebo in Adults With Type 2 Diabetes Mellitus on Background Insulin</x:v>
      </x:c>
      <x:c r="D59" s="2" t="str">
        <x:v>AstraZeneca</x:v>
      </x:c>
      <x:c r="E59" s="2" t="str">
        <x:v>Type 2 Diabetes Mellitus</x:v>
      </x:c>
      <x:c r="F59" s="2" t="str">
        <x:v>Other</x:v>
      </x:c>
      <x:c r="G59" s="2" t="str">
        <x:v>RECRUITING</x:v>
      </x:c>
      <x:c r="H59" s="2" t="str">
        <x:v>PHASE3</x:v>
      </x:c>
      <x:c r="I59" s="2" t="str">
        <x:v>Elecoglipron; Placebo</x:v>
      </x:c>
      <x:c r="J59" s="2" t="str">
        <x:v>2026-06-24</x:v>
      </x:c>
      <x:c r="K59" s="2" t="str">
        <x:v>2026-08-04</x:v>
      </x:c>
      <x:c r="L59" s="2" t="str">
        <x:v>https://clinicaltrials.gov/study/NCT07664553</x:v>
      </x:c>
      <x:c r="M59" s="2"/>
      <x:c r="N59" s="2"/>
    </x:row>
    <x:row r="60">
      <x:c r="A60" s="2" t="str">
        <x:v>AstraZeneca</x:v>
      </x:c>
      <x:c r="B60" s="2" t="str">
        <x:v>NCT03298451</x:v>
      </x:c>
      <x:c r="C60" s="2" t="str">
        <x:v>Study of Durvalumab and Tremelimumab as First-line Treatment in Patients With Advanced Hepatocellular Carcinoma</x:v>
      </x:c>
      <x:c r="D60" s="2" t="str">
        <x:v>AstraZeneca</x:v>
      </x:c>
      <x:c r="E60" s="2" t="str">
        <x:v>Hepatocellular Carcinoma</x:v>
      </x:c>
      <x:c r="F60" s="2" t="str">
        <x:v>Oncology</x:v>
      </x:c>
      <x:c r="G60" s="2" t="str">
        <x:v>ACTIVE_NOT_RECRUITING</x:v>
      </x:c>
      <x:c r="H60" s="2" t="str">
        <x:v>PHASE3</x:v>
      </x:c>
      <x:c r="I60" s="2" t="str">
        <x:v>Durvalumab; Tremelimumab (Regimen 1); Tremelimumab (Regimen 2); Sorafenib; Durvalumab (Regimen 1); Durvalumab (Regimen 2)</x:v>
      </x:c>
      <x:c r="J60" s="2" t="str">
        <x:v>2017-10-02</x:v>
      </x:c>
      <x:c r="K60" s="2" t="str">
        <x:v>2026-10-07</x:v>
      </x:c>
      <x:c r="L60" s="2" t="str">
        <x:v>https://clinicaltrials.gov/study/NCT03298451</x:v>
      </x:c>
      <x:c r="M60" s="2"/>
      <x:c r="N60" s="2"/>
    </x:row>
    <x:row r="61">
      <x:c r="A61" s="2" t="str">
        <x:v>AstraZeneca</x:v>
      </x:c>
      <x:c r="B61" s="2" t="str">
        <x:v>NCT07753993</x:v>
      </x:c>
      <x:c r="C61" s="2" t="str">
        <x:v>A Study to Investigate Outcomes With Elecoglipron Compared With Placebo in Adult Participants With Chronic Kidney Disease.</x:v>
      </x:c>
      <x:c r="D61" s="2" t="str">
        <x:v>AstraZeneca</x:v>
      </x:c>
      <x:c r="E61" s="2" t="str">
        <x:v>Chronic Kidney Disease</x:v>
      </x:c>
      <x:c r="F61" s="2" t="str">
        <x:v>Other</x:v>
      </x:c>
      <x:c r="G61" s="2" t="str">
        <x:v>RECRUITING</x:v>
      </x:c>
      <x:c r="H61" s="2" t="str">
        <x:v>PHASE3</x:v>
      </x:c>
      <x:c r="I61" s="2" t="str">
        <x:v>Elecoglipron; Placebo</x:v>
      </x:c>
      <x:c r="J61" s="2" t="str">
        <x:v>2026-08-10</x:v>
      </x:c>
      <x:c r="K61" s="2" t="str">
        <x:v>2026-09-09</x:v>
      </x:c>
      <x:c r="L61" s="2" t="str">
        <x:v>https://clinicaltrials.gov/study/NCT07753993</x:v>
      </x:c>
      <x:c r="M61" s="2"/>
      <x:c r="N61" s="2"/>
    </x:row>
    <x:row r="62">
      <x:c r="A62" s="2" t="str">
        <x:v>AstraZeneca</x:v>
      </x:c>
      <x:c r="B62" s="2" t="str">
        <x:v>NCT04494425</x:v>
      </x:c>
      <x:c r="C62" s="2" t="str">
        <x:v>Study of Trastuzumab Deruxtecan (T-DXd) vs Investigator's Choice Chemotherapy in HER2-low, Hormone Receptor Positive, Metastatic Breast Cancer</x:v>
      </x:c>
      <x:c r="D62" s="2" t="str">
        <x:v>AstraZeneca</x:v>
      </x:c>
      <x:c r="E62" s="2" t="str">
        <x:v>Advanced or Metastatic Breast Cancer</x:v>
      </x:c>
      <x:c r="F62" s="2" t="str">
        <x:v>Oncology</x:v>
      </x:c>
      <x:c r="G62" s="2" t="str">
        <x:v>ACTIVE_NOT_RECRUITING</x:v>
      </x:c>
      <x:c r="H62" s="2" t="str">
        <x:v>PHASE3</x:v>
      </x:c>
      <x:c r="I62" s="2" t="str">
        <x:v>Trastuzumab deruxtecan; Capecitabine; Paclitaxel; Nab-Paclitaxel</x:v>
      </x:c>
      <x:c r="J62" s="2" t="str">
        <x:v>2020-07-31</x:v>
      </x:c>
      <x:c r="K62" s="2" t="str">
        <x:v>2026-03-04</x:v>
      </x:c>
      <x:c r="L62" s="2" t="str">
        <x:v>https://clinicaltrials.gov/study/NCT04494425</x:v>
      </x:c>
      <x:c r="M62" s="2"/>
      <x:c r="N62" s="2"/>
    </x:row>
    <x:row r="63">
      <x:c r="A63" s="2" t="str">
        <x:v>AstraZeneca</x:v>
      </x:c>
      <x:c r="B63" s="2" t="str">
        <x:v>NCT05048797</x:v>
      </x:c>
      <x:c r="C63" s="2" t="str">
        <x:v>A Study to Investigate the Efficacy and Safety of Trastuzumab Deruxtecan as the First Treatment Option for Unresectable, Locally Advanced/Metastatic Non-Small Cell Lung Cancer With HER2 Mutations</x:v>
      </x:c>
      <x:c r="D63" s="2" t="str">
        <x:v>AstraZeneca</x:v>
      </x:c>
      <x:c r="E63" s="2" t="str">
        <x:v>Locally Advanced or Metastatic Non-Small Cell Lung Cancer</x:v>
      </x:c>
      <x:c r="F63" s="2" t="str">
        <x:v>Oncology</x:v>
      </x:c>
      <x:c r="G63" s="2" t="str">
        <x:v>ACTIVE_NOT_RECRUITING</x:v>
      </x:c>
      <x:c r="H63" s="2" t="str">
        <x:v>PHASE3</x:v>
      </x:c>
      <x:c r="I63" s="2" t="str">
        <x:v>Trastuzumab Deruxtecan; Cisplatin; Carboplatin; Pembrolizumab; Pemetrexed</x:v>
      </x:c>
      <x:c r="J63" s="2" t="str">
        <x:v>2021-09-17</x:v>
      </x:c>
      <x:c r="K63" s="2" t="str">
        <x:v>2026-07-10</x:v>
      </x:c>
      <x:c r="L63" s="2" t="str">
        <x:v>https://clinicaltrials.gov/study/NCT05048797</x:v>
      </x:c>
      <x:c r="M63" s="2"/>
      <x:c r="N63" s="2"/>
    </x:row>
    <x:row r="64">
      <x:c r="A64" s="2" t="str">
        <x:v>AstraZeneca</x:v>
      </x:c>
      <x:c r="B64" s="2" t="str">
        <x:v>NCT06380751</x:v>
      </x:c>
      <x:c r="C64" s="2" t="str">
        <x:v>Saruparib (AZD5305) Plus Camizestrant or Plus Endocrine Therapy, Compared With CDK4/6 Inhibitor Plus Endocrine Therapy or Plus Camizestrant in HR-Positive, HER2-Negative (IHC 0, 1+, 2+/ ISH Non-amplified), BRCA1, BRCA2, or PALB2m Advanced Breast Cancer</x:v>
      </x:c>
      <x:c r="D64" s="2" t="str">
        <x:v>AstraZeneca</x:v>
      </x:c>
      <x:c r="E64" s="2" t="str">
        <x:v>Advanced Breast Cancer</x:v>
      </x:c>
      <x:c r="F64" s="2" t="str">
        <x:v>Oncology</x:v>
      </x:c>
      <x:c r="G64" s="2" t="str">
        <x:v>RECRUITING</x:v>
      </x:c>
      <x:c r="H64" s="2" t="str">
        <x:v>PHASE3</x:v>
      </x:c>
      <x:c r="I64" s="2" t="str">
        <x:v>Saruparib (AZD5305); Camizestrant; Abemaciclib; Ribociclib; Palbociclib; Fulvestrant; Letrozole; Anastrozole; Exemestane</x:v>
      </x:c>
      <x:c r="J64" s="2" t="str">
        <x:v>2024-04-24</x:v>
      </x:c>
      <x:c r="K64" s="2" t="str">
        <x:v>2026-09-02</x:v>
      </x:c>
      <x:c r="L64" s="2" t="str">
        <x:v>https://clinicaltrials.gov/study/NCT06380751</x:v>
      </x:c>
      <x:c r="M64" s="2"/>
      <x:c r="N64" s="2"/>
    </x:row>
    <x:row r="65">
      <x:c r="A65" s="2" t="str">
        <x:v>AstraZeneca</x:v>
      </x:c>
      <x:c r="B65" s="2" t="str">
        <x:v>NCT07431281</x:v>
      </x:c>
      <x:c r="C65" s="2" t="str">
        <x:v>Sonesitatug Vedotin in Combination With Capecitabine With or Without Rilvegostomig in Participants With Advanced or Metastatic Gastric, Gastroesophageal Junction, or Esophageal Adenocarcinoma Expressing Claudin18.2</x:v>
      </x:c>
      <x:c r="D65" s="2" t="str">
        <x:v>AstraZeneca</x:v>
      </x:c>
      <x:c r="E65" s="2" t="str">
        <x:v>Gastric Cancer; Gastroesophageal Junction Adenocarcinoma; Esophageal Cancer</x:v>
      </x:c>
      <x:c r="F65" s="2" t="str">
        <x:v>Oncology</x:v>
      </x:c>
      <x:c r="G65" s="2" t="str">
        <x:v>RECRUITING</x:v>
      </x:c>
      <x:c r="H65" s="2" t="str">
        <x:v>PHASE3</x:v>
      </x:c>
      <x:c r="I65" s="2" t="str">
        <x:v>Sonesitatug vedotin; Rilvegostomig; Nivolumab; Capecitabine; 5-Fluorouracil; Oxaliplatin; Zolbetuximab; Leucovorin</x:v>
      </x:c>
      <x:c r="J65" s="2" t="str">
        <x:v>2026-02-24</x:v>
      </x:c>
      <x:c r="K65" s="2" t="str">
        <x:v>2026-10-16</x:v>
      </x:c>
      <x:c r="L65" s="2" t="str">
        <x:v>https://clinicaltrials.gov/study/NCT07431281</x:v>
      </x:c>
      <x:c r="M65" s="2"/>
      <x:c r="N65" s="2"/>
    </x:row>
    <x:row r="66">
      <x:c r="A66" s="2" t="str">
        <x:v>AstraZeneca</x:v>
      </x:c>
      <x:c r="B66" s="2" t="str">
        <x:v>NCT05348577</x:v>
      </x:c>
      <x:c r="C66" s="2" t="str">
        <x:v>Study of Capivasertib + Docetaxel vs Placebo + Docetaxel as Treatment for Metastatic Castration Resistant Prostate Cancer (mCRPC)</x:v>
      </x:c>
      <x:c r="D66" s="2" t="str">
        <x:v>AstraZeneca</x:v>
      </x:c>
      <x:c r="E66" s="2" t="str">
        <x:v>Prostate Cancer</x:v>
      </x:c>
      <x:c r="F66" s="2" t="str">
        <x:v>Oncology</x:v>
      </x:c>
      <x:c r="G66" s="2" t="str">
        <x:v>ACTIVE_NOT_RECRUITING</x:v>
      </x:c>
      <x:c r="H66" s="2" t="str">
        <x:v>PHASE3</x:v>
      </x:c>
      <x:c r="I66" s="2" t="str">
        <x:v>capivasertib; docetaxel; placebo</x:v>
      </x:c>
      <x:c r="J66" s="2" t="str">
        <x:v>2022-04-27</x:v>
      </x:c>
      <x:c r="K66" s="2" t="str">
        <x:v>2025-01-27</x:v>
      </x:c>
      <x:c r="L66" s="2" t="str">
        <x:v>https://clinicaltrials.gov/study/NCT05348577</x:v>
      </x:c>
      <x:c r="M66" s="2"/>
      <x:c r="N66" s="2"/>
    </x:row>
    <x:row r="67">
      <x:c r="A67" s="2" t="str">
        <x:v>AstraZeneca</x:v>
      </x:c>
      <x:c r="B67" s="2" t="str">
        <x:v>NCT06455449</x:v>
      </x:c>
      <x:c r="C67" s="2" t="str">
        <x:v>A Study to Investigate the Efficacy and Safety of Anifrolumab Administered as Subcutaneous Injection and Added to Standard of Care Compared With Placebo Added to Standard of Care in Adult Participants With Idiopathic Inflammatory Myopathies (Polymyositis and Dermatomyositis)</x:v>
      </x:c>
      <x:c r="D67" s="2" t="str">
        <x:v>AstraZeneca</x:v>
      </x:c>
      <x:c r="E67" s="2" t="str">
        <x:v>Polymyositis, Dermatomyositis</x:v>
      </x:c>
      <x:c r="F67" s="2" t="str">
        <x:v>Other</x:v>
      </x:c>
      <x:c r="G67" s="2" t="str">
        <x:v>RECRUITING</x:v>
      </x:c>
      <x:c r="H67" s="2" t="str">
        <x:v>PHASE3</x:v>
      </x:c>
      <x:c r="I67" s="2" t="str">
        <x:v>Anifrolumab (blinded); Placebo; Anifrolumab (unblinded, open label)</x:v>
      </x:c>
      <x:c r="J67" s="2" t="str">
        <x:v>2024-06-12</x:v>
      </x:c>
      <x:c r="K67" s="2" t="str">
        <x:v>2026-09-24</x:v>
      </x:c>
      <x:c r="L67" s="2" t="str">
        <x:v>https://clinicaltrials.gov/study/NCT06455449</x:v>
      </x:c>
      <x:c r="M67" s="2"/>
      <x:c r="N67" s="2"/>
    </x:row>
    <x:row r="68">
      <x:c r="A68" s="2" t="str">
        <x:v>AstraZeneca</x:v>
      </x:c>
      <x:c r="B68" s="2" t="str">
        <x:v>NCT07000357</x:v>
      </x:c>
      <x:c r="C68" s="2" t="str">
        <x:v>A Phase III Study of AZD0780 on Major Adverse CV Events in Patients With a History of ASCVD Events or at High Risk for a First Event</x:v>
      </x:c>
      <x:c r="D68" s="2" t="str">
        <x:v>AstraZeneca</x:v>
      </x:c>
      <x:c r="E68" s="2" t="str">
        <x:v>Cardiovascular Disease</x:v>
      </x:c>
      <x:c r="F68" s="2" t="str">
        <x:v>Other</x:v>
      </x:c>
      <x:c r="G68" s="2" t="str">
        <x:v>RECRUITING</x:v>
      </x:c>
      <x:c r="H68" s="2" t="str">
        <x:v>PHASE3</x:v>
      </x:c>
      <x:c r="I68" s="2" t="str">
        <x:v>AZD0780; Placebo</x:v>
      </x:c>
      <x:c r="J68" s="2" t="str">
        <x:v>2025-06-02</x:v>
      </x:c>
      <x:c r="K68" s="2" t="str">
        <x:v>2026-08-24</x:v>
      </x:c>
      <x:c r="L68" s="2" t="str">
        <x:v>https://clinicaltrials.gov/study/NCT07000357</x:v>
      </x:c>
      <x:c r="M68" s="2"/>
      <x:c r="N68" s="2"/>
    </x:row>
    <x:row r="69">
      <x:c r="A69" s="2" t="str">
        <x:v>AstraZeneca</x:v>
      </x:c>
      <x:c r="B69" s="2" t="str">
        <x:v>NCT05687266</x:v>
      </x:c>
      <x:c r="C69" s="2" t="str">
        <x:v>Phase III, Open-label, First-line Study of Dato-DXd in Combination With Durvalumab and Carboplatin for Advanced NSCLC Without Actionable Genomic Alterations</x:v>
      </x:c>
      <x:c r="D69" s="2" t="str">
        <x:v>AstraZeneca</x:v>
      </x:c>
      <x:c r="E69" s="2" t="str">
        <x:v>NSCLC</x:v>
      </x:c>
      <x:c r="F69" s="2" t="str">
        <x:v>Oncology</x:v>
      </x:c>
      <x:c r="G69" s="2" t="str">
        <x:v>ACTIVE_NOT_RECRUITING</x:v>
      </x:c>
      <x:c r="H69" s="2" t="str">
        <x:v>PHASE3</x:v>
      </x:c>
      <x:c r="I69" s="2" t="str">
        <x:v>Datopotamab deruxtecan; Durvalumab; Carboplatin; Pembrolizumab; Cisplatin; Pemetrexed; Paclitaxel</x:v>
      </x:c>
      <x:c r="J69" s="2" t="str">
        <x:v>2023-01-18</x:v>
      </x:c>
      <x:c r="K69" s="2" t="str">
        <x:v>2026-10-09</x:v>
      </x:c>
      <x:c r="L69" s="2" t="str">
        <x:v>https://clinicaltrials.gov/study/NCT05687266</x:v>
      </x:c>
      <x:c r="M69" s="2"/>
      <x:c r="N69" s="2"/>
    </x:row>
    <x:row r="70">
      <x:c r="A70" s="2" t="str">
        <x:v>AstraZeneca</x:v>
      </x:c>
      <x:c r="B70" s="2" t="str">
        <x:v>NCT07662135</x:v>
      </x:c>
      <x:c r="C70" s="2" t="str">
        <x:v>A Phase III Study to Investigate the Efficacy and Safety of Elecoglipron Compared With Placebo in Adults With Type 2 Diabetes Mellitus and Impaired Renal Function on Background Dapagliflozin</x:v>
      </x:c>
      <x:c r="D70" s="2" t="str">
        <x:v>AstraZeneca</x:v>
      </x:c>
      <x:c r="E70" s="2" t="str">
        <x:v>Type 2 Diabetes Mellitus; Type 2 Diabetes With Chronic Kidney Disease</x:v>
      </x:c>
      <x:c r="F70" s="2" t="str">
        <x:v>Other</x:v>
      </x:c>
      <x:c r="G70" s="2" t="str">
        <x:v>RECRUITING</x:v>
      </x:c>
      <x:c r="H70" s="2" t="str">
        <x:v>PHASE3</x:v>
      </x:c>
      <x:c r="I70" s="2" t="str">
        <x:v>Elecoglipron; Placebo</x:v>
      </x:c>
      <x:c r="J70" s="2" t="str">
        <x:v>2026-06-23</x:v>
      </x:c>
      <x:c r="K70" s="2" t="str">
        <x:v>2026-09-02</x:v>
      </x:c>
      <x:c r="L70" s="2" t="str">
        <x:v>https://clinicaltrials.gov/study/NCT07662135</x:v>
      </x:c>
      <x:c r="M70" s="2"/>
      <x:c r="N70" s="2"/>
    </x:row>
    <x:row r="71">
      <x:c r="A71" s="2" t="str">
        <x:v>AstraZeneca</x:v>
      </x:c>
      <x:c r="B71" s="2" t="str">
        <x:v>NCT07711002</x:v>
      </x:c>
      <x:c r="C71" s="2" t="str">
        <x:v>Saruparib in Combination With Physician's Choice of ARPI in Patients With mHSPC Previously Treated With Docetaxel or 177Lu-PSMA Therapy Without Disease Progression and PSA ≥ 0.2 ng/mL (EvoPAR-PR05)</x:v>
      </x:c>
      <x:c r="D71" s="2" t="str">
        <x:v>AstraZeneca</x:v>
      </x:c>
      <x:c r="E71" s="2" t="str">
        <x:v>Metastatic Hormone-Sensitive Prostate Cancer (mHSPC)</x:v>
      </x:c>
      <x:c r="F71" s="2" t="str">
        <x:v>Oncology</x:v>
      </x:c>
      <x:c r="G71" s="2" t="str">
        <x:v>RECRUITING</x:v>
      </x:c>
      <x:c r="H71" s="2" t="str">
        <x:v>PHASE3</x:v>
      </x:c>
      <x:c r="I71" s="2" t="str">
        <x:v>Saruparib; Placebo; Enzalutamide; Darolutamide; Abiraterone</x:v>
      </x:c>
      <x:c r="J71" s="2" t="str">
        <x:v>2026-07-17</x:v>
      </x:c>
      <x:c r="K71" s="2" t="str">
        <x:v>2026-10-15</x:v>
      </x:c>
      <x:c r="L71" s="2" t="str">
        <x:v>https://clinicaltrials.gov/study/NCT07711002</x:v>
      </x:c>
      <x:c r="M71" s="2"/>
      <x:c r="N71" s="2"/>
    </x:row>
    <x:row r="72">
      <x:c r="A72" s="2" t="str">
        <x:v>AstraZeneca</x:v>
      </x:c>
      <x:c r="B72" s="2" t="str">
        <x:v>NCT06079671</x:v>
      </x:c>
      <x:c r="C72" s="2" t="str">
        <x:v>Study of Volrustomig in Women With High Risk Locally Advanced Cervical Cancer (eVOLVE-Cervical)</x:v>
      </x:c>
      <x:c r="D72" s="2" t="str">
        <x:v>AstraZeneca</x:v>
      </x:c>
      <x:c r="E72" s="2" t="str">
        <x:v>Locally Advanced Cervical Cancer</x:v>
      </x:c>
      <x:c r="F72" s="2" t="str">
        <x:v>Oncology</x:v>
      </x:c>
      <x:c r="G72" s="2" t="str">
        <x:v>RECRUITING</x:v>
      </x:c>
      <x:c r="H72" s="2" t="str">
        <x:v>PHASE3</x:v>
      </x:c>
      <x:c r="I72" s="2" t="str">
        <x:v>Volrustomig; Placebo</x:v>
      </x:c>
      <x:c r="J72" s="2" t="str">
        <x:v>2023-10-12</x:v>
      </x:c>
      <x:c r="K72" s="2" t="str">
        <x:v>2026-09-30</x:v>
      </x:c>
      <x:c r="L72" s="2" t="str">
        <x:v>https://clinicaltrials.gov/study/NCT06079671</x:v>
      </x:c>
      <x:c r="M72" s="2"/>
      <x:c r="N72" s="2"/>
    </x:row>
    <x:row r="73">
      <x:c r="A73" s="2" t="str">
        <x:v>AstraZeneca</x:v>
      </x:c>
      <x:c r="B73" s="2" t="str">
        <x:v>NCT06627647</x:v>
      </x:c>
      <x:c r="C73" s="2" t="str">
        <x:v>A Global Phase III Study of Rilvegostomig or Pembrolizumab Plus Chemotherapy for First-Line Treatment of Locally Advanced or Metastatic Non-Squamous NSCLC</x:v>
      </x:c>
      <x:c r="D73" s="2" t="str">
        <x:v>AstraZeneca</x:v>
      </x:c>
      <x:c r="E73" s="2" t="str">
        <x:v>Non-squamous Non-small Cell Lung Cancer</x:v>
      </x:c>
      <x:c r="F73" s="2" t="str">
        <x:v>Oncology</x:v>
      </x:c>
      <x:c r="G73" s="2" t="str">
        <x:v>RECRUITING</x:v>
      </x:c>
      <x:c r="H73" s="2" t="str">
        <x:v>PHASE3</x:v>
      </x:c>
      <x:c r="I73" s="2" t="str">
        <x:v>Rilvegostomig; Pembrolizumab; Carboplatin; Cisplatin; Pemetrexed</x:v>
      </x:c>
      <x:c r="J73" s="2" t="str">
        <x:v>2024-10-04</x:v>
      </x:c>
      <x:c r="K73" s="2" t="str">
        <x:v>2026-09-23</x:v>
      </x:c>
      <x:c r="L73" s="2" t="str">
        <x:v>https://clinicaltrials.gov/study/NCT06627647</x:v>
      </x:c>
      <x:c r="M73" s="2"/>
      <x:c r="N73" s="2"/>
    </x:row>
    <x:row r="74">
      <x:c r="A74" s="2" t="str">
        <x:v>AstraZeneca</x:v>
      </x:c>
      <x:c r="B74" s="2" t="str">
        <x:v>NCT07667803</x:v>
      </x:c>
      <x:c r="C74" s="2" t="str">
        <x:v>A Master Protocol to Investigate Efficacy and Safety of Elecoglipron in Participants With Obesity or Overweight With or Without T2DM</x:v>
      </x:c>
      <x:c r="D74" s="2" t="str">
        <x:v>AstraZeneca</x:v>
      </x:c>
      <x:c r="E74" s="2" t="str">
        <x:v>Weight Management</x:v>
      </x:c>
      <x:c r="F74" s="2" t="str">
        <x:v>Other</x:v>
      </x:c>
      <x:c r="G74" s="2" t="str">
        <x:v>RECRUITING</x:v>
      </x:c>
      <x:c r="H74" s="2" t="str">
        <x:v>PHASE3</x:v>
      </x:c>
      <x:c r="I74" s="2" t="str">
        <x:v>Elecoglipron; Placebo</x:v>
      </x:c>
      <x:c r="J74" s="2" t="str">
        <x:v>2026-06-25</x:v>
      </x:c>
      <x:c r="K74" s="2" t="str">
        <x:v>2026-10-13</x:v>
      </x:c>
      <x:c r="L74" s="2" t="str">
        <x:v>https://clinicaltrials.gov/study/NCT07667803</x:v>
      </x:c>
      <x:c r="M74" s="2"/>
      <x:c r="N74" s="2"/>
    </x:row>
    <x:row r="75">
      <x:c r="A75" s="2" t="str">
        <x:v>AstraZeneca</x:v>
      </x:c>
      <x:c r="B75" s="2" t="str">
        <x:v>NCT07221253</x:v>
      </x:c>
      <x:c r="C75" s="2" t="str">
        <x:v>A Study of Rilvegostomig or Durvalumab Plus Chemotherapy for First-Line Treatment of Biliary Tract Cancer (ARTEMIDE-Biliary02)</x:v>
      </x:c>
      <x:c r="D75" s="2" t="str">
        <x:v>AstraZeneca</x:v>
      </x:c>
      <x:c r="E75" s="2" t="str">
        <x:v>Biliary Tract Cancer</x:v>
      </x:c>
      <x:c r="F75" s="2" t="str">
        <x:v>Oncology</x:v>
      </x:c>
      <x:c r="G75" s="2" t="str">
        <x:v>RECRUITING</x:v>
      </x:c>
      <x:c r="H75" s="2" t="str">
        <x:v>PHASE3</x:v>
      </x:c>
      <x:c r="I75" s="2" t="str">
        <x:v>Rilvegostomig; Durvalumab; Gemcitabine/Cisplatin</x:v>
      </x:c>
      <x:c r="J75" s="2" t="str">
        <x:v>2025-10-27</x:v>
      </x:c>
      <x:c r="K75" s="2" t="str">
        <x:v>2026-09-28</x:v>
      </x:c>
      <x:c r="L75" s="2" t="str">
        <x:v>https://clinicaltrials.gov/study/NCT07221253</x:v>
      </x:c>
      <x:c r="M75" s="2"/>
      <x:c r="N75" s="2"/>
    </x:row>
    <x:row r="76">
      <x:c r="A76" s="2" t="str">
        <x:v>AstraZeneca</x:v>
      </x:c>
      <x:c r="B76" s="2" t="str">
        <x:v>NCT06109779</x:v>
      </x:c>
      <x:c r="C76" s="2" t="str">
        <x:v>Rilvegostomig + Chemotherapy as Adjuvant Therapy for Biliary Tract Cancer After Resection (ARTEMIDE-Biliary01)</x:v>
      </x:c>
      <x:c r="D76" s="2" t="str">
        <x:v>AstraZeneca</x:v>
      </x:c>
      <x:c r="E76" s="2" t="str">
        <x:v>Biliary Tract Cancer</x:v>
      </x:c>
      <x:c r="F76" s="2" t="str">
        <x:v>Oncology</x:v>
      </x:c>
      <x:c r="G76" s="2" t="str">
        <x:v>ACTIVE_NOT_RECRUITING</x:v>
      </x:c>
      <x:c r="H76" s="2" t="str">
        <x:v>PHASE3</x:v>
      </x:c>
      <x:c r="I76" s="2" t="str">
        <x:v>Rilvegostomig; Placebo; Capecitabine; Gemcitabine/Cisplatin; S-1 [Tegafur/Oteracil/gimeracil]</x:v>
      </x:c>
      <x:c r="J76" s="2" t="str">
        <x:v>2023-10-31</x:v>
      </x:c>
      <x:c r="K76" s="2" t="str">
        <x:v>2026-10-16</x:v>
      </x:c>
      <x:c r="L76" s="2" t="str">
        <x:v>https://clinicaltrials.gov/study/NCT06109779</x:v>
      </x:c>
      <x:c r="M76" s="2"/>
      <x:c r="N76" s="2"/>
    </x:row>
    <x:row r="77">
      <x:c r="A77" s="2" t="str">
        <x:v>AstraZeneca</x:v>
      </x:c>
      <x:c r="B77" s="2" t="str">
        <x:v>NCT06307652</x:v>
      </x:c>
      <x:c r="C77" s="2" t="str">
        <x:v>Study to Evaluate the Effect of Balcinrenone/Dapagliflozin in Patients With Heart Failure and Impaired Kidney Function</x:v>
      </x:c>
      <x:c r="D77" s="2" t="str">
        <x:v>AstraZeneca</x:v>
      </x:c>
      <x:c r="E77" s="2" t="str">
        <x:v>Heart Failure and Impaired Kidney Function</x:v>
      </x:c>
      <x:c r="F77" s="2" t="str">
        <x:v>Other</x:v>
      </x:c>
      <x:c r="G77" s="2" t="str">
        <x:v>RECRUITING</x:v>
      </x:c>
      <x:c r="H77" s="2" t="str">
        <x:v>PHASE3</x:v>
      </x:c>
      <x:c r="I77" s="2" t="str">
        <x:v>balcinrenone/dapagliflozin 15 mg/10 mg and matching placebo for dapagliflozin 10 mg; balcinrenone/dapagliflozin 40 mg/10 mg and matching placebo for dapagliflozin 10 mg; dapagliflozin 10 mg and matching placebo for balcinrenone/dapagliflozin</x:v>
      </x:c>
      <x:c r="J77" s="2" t="str">
        <x:v>2024-03-13</x:v>
      </x:c>
      <x:c r="K77" s="2" t="str">
        <x:v>2026-10-13</x:v>
      </x:c>
      <x:c r="L77" s="2" t="str">
        <x:v>https://clinicaltrials.gov/study/NCT06307652</x:v>
      </x:c>
      <x:c r="M77" s="2"/>
      <x:c r="N77" s="2"/>
    </x:row>
    <x:row r="78">
      <x:c r="A78" s="2" t="str">
        <x:v>AstraZeneca</x:v>
      </x:c>
      <x:c r="B78" s="2" t="str">
        <x:v>NCT04351555</x:v>
      </x:c>
      <x:c r="C78" s="2" t="str">
        <x:v>A Study of Osimertinib With or Without Chemotherapy Versus Chemotherapy Alone as Neoadjuvant Therapy for Patients With EGFRm Positive Resectable Non-Small Cell Lung Cancer</x:v>
      </x:c>
      <x:c r="D78" s="2" t="str">
        <x:v>AstraZeneca</x:v>
      </x:c>
      <x:c r="E78" s="2" t="str">
        <x:v>Non-Small Cell Lung Cancer</x:v>
      </x:c>
      <x:c r="F78" s="2" t="str">
        <x:v>Oncology</x:v>
      </x:c>
      <x:c r="G78" s="2" t="str">
        <x:v>ACTIVE_NOT_RECRUITING</x:v>
      </x:c>
      <x:c r="H78" s="2" t="str">
        <x:v>PHASE3</x:v>
      </x:c>
      <x:c r="I78" s="2" t="str">
        <x:v>Osimertinib; Cisplatin; Carboplatin; Placebo; Pemetrexed</x:v>
      </x:c>
      <x:c r="J78" s="2" t="str">
        <x:v>2020-04-17</x:v>
      </x:c>
      <x:c r="K78" s="2" t="str">
        <x:v>2026-09-09</x:v>
      </x:c>
      <x:c r="L78" s="2" t="str">
        <x:v>https://clinicaltrials.gov/study/NCT04351555</x:v>
      </x:c>
      <x:c r="M78" s="2"/>
      <x:c r="N78" s="2"/>
    </x:row>
    <x:row r="79">
      <x:c r="A79" s="2" t="str">
        <x:v>AstraZeneca</x:v>
      </x:c>
      <x:c r="B79" s="2" t="str">
        <x:v>NCT07816666</x:v>
      </x:c>
      <x:c r="C79" s="2" t="str">
        <x:v>Torvutatug Samrotecan With or Without Bevacizumab as Maintenance Treatment of Platinum-sensitive Relapsed Epithelial Ovarian Cancer</x:v>
      </x:c>
      <x:c r="D79" s="2" t="str">
        <x:v>AstraZeneca</x:v>
      </x:c>
      <x:c r="E79" s="2" t="str">
        <x:v>Platinum-sensitive Relapsed Epithelial Ovarian Cancer; Platinum-sensitive Relapsed Fallopian Tube Cancer; Platinum-sensitive Relapsed Primary Peritoneal Cancer</x:v>
      </x:c>
      <x:c r="F79" s="2" t="str">
        <x:v>Oncology</x:v>
      </x:c>
      <x:c r="G79" s="2" t="str">
        <x:v>RECRUITING</x:v>
      </x:c>
      <x:c r="H79" s="2" t="str">
        <x:v>PHASE3</x:v>
      </x:c>
      <x:c r="I79" s="2" t="str">
        <x:v>Torvutatug samrotecan; Bevacizumab</x:v>
      </x:c>
      <x:c r="J79" s="2" t="str">
        <x:v>2026-09-14</x:v>
      </x:c>
      <x:c r="K79" s="2" t="str">
        <x:v>2026-10-16</x:v>
      </x:c>
      <x:c r="L79" s="2" t="str">
        <x:v>https://clinicaltrials.gov/study/NCT07816666</x:v>
      </x:c>
      <x:c r="M79" s="2"/>
      <x:c r="N79" s="2"/>
    </x:row>
    <x:row r="80">
      <x:c r="A80" s="2" t="str">
        <x:v>AstraZeneca</x:v>
      </x:c>
      <x:c r="B80" s="2" t="str">
        <x:v>NCT03813407</x:v>
      </x:c>
      <x:c r="C80" s="2" t="str">
        <x:v>An Open-label Study to Assess Safety and Efficacy of SZC in Paediatric Patients With Hyperkalaemia</x:v>
      </x:c>
      <x:c r="D80" s="2" t="str">
        <x:v>AstraZeneca</x:v>
      </x:c>
      <x:c r="E80" s="2" t="str">
        <x:v>Hyperkalaemia</x:v>
      </x:c>
      <x:c r="F80" s="2" t="str">
        <x:v>Other</x:v>
      </x:c>
      <x:c r="G80" s="2" t="str">
        <x:v>RECRUITING</x:v>
      </x:c>
      <x:c r="H80" s="2" t="str">
        <x:v>PHASE3</x:v>
      </x:c>
      <x:c r="I80" s="2" t="str">
        <x:v>Sodium Zirconium Cyclosilicate (SZC) Reduced Dose Level; Sodium Zirconium Cyclosilicate (SZC) Dose Level 1 (DL1); Sodium Zirconium Cyclosilicate (SZC) Dose Level 2 (DL2); Sodium Zirconium Cyclosilicate (SZC) Dose Level 3 (DL3); Sodium Zirconium Cyclosilicate (SZC) Dose During 28 Day Maintenance Phase</x:v>
      </x:c>
      <x:c r="J80" s="2" t="str">
        <x:v>2019-01-23</x:v>
      </x:c>
      <x:c r="K80" s="2" t="str">
        <x:v>2026-08-13</x:v>
      </x:c>
      <x:c r="L80" s="2" t="str">
        <x:v>https://clinicaltrials.gov/study/NCT03813407</x:v>
      </x:c>
      <x:c r="M80" s="2"/>
      <x:c r="N80" s="2"/>
    </x:row>
    <x:row r="81">
      <x:c r="A81" s="2" t="str">
        <x:v>AstraZeneca</x:v>
      </x:c>
      <x:c r="B81" s="2" t="str">
        <x:v>NCT06112379</x:v>
      </x:c>
      <x:c r="C81" s="2" t="str">
        <x:v>A Phase III Randomised Study to Evaluate Dato-DXd and Durvalumab for Neoadjuvant/Adjuvant Treatment of Triple-Negative or Hormone Receptor-low/HER2-negative Breast Cancer</x:v>
      </x:c>
      <x:c r="D81" s="2" t="str">
        <x:v>AstraZeneca</x:v>
      </x:c>
      <x:c r="E81" s="2" t="str">
        <x:v>Breast Cancer</x:v>
      </x:c>
      <x:c r="F81" s="2" t="str">
        <x:v>Oncology</x:v>
      </x:c>
      <x:c r="G81" s="2" t="str">
        <x:v>ACTIVE_NOT_RECRUITING</x:v>
      </x:c>
      <x:c r="H81" s="2" t="str">
        <x:v>PHASE3</x:v>
      </x:c>
      <x:c r="I81" s="2" t="str">
        <x:v>Dato-DXd; Durvalumab; Pembrolizumab; Doxorubicin; Epirubicin; Cyclophosphamide; Paclitaxel; Carboplatin; Capecitabine; Olaparib</x:v>
      </x:c>
      <x:c r="J81" s="2" t="str">
        <x:v>2023-11-01</x:v>
      </x:c>
      <x:c r="K81" s="2" t="str">
        <x:v>2026-07-13</x:v>
      </x:c>
      <x:c r="L81" s="2" t="str">
        <x:v>https://clinicaltrials.gov/study/NCT06112379</x:v>
      </x:c>
      <x:c r="M81" s="2"/>
      <x:c r="N81" s="2"/>
    </x:row>
    <x:row r="82">
      <x:c r="A82" s="2" t="str">
        <x:v>AstraZeneca</x:v>
      </x:c>
      <x:c r="B82" s="2" t="str">
        <x:v>NCT06742723</x:v>
      </x:c>
      <x:c r="C82" s="2" t="str">
        <x:v>A Phase III Renal Outcomes and Cardiovascular Mortality Study to Investigate the Efficacy and Safety of Baxdrostat in Combination With Dapagliflozin in Participants With Chronic Kidney Disease and High Blood Pressure</x:v>
      </x:c>
      <x:c r="D82" s="2" t="str">
        <x:v>AstraZeneca</x:v>
      </x:c>
      <x:c r="E82" s="2" t="str">
        <x:v>Chronic Kidney Disease and Hypertension</x:v>
      </x:c>
      <x:c r="F82" s="2" t="str">
        <x:v>Other</x:v>
      </x:c>
      <x:c r="G82" s="2" t="str">
        <x:v>RECRUITING</x:v>
      </x:c>
      <x:c r="H82" s="2" t="str">
        <x:v>PHASE3</x:v>
      </x:c>
      <x:c r="I82" s="2" t="str">
        <x:v>Baxdrostat/dapagliflozin; Placebo/dapagliflozin</x:v>
      </x:c>
      <x:c r="J82" s="2" t="str">
        <x:v>2024-12-19</x:v>
      </x:c>
      <x:c r="K82" s="2" t="str">
        <x:v>2026-09-25</x:v>
      </x:c>
      <x:c r="L82" s="2" t="str">
        <x:v>https://clinicaltrials.gov/study/NCT06742723</x:v>
      </x:c>
      <x:c r="M82" s="2"/>
      <x:c r="N82" s="2"/>
    </x:row>
    <x:row r="83">
      <x:c r="A83" s="2" t="str">
        <x:v>AstraZeneca</x:v>
      </x:c>
      <x:c r="B83" s="2" t="str">
        <x:v>NCT04493853</x:v>
      </x:c>
      <x:c r="C83" s="2" t="str">
        <x:v>Capivasertib+Abiraterone as Treatment for Patients With Metastatic Hormone-sensitive Prostate Cancer and PTEN Deficiency</x:v>
      </x:c>
      <x:c r="D83" s="2" t="str">
        <x:v>AstraZeneca</x:v>
      </x:c>
      <x:c r="E83" s="2" t="str">
        <x:v>Hormone-Sensitive Prostate Cancer</x:v>
      </x:c>
      <x:c r="F83" s="2" t="str">
        <x:v>Oncology</x:v>
      </x:c>
      <x:c r="G83" s="2" t="str">
        <x:v>ACTIVE_NOT_RECRUITING</x:v>
      </x:c>
      <x:c r="H83" s="2" t="str">
        <x:v>PHASE3</x:v>
      </x:c>
      <x:c r="I83" s="2" t="str">
        <x:v>Capivasertib; Placebo; Abiraterone Acetate</x:v>
      </x:c>
      <x:c r="J83" s="2" t="str">
        <x:v>2020-07-30</x:v>
      </x:c>
      <x:c r="K83" s="2" t="str">
        <x:v>2026-09-10</x:v>
      </x:c>
      <x:c r="L83" s="2" t="str">
        <x:v>https://clinicaltrials.gov/study/NCT04493853</x:v>
      </x:c>
      <x:c r="M83" s="2"/>
      <x:c r="N83" s="2"/>
    </x:row>
    <x:row r="84">
      <x:c r="A84" s="2" t="str">
        <x:v>AstraZeneca</x:v>
      </x:c>
      <x:c r="B84" s="2" t="str">
        <x:v>NCT06087835</x:v>
      </x:c>
      <x:c r="C84" s="2" t="str">
        <x:v>Study to Investigate Efficacy, Safety, and Tolerability of Zibotentan/Dapagliflozin Compared to Dapagliflozin in Participants With Chronic Kidney Disease and High Proteinuria (ZENITH High Proteinuria)</x:v>
      </x:c>
      <x:c r="D84" s="2" t="str">
        <x:v>AstraZeneca</x:v>
      </x:c>
      <x:c r="E84" s="2" t="str">
        <x:v>Chronic Kidney Disease With High Proteinuria</x:v>
      </x:c>
      <x:c r="F84" s="2" t="str">
        <x:v>Other</x:v>
      </x:c>
      <x:c r="G84" s="2" t="str">
        <x:v>ACTIVE_NOT_RECRUITING</x:v>
      </x:c>
      <x:c r="H84" s="2" t="str">
        <x:v>PHASE3</x:v>
      </x:c>
      <x:c r="I84" s="2" t="str">
        <x:v>Zibotentan/Dapagliflozin; Dapagliflozin</x:v>
      </x:c>
      <x:c r="J84" s="2" t="str">
        <x:v>2023-10-18</x:v>
      </x:c>
      <x:c r="K84" s="2" t="str">
        <x:v>2026-10-13</x:v>
      </x:c>
      <x:c r="L84" s="2" t="str">
        <x:v>https://clinicaltrials.gov/study/NCT06087835</x:v>
      </x:c>
      <x:c r="M84" s="2"/>
      <x:c r="N84" s="2"/>
    </x:row>
    <x:row r="85">
      <x:c r="A85" s="2" t="str">
        <x:v>AstraZeneca</x:v>
      </x:c>
      <x:c r="B85" s="2" t="str">
        <x:v>NCT06129864</x:v>
      </x:c>
      <x:c r="C85" s="2" t="str">
        <x:v>A Global Study of Volrustomig (MEDI5752) for Participants With Unresected Locally Advanced Head and Neck Squamous Cell Carcinoma Following Definitive Concurrent Chemoradiotherapy</x:v>
      </x:c>
      <x:c r="D85" s="2" t="str">
        <x:v>AstraZeneca</x:v>
      </x:c>
      <x:c r="E85" s="2" t="str">
        <x:v>Locally Advanced Head and Neck Squamous Cell Carcinoma</x:v>
      </x:c>
      <x:c r="F85" s="2" t="str">
        <x:v>Oncology</x:v>
      </x:c>
      <x:c r="G85" s="2" t="str">
        <x:v>RECRUITING</x:v>
      </x:c>
      <x:c r="H85" s="2" t="str">
        <x:v>PHASE3</x:v>
      </x:c>
      <x:c r="I85" s="2" t="str">
        <x:v>volrustomig</x:v>
      </x:c>
      <x:c r="J85" s="2" t="str">
        <x:v>2023-11-13</x:v>
      </x:c>
      <x:c r="K85" s="2" t="str">
        <x:v>2026-09-30</x:v>
      </x:c>
      <x:c r="L85" s="2" t="str">
        <x:v>https://clinicaltrials.gov/study/NCT06129864</x:v>
      </x:c>
      <x:c r="M85" s="2"/>
      <x:c r="N85" s="2"/>
    </x:row>
    <x:row r="86">
      <x:c r="A86" s="2" t="str">
        <x:v>AstraZeneca</x:v>
      </x:c>
      <x:c r="B86" s="2" t="str">
        <x:v>NCT05043090</x:v>
      </x:c>
      <x:c r="C86" s="2" t="str">
        <x:v>Savolitinib Plus Durvalumab Versus Sunitinib and Durvalumab Monotherapy in MET-Driven, Unresectable and Locally Advanced or Metastatic PRCC</x:v>
      </x:c>
      <x:c r="D86" s="2" t="str">
        <x:v>AstraZeneca</x:v>
      </x:c>
      <x:c r="E86" s="2" t="str">
        <x:v>Papillary Renal Cell Carcinoma</x:v>
      </x:c>
      <x:c r="F86" s="2" t="str">
        <x:v>Oncology</x:v>
      </x:c>
      <x:c r="G86" s="2" t="str">
        <x:v>ACTIVE_NOT_RECRUITING</x:v>
      </x:c>
      <x:c r="H86" s="2" t="str">
        <x:v>PHASE3</x:v>
      </x:c>
      <x:c r="I86" s="2" t="str">
        <x:v>savolitinib; durvalumab; sunitinib</x:v>
      </x:c>
      <x:c r="J86" s="2" t="str">
        <x:v>2021-09-13</x:v>
      </x:c>
      <x:c r="K86" s="2" t="str">
        <x:v>2026-05-22</x:v>
      </x:c>
      <x:c r="L86" s="2" t="str">
        <x:v>https://clinicaltrials.gov/study/NCT05043090</x:v>
      </x:c>
      <x:c r="M86" s="2"/>
      <x:c r="N86" s="2"/>
    </x:row>
    <x:row r="87">
      <x:c r="A87" s="2" t="str">
        <x:v>AstraZeneca</x:v>
      </x:c>
      <x:c r="B87" s="2" t="str">
        <x:v>NCT03997123</x:v>
      </x:c>
      <x:c r="C87" s="2" t="str">
        <x:v>Capivasertib+Paclitaxel as First Line Treatment for Patients With Locally Advanced or Metastatic TNBC</x:v>
      </x:c>
      <x:c r="D87" s="2" t="str">
        <x:v>AstraZeneca</x:v>
      </x:c>
      <x:c r="E87" s="2" t="str">
        <x:v>Triple Negative Breast Neoplasms</x:v>
      </x:c>
      <x:c r="F87" s="2" t="str">
        <x:v>Oncology</x:v>
      </x:c>
      <x:c r="G87" s="2" t="str">
        <x:v>ACTIVE_NOT_RECRUITING</x:v>
      </x:c>
      <x:c r="H87" s="2" t="str">
        <x:v>PHASE3</x:v>
      </x:c>
      <x:c r="I87" s="2" t="str">
        <x:v>Capivasertib; Paclitaxel; Placebo</x:v>
      </x:c>
      <x:c r="J87" s="2" t="str">
        <x:v>2019-06-25</x:v>
      </x:c>
      <x:c r="K87" s="2" t="str">
        <x:v>2025-12-22</x:v>
      </x:c>
      <x:c r="L87" s="2" t="str">
        <x:v>https://clinicaltrials.gov/study/NCT03997123</x:v>
      </x:c>
      <x:c r="M87" s="2"/>
      <x:c r="N87" s="2"/>
    </x:row>
    <x:row r="88">
      <x:c r="A88" s="2" t="str">
        <x:v>AstraZeneca</x:v>
      </x:c>
      <x:c r="B88" s="2" t="str">
        <x:v>NCT04035486</x:v>
      </x:c>
      <x:c r="C88" s="2" t="str">
        <x:v>A Study of Osimertinib With or Without Chemotherapy as 1st Line Treatment in Patients With Mutated Epidermal Growth Factor Receptor Non-Small Cell Lung Cancer (FLAURA2)</x:v>
      </x:c>
      <x:c r="D88" s="2" t="str">
        <x:v>AstraZeneca</x:v>
      </x:c>
      <x:c r="E88" s="2" t="str">
        <x:v>Non-Small Cell Lung Cancer</x:v>
      </x:c>
      <x:c r="F88" s="2" t="str">
        <x:v>Oncology</x:v>
      </x:c>
      <x:c r="G88" s="2" t="str">
        <x:v>ACTIVE_NOT_RECRUITING</x:v>
      </x:c>
      <x:c r="H88" s="2" t="str">
        <x:v>PHASE3</x:v>
      </x:c>
      <x:c r="I88" s="2" t="str">
        <x:v>Osimertinib; Pemetrexed/Carboplatin; Pemetrexed/Cisplatin</x:v>
      </x:c>
      <x:c r="J88" s="2" t="str">
        <x:v>2019-07-29</x:v>
      </x:c>
      <x:c r="K88" s="2" t="str">
        <x:v>2026-09-03</x:v>
      </x:c>
      <x:c r="L88" s="2" t="str">
        <x:v>https://clinicaltrials.gov/study/NCT04035486</x:v>
      </x:c>
      <x:c r="M88" s="2"/>
      <x:c r="N88" s="2"/>
    </x:row>
    <x:row r="89">
      <x:c r="A89" s="2" t="str">
        <x:v>AstraZeneca</x:v>
      </x:c>
      <x:c r="B89" s="2" t="str">
        <x:v>NCT07662109</x:v>
      </x:c>
      <x:c r="C89" s="2" t="str">
        <x:v>A Phase III Study to Investigate the Efficacy and Safety of the Combination of Elecoglipron and Dapagliflozin in Adults With Type 2 Diabetes Mellitus</x:v>
      </x:c>
      <x:c r="D89" s="2" t="str">
        <x:v>AstraZeneca</x:v>
      </x:c>
      <x:c r="E89" s="2" t="str">
        <x:v>Type 2 Diabetes Mellitus</x:v>
      </x:c>
      <x:c r="F89" s="2" t="str">
        <x:v>Other</x:v>
      </x:c>
      <x:c r="G89" s="2" t="str">
        <x:v>RECRUITING</x:v>
      </x:c>
      <x:c r="H89" s="2" t="str">
        <x:v>PHASE3</x:v>
      </x:c>
      <x:c r="I89" s="2" t="str">
        <x:v>Elecoglipron; Dapagliflozin; Elecoglipron-matched placebo; Dapagliflozin-matched placebo</x:v>
      </x:c>
      <x:c r="J89" s="2" t="str">
        <x:v>2026-06-23</x:v>
      </x:c>
      <x:c r="K89" s="2" t="str">
        <x:v>2026-08-31</x:v>
      </x:c>
      <x:c r="L89" s="2" t="str">
        <x:v>https://clinicaltrials.gov/study/NCT07662109</x:v>
      </x:c>
      <x:c r="M89" s="2"/>
      <x:c r="N89" s="2"/>
    </x:row>
    <x:row r="90">
      <x:c r="A90" s="2" t="str">
        <x:v>AstraZeneca</x:v>
      </x:c>
      <x:c r="B90" s="2" t="str">
        <x:v>NCT06764875</x:v>
      </x:c>
      <x:c r="C90" s="2" t="str">
        <x:v>A Phase Ⅲ Study of Rilvegostomig in Combination With Fluoropyrimidine and Trastuzumab Deruxtecan as the First-line Treatment for HER2-positive Gastric Cancer</x:v>
      </x:c>
      <x:c r="D90" s="2" t="str">
        <x:v>AstraZeneca</x:v>
      </x:c>
      <x:c r="E90" s="2" t="str">
        <x:v>HER2-positive Gastric Cancer; Gastroesophageal Junction Adenocarcinoma</x:v>
      </x:c>
      <x:c r="F90" s="2" t="str">
        <x:v>Oncology</x:v>
      </x:c>
      <x:c r="G90" s="2" t="str">
        <x:v>RECRUITING</x:v>
      </x:c>
      <x:c r="H90" s="2" t="str">
        <x:v>PHASE3</x:v>
      </x:c>
      <x:c r="I90" s="2" t="str">
        <x:v>Rilvegostomig; Trastuzumab deruxtecan; Trastuzumab; Pembrolizumab; 5-fluorouracil; Capecitabine; Cisplatin; Oxaliplatin</x:v>
      </x:c>
      <x:c r="J90" s="2" t="str">
        <x:v>2025-01-09</x:v>
      </x:c>
      <x:c r="K90" s="2" t="str">
        <x:v>2026-10-16</x:v>
      </x:c>
      <x:c r="L90" s="2" t="str">
        <x:v>https://clinicaltrials.gov/study/NCT06764875</x:v>
      </x:c>
      <x:c r="M90" s="2"/>
      <x:c r="N90" s="2"/>
    </x:row>
    <x:row r="91">
      <x:c r="A91" s="2" t="str">
        <x:v>AstraZeneca</x:v>
      </x:c>
      <x:c r="B91" s="2" t="str">
        <x:v>NCT04784715</x:v>
      </x:c>
      <x:c r="C91" s="2" t="str">
        <x:v>Trastuzumab Deruxtecan (T-DXd) With or Without Pertuzumab Versus Taxane, Trastuzumab and Pertuzumab in HER2-positive Metastatic Breast Cancer (DESTINY-Breast09)</x:v>
      </x:c>
      <x:c r="D91" s="2" t="str">
        <x:v>AstraZeneca</x:v>
      </x:c>
      <x:c r="E91" s="2" t="str">
        <x:v>Breast Cancer; HER2-positive; Metastatic</x:v>
      </x:c>
      <x:c r="F91" s="2" t="str">
        <x:v>Oncology</x:v>
      </x:c>
      <x:c r="G91" s="2" t="str">
        <x:v>ACTIVE_NOT_RECRUITING</x:v>
      </x:c>
      <x:c r="H91" s="2" t="str">
        <x:v>PHASE3</x:v>
      </x:c>
      <x:c r="I91" s="2" t="str">
        <x:v>Trastuzumab deruxtecan; Placebo; Taxane; Pertuzumab; Trastuzumab</x:v>
      </x:c>
      <x:c r="J91" s="2" t="str">
        <x:v>2021-03-05</x:v>
      </x:c>
      <x:c r="K91" s="2" t="str">
        <x:v>2026-07-30</x:v>
      </x:c>
      <x:c r="L91" s="2" t="str">
        <x:v>https://clinicaltrials.gov/study/NCT04784715</x:v>
      </x:c>
      <x:c r="M91" s="2"/>
      <x:c r="N91" s="2"/>
    </x:row>
    <x:row r="92">
      <x:c r="A92" s="2" t="str">
        <x:v>AstraZeneca</x:v>
      </x:c>
      <x:c r="B92" s="2" t="str">
        <x:v>NCT07007793</x:v>
      </x:c>
      <x:c r="C92" s="2" t="str">
        <x:v>Parent Study: A Study to Assess Efficacy and Safety of Baxdrostat in Participants With Primary Aldosteronism Sub-study: A Follow-up Substudy After Completion of the BaxPA Main Study.</x:v>
      </x:c>
      <x:c r="D92" s="2" t="str">
        <x:v>AstraZeneca</x:v>
      </x:c>
      <x:c r="E92" s="2" t="str">
        <x:v>Primary Hyperaldosteronism</x:v>
      </x:c>
      <x:c r="F92" s="2" t="str">
        <x:v>Other</x:v>
      </x:c>
      <x:c r="G92" s="2" t="str">
        <x:v>ACTIVE_NOT_RECRUITING</x:v>
      </x:c>
      <x:c r="H92" s="2" t="str">
        <x:v>PHASE3</x:v>
      </x:c>
      <x:c r="I92" s="2" t="str">
        <x:v>Baxdrostat; Placebo</x:v>
      </x:c>
      <x:c r="J92" s="2" t="str">
        <x:v>2025-06-06</x:v>
      </x:c>
      <x:c r="K92" s="2" t="str">
        <x:v>2026-10-16</x:v>
      </x:c>
      <x:c r="L92" s="2" t="str">
        <x:v>https://clinicaltrials.gov/study/NCT07007793</x:v>
      </x:c>
      <x:c r="M92" s="2"/>
      <x:c r="N92" s="2"/>
    </x:row>
    <x:row r="93">
      <x:c r="A93" s="2" t="str">
        <x:v>AstraZeneca</x:v>
      </x:c>
      <x:c r="B93" s="2" t="str">
        <x:v>NCT04191304</x:v>
      </x:c>
      <x:c r="C93" s="2" t="str">
        <x:v>A Phase III Study to Evaluate the Efficacy and Safety of Benralizumab in Patients With Hypereosinophilic Syndrome (HES)</x:v>
      </x:c>
      <x:c r="D93" s="2" t="str">
        <x:v>AstraZeneca</x:v>
      </x:c>
      <x:c r="E93" s="2" t="str">
        <x:v>Hypereosinophilic Syndrome</x:v>
      </x:c>
      <x:c r="F93" s="2" t="str">
        <x:v>Other</x:v>
      </x:c>
      <x:c r="G93" s="2" t="str">
        <x:v>ACTIVE_NOT_RECRUITING</x:v>
      </x:c>
      <x:c r="H93" s="2" t="str">
        <x:v>PHASE3</x:v>
      </x:c>
      <x:c r="I93" s="2" t="str">
        <x:v>Benralizumab; Placebo</x:v>
      </x:c>
      <x:c r="J93" s="2" t="str">
        <x:v>2019-12-09</x:v>
      </x:c>
      <x:c r="K93" s="2" t="str">
        <x:v>2026-07-10</x:v>
      </x:c>
      <x:c r="L93" s="2" t="str">
        <x:v>https://clinicaltrials.gov/study/NCT04191304</x:v>
      </x:c>
      <x:c r="M93" s="2"/>
      <x:c r="N93" s="2"/>
    </x:row>
    <x:row r="94">
      <x:c r="A94" s="2" t="str">
        <x:v>AstraZeneca</x:v>
      </x:c>
      <x:c r="B94" s="2" t="str">
        <x:v>NCT05624450</x:v>
      </x:c>
      <x:c r="C94" s="2" t="str">
        <x:v>Efficacy and Safety of Tozorakimab in Patients Hospitalised for Viral Lung Infection Requiring Supplemental Oxygen</x:v>
      </x:c>
      <x:c r="D94" s="2" t="str">
        <x:v>AstraZeneca</x:v>
      </x:c>
      <x:c r="E94" s="2" t="str">
        <x:v>Viral Lung Infection and Acute Respiratory Failure</x:v>
      </x:c>
      <x:c r="F94" s="2" t="str">
        <x:v>Respiratory</x:v>
      </x:c>
      <x:c r="G94" s="2" t="str">
        <x:v>RECRUITING</x:v>
      </x:c>
      <x:c r="H94" s="2" t="str">
        <x:v>PHASE3</x:v>
      </x:c>
      <x:c r="I94" s="2" t="str">
        <x:v>Tozorakimab; Placebo</x:v>
      </x:c>
      <x:c r="J94" s="2" t="str">
        <x:v>2022-11-22</x:v>
      </x:c>
      <x:c r="K94" s="2" t="str">
        <x:v>2026-10-02</x:v>
      </x:c>
      <x:c r="L94" s="2" t="str">
        <x:v>https://clinicaltrials.gov/study/NCT05624450</x:v>
      </x:c>
      <x:c r="M94" s="2"/>
      <x:c r="N94" s="2"/>
    </x:row>
    <x:row r="95">
      <x:c r="A95" s="2" t="str">
        <x:v>AstraZeneca</x:v>
      </x:c>
      <x:c r="B95" s="2" t="str">
        <x:v>NCT06677060</x:v>
      </x:c>
      <x:c r="C95" s="2" t="str">
        <x:v>Phase III Study Investigating Heart Failure and Cardiovascular Death With Baxdrostat in Combination With Dapagliflozin</x:v>
      </x:c>
      <x:c r="D95" s="2" t="str">
        <x:v>AstraZeneca</x:v>
      </x:c>
      <x:c r="E95" s="2" t="str">
        <x:v>Heart Failure</x:v>
      </x:c>
      <x:c r="F95" s="2" t="str">
        <x:v>Other</x:v>
      </x:c>
      <x:c r="G95" s="2" t="str">
        <x:v>RECRUITING</x:v>
      </x:c>
      <x:c r="H95" s="2" t="str">
        <x:v>PHASE3</x:v>
      </x:c>
      <x:c r="I95" s="2" t="str">
        <x:v>Baxdrostat and dapagliflozin; Placebo and dapagliflozin</x:v>
      </x:c>
      <x:c r="J95" s="2" t="str">
        <x:v>2024-11-06</x:v>
      </x:c>
      <x:c r="K95" s="2" t="str">
        <x:v>2026-09-15</x:v>
      </x:c>
      <x:c r="L95" s="2" t="str">
        <x:v>https://clinicaltrials.gov/study/NCT06677060</x:v>
      </x:c>
      <x:c r="M95" s="2"/>
      <x:c r="N95" s="2"/>
    </x:row>
    <x:row r="96">
      <x:c r="A96" s="2" t="str">
        <x:v>AstraZeneca</x:v>
      </x:c>
      <x:c r="B96" s="2" t="str">
        <x:v>NCT04862663</x:v>
      </x:c>
      <x:c r="C96" s="2" t="str">
        <x:v>Capivasertib + CDK4/6i + Fulvestrant for Advanced/Metastatic HR+/HER2- Breast Cancer (CAPItello-292)</x:v>
      </x:c>
      <x:c r="D96" s="2" t="str">
        <x:v>AstraZeneca</x:v>
      </x:c>
      <x:c r="E96" s="2" t="str">
        <x:v>Locally Advanced (Inoperable) or Metastatic Breast Cancer</x:v>
      </x:c>
      <x:c r="F96" s="2" t="str">
        <x:v>Oncology</x:v>
      </x:c>
      <x:c r="G96" s="2" t="str">
        <x:v>ACTIVE_NOT_RECRUITING</x:v>
      </x:c>
      <x:c r="H96" s="2" t="str">
        <x:v>PHASE3</x:v>
      </x:c>
      <x:c r="I96" s="2" t="str">
        <x:v>Capivasertib; Fulvestrant; Palbociclib; Ribociclib; Abemaciclib</x:v>
      </x:c>
      <x:c r="J96" s="2" t="str">
        <x:v>2021-04-28</x:v>
      </x:c>
      <x:c r="K96" s="2" t="str">
        <x:v>2026-08-17</x:v>
      </x:c>
      <x:c r="L96" s="2" t="str">
        <x:v>https://clinicaltrials.gov/study/NCT04862663</x:v>
      </x:c>
      <x:c r="M96" s="2"/>
      <x:c r="N96" s="2"/>
    </x:row>
    <x:row r="97">
      <x:c r="A97" s="2" t="str">
        <x:v>AstraZeneca</x:v>
      </x:c>
      <x:c r="B97" s="2" t="str">
        <x:v>NCT03778957</x:v>
      </x:c>
      <x:c r="C97" s="2" t="str">
        <x:v>A Global Study to Evaluate Transarterial Chemoembolization (TACE) in Combination With Durvalumab and Bevacizumab Therapy in Patients With Locoregional Hepatocellular Carcinoma</x:v>
      </x:c>
      <x:c r="D97" s="2" t="str">
        <x:v>AstraZeneca</x:v>
      </x:c>
      <x:c r="E97" s="2" t="str">
        <x:v>Hepatocellular Carcinoma</x:v>
      </x:c>
      <x:c r="F97" s="2" t="str">
        <x:v>Oncology</x:v>
      </x:c>
      <x:c r="G97" s="2" t="str">
        <x:v>ACTIVE_NOT_RECRUITING</x:v>
      </x:c>
      <x:c r="H97" s="2" t="str">
        <x:v>PHASE3</x:v>
      </x:c>
      <x:c r="I97" s="2" t="str">
        <x:v>Durvalumab; Bevacizumab; Placebo; Transarterial Chemoembolization (TACE)</x:v>
      </x:c>
      <x:c r="J97" s="2" t="str">
        <x:v>2018-12-19</x:v>
      </x:c>
      <x:c r="K97" s="2" t="str">
        <x:v>2026-07-15</x:v>
      </x:c>
      <x:c r="L97" s="2" t="str">
        <x:v>https://clinicaltrials.gov/study/NCT03778957</x:v>
      </x:c>
      <x:c r="M97" s="2"/>
      <x:c r="N97" s="2"/>
    </x:row>
    <x:row r="98">
      <x:c r="A98" s="2" t="str">
        <x:v>AstraZeneca</x:v>
      </x:c>
      <x:c r="B98" s="2" t="str">
        <x:v>NCT05211895</x:v>
      </x:c>
      <x:c r="C98" s="2" t="str">
        <x:v>A Global Study to Assess the Effects of Durvalumab + Domvanalimab Following Concurrent Chemoradiation in Participants With Stage III Unresectable NSCLC</x:v>
      </x:c>
      <x:c r="D98" s="2" t="str">
        <x:v>AstraZeneca</x:v>
      </x:c>
      <x:c r="E98" s="2" t="str">
        <x:v>Non-Small Cell Lung Cancer</x:v>
      </x:c>
      <x:c r="F98" s="2" t="str">
        <x:v>Oncology</x:v>
      </x:c>
      <x:c r="G98" s="2" t="str">
        <x:v>ACTIVE_NOT_RECRUITING</x:v>
      </x:c>
      <x:c r="H98" s="2" t="str">
        <x:v>PHASE3</x:v>
      </x:c>
      <x:c r="I98" s="2" t="str">
        <x:v>Durvalumab; Domvanalimab; Placebo</x:v>
      </x:c>
      <x:c r="J98" s="2" t="str">
        <x:v>2022-01-27</x:v>
      </x:c>
      <x:c r="K98" s="2" t="str">
        <x:v>2026-08-28</x:v>
      </x:c>
      <x:c r="L98" s="2" t="str">
        <x:v>https://clinicaltrials.gov/study/NCT05211895</x:v>
      </x:c>
      <x:c r="M98" s="2"/>
      <x:c r="N98" s="2"/>
    </x:row>
    <x:row r="99">
      <x:c r="A99" s="2" t="str">
        <x:v>AstraZeneca</x:v>
      </x:c>
      <x:c r="B99" s="2" t="str">
        <x:v>NCT05374512</x:v>
      </x:c>
      <x:c r="C99" s="2" t="str">
        <x:v>A Study of Dato-DXd Versus Investigator's Choice Chemotherapy in Patients With Locally Recurrent Inoperable or Metastatic Triple-negative Breast Cancer, Who Are Not Candidates for PD-1/PD-L1 Inhibitor Therapy (TROPION-Breast02)</x:v>
      </x:c>
      <x:c r="D99" s="2" t="str">
        <x:v>AstraZeneca</x:v>
      </x:c>
      <x:c r="E99" s="2" t="str">
        <x:v>Breast Cancer</x:v>
      </x:c>
      <x:c r="F99" s="2" t="str">
        <x:v>Oncology</x:v>
      </x:c>
      <x:c r="G99" s="2" t="str">
        <x:v>ACTIVE_NOT_RECRUITING</x:v>
      </x:c>
      <x:c r="H99" s="2" t="str">
        <x:v>PHASE3</x:v>
      </x:c>
      <x:c r="I99" s="2" t="str">
        <x:v>Dato-DXd; Paclitaxel; Nab-paclitaxel; Carboplatin; Capecitabine; Eribulin mesylate</x:v>
      </x:c>
      <x:c r="J99" s="2" t="str">
        <x:v>2022-05-16</x:v>
      </x:c>
      <x:c r="K99" s="2" t="str">
        <x:v>2026-05-15</x:v>
      </x:c>
      <x:c r="L99" s="2" t="str">
        <x:v>https://clinicaltrials.gov/study/NCT05374512</x:v>
      </x:c>
      <x:c r="M99" s="2"/>
      <x:c r="N99" s="2"/>
    </x:row>
    <x:row r="100">
      <x:c r="A100" s="2" t="str">
        <x:v>AstraZeneca</x:v>
      </x:c>
      <x:c r="B100" s="2" t="str">
        <x:v>NCT06512883</x:v>
      </x:c>
      <x:c r="C100" s="2" t="str">
        <x:v>A Trial to Investigate Benralizumab in Children With Eosinophilic Diseases</x:v>
      </x:c>
      <x:c r="D100" s="2" t="str">
        <x:v>AstraZeneca</x:v>
      </x:c>
      <x:c r="E100" s="2" t="str">
        <x:v>Eosinophilic Granulomatosis With Polyangiitis (EGPA); Hypereosinophilia Syndrome (HES)</x:v>
      </x:c>
      <x:c r="F100" s="2" t="str">
        <x:v>Other</x:v>
      </x:c>
      <x:c r="G100" s="2" t="str">
        <x:v>RECRUITING</x:v>
      </x:c>
      <x:c r="H100" s="2" t="str">
        <x:v>PHASE3</x:v>
      </x:c>
      <x:c r="I100" s="2" t="str">
        <x:v>Benralizumab</x:v>
      </x:c>
      <x:c r="J100" s="2" t="str">
        <x:v>2024-07-22</x:v>
      </x:c>
      <x:c r="K100" s="2" t="str">
        <x:v>2026-09-18</x:v>
      </x:c>
      <x:c r="L100" s="2" t="str">
        <x:v>https://clinicaltrials.gov/study/NCT06512883</x:v>
      </x:c>
      <x:c r="M100" s="2"/>
      <x:c r="N100" s="2"/>
    </x:row>
    <x:row r="101">
      <x:c r="A101" s="2" t="str">
        <x:v>AstraZeneca</x:v>
      </x:c>
      <x:c r="B101" s="2" t="str">
        <x:v>NCT05984277</x:v>
      </x:c>
      <x:c r="C101" s="2" t="str">
        <x:v>A Global Study of Volrustomig (MEDI5752) Plus Chemotherapy Versus Pembrolizumab Plus Chemotherapy for Participants With Metastatic Non-small Cell Lung Cancer.</x:v>
      </x:c>
      <x:c r="D101" s="2" t="str">
        <x:v>AstraZeneca</x:v>
      </x:c>
      <x:c r="E101" s="2" t="str">
        <x:v>Metastatic Non-small Cell Lung Cancer</x:v>
      </x:c>
      <x:c r="F101" s="2" t="str">
        <x:v>Oncology</x:v>
      </x:c>
      <x:c r="G101" s="2" t="str">
        <x:v>ACTIVE_NOT_RECRUITING</x:v>
      </x:c>
      <x:c r="H101" s="2" t="str">
        <x:v>PHASE3</x:v>
      </x:c>
      <x:c r="I101" s="2" t="str">
        <x:v>Volrustomig; Pembrolizumab; Carboplatin; Paclitaxel; Pemetrexed</x:v>
      </x:c>
      <x:c r="J101" s="2" t="str">
        <x:v>2023-08-09</x:v>
      </x:c>
      <x:c r="K101" s="2" t="str">
        <x:v>2026-10-09</x:v>
      </x:c>
      <x:c r="L101" s="2" t="str">
        <x:v>https://clinicaltrials.gov/study/NCT05984277</x:v>
      </x:c>
      <x:c r="M101" s="2"/>
      <x:c r="N101" s="2"/>
    </x:row>
    <x:row r="102">
      <x:c r="A102" s="2" t="str">
        <x:v>AstraZeneca</x:v>
      </x:c>
      <x:c r="B102" s="2" t="str">
        <x:v>NCT06283966</x:v>
      </x:c>
      <x:c r="C102" s="2" t="str">
        <x:v>A Study Evaluating the Efficacy of Budesonide, Glycopyrronium and Formoterol Fumarate Metered Dosed Inhaler on Cardiopulmonary Outcomes in Chronic Obstructive Pulmonary Disease</x:v>
      </x:c>
      <x:c r="D102" s="2" t="str">
        <x:v>AstraZeneca</x:v>
      </x:c>
      <x:c r="E102" s="2" t="str">
        <x:v>COPD (Chronic Obstructive Pulmonary Disease)</x:v>
      </x:c>
      <x:c r="F102" s="2" t="str">
        <x:v>Respiratory</x:v>
      </x:c>
      <x:c r="G102" s="2" t="str">
        <x:v>RECRUITING</x:v>
      </x:c>
      <x:c r="H102" s="2" t="str">
        <x:v>PHASE3</x:v>
      </x:c>
      <x:c r="I102" s="2" t="str">
        <x:v>BGF MDI 320/14.4/9.6 μg; GFF MDI 14.4/9.6 μg</x:v>
      </x:c>
      <x:c r="J102" s="2" t="str">
        <x:v>2024-02-28</x:v>
      </x:c>
      <x:c r="K102" s="2" t="str">
        <x:v>2026-10-02</x:v>
      </x:c>
      <x:c r="L102" s="2" t="str">
        <x:v>https://clinicaltrials.gov/study/NCT06283966</x:v>
      </x:c>
      <x:c r="M102" s="2"/>
      <x:c r="N102" s="2"/>
    </x:row>
    <x:row r="103">
      <x:c r="A103" s="2" t="str">
        <x:v>AstraZeneca</x:v>
      </x:c>
      <x:c r="B103" s="2" t="str">
        <x:v>NCT04884360</x:v>
      </x:c>
      <x:c r="C103" s="2" t="str">
        <x:v>D9319C00001- 1L OC Mono Global RCT</x:v>
      </x:c>
      <x:c r="D103" s="2" t="str">
        <x:v>AstraZeneca</x:v>
      </x:c>
      <x:c r="E103" s="2" t="str">
        <x:v>Ovarian Cancer</x:v>
      </x:c>
      <x:c r="F103" s="2" t="str">
        <x:v>Oncology</x:v>
      </x:c>
      <x:c r="G103" s="2" t="str">
        <x:v>ACTIVE_NOT_RECRUITING</x:v>
      </x:c>
      <x:c r="H103" s="2" t="str">
        <x:v>PHASE3</x:v>
      </x:c>
      <x:c r="I103" s="2" t="str">
        <x:v>Olaparib; Matching placebo</x:v>
      </x:c>
      <x:c r="J103" s="2" t="str">
        <x:v>2021-05-13</x:v>
      </x:c>
      <x:c r="K103" s="2" t="str">
        <x:v>2026-03-02</x:v>
      </x:c>
      <x:c r="L103" s="2" t="str">
        <x:v>https://clinicaltrials.gov/study/NCT04884360</x:v>
      </x:c>
      <x:c r="M103" s="2"/>
      <x:c r="N103" s="2"/>
    </x:row>
    <x:row r="104">
      <x:c r="A104" s="2" t="str">
        <x:v>AstraZeneca</x:v>
      </x:c>
      <x:c r="B104" s="2" t="str">
        <x:v>NCT06120491</x:v>
      </x:c>
      <x:c r="C104" s="2" t="str">
        <x:v>Saruparib (AZD5305) vs Placebo in Men With Metastatic Castration-Sensitive Prostate Cancer Receiving Physician's Choice New Hormonal Agents</x:v>
      </x:c>
      <x:c r="D104" s="2" t="str">
        <x:v>AstraZeneca</x:v>
      </x:c>
      <x:c r="E104" s="2" t="str">
        <x:v>Metastatic Castration-Sensitive Prostate Cancer</x:v>
      </x:c>
      <x:c r="F104" s="2" t="str">
        <x:v>Oncology</x:v>
      </x:c>
      <x:c r="G104" s="2" t="str">
        <x:v>ACTIVE_NOT_RECRUITING</x:v>
      </x:c>
      <x:c r="H104" s="2" t="str">
        <x:v>PHASE3</x:v>
      </x:c>
      <x:c r="I104" s="2" t="str">
        <x:v>Saruparib; Placebo; Abiraterone Acetate; Darolutamide; Enzalutamide</x:v>
      </x:c>
      <x:c r="J104" s="2" t="str">
        <x:v>2023-11-07</x:v>
      </x:c>
      <x:c r="K104" s="2" t="str">
        <x:v>2026-07-29</x:v>
      </x:c>
      <x:c r="L104" s="2" t="str">
        <x:v>https://clinicaltrials.gov/study/NCT06120491</x:v>
      </x:c>
      <x:c r="M104" s="2"/>
      <x:c r="N104" s="2"/>
    </x:row>
    <x:row r="105">
      <x:c r="A105" s="2" t="str">
        <x:v>AstraZeneca</x:v>
      </x:c>
      <x:c r="B105" s="2" t="str">
        <x:v>NCT04529772</x:v>
      </x:c>
      <x:c r="C105" s="2" t="str">
        <x:v>A Combination of Acalabrutinib With R-CHOP in Subjects With Previously Untreated Non-GCB DLBCL (ACE-LY-312)</x:v>
      </x:c>
      <x:c r="D105" s="2" t="str">
        <x:v>Acerta Pharma BV</x:v>
      </x:c>
      <x:c r="E105" s="2" t="str">
        <x:v>Diffuse Large B-Cell Lymphoma</x:v>
      </x:c>
      <x:c r="F105" s="2" t="str">
        <x:v>Oncology</x:v>
      </x:c>
      <x:c r="G105" s="2" t="str">
        <x:v>ACTIVE_NOT_RECRUITING</x:v>
      </x:c>
      <x:c r="H105" s="2" t="str">
        <x:v>PHASE3</x:v>
      </x:c>
      <x:c r="I105" s="2" t="str">
        <x:v>acalabrutinib; placebo; Prednisone; Rituximab; Cyclophosphamide; Vincristine; Doxorubicin</x:v>
      </x:c>
      <x:c r="J105" s="2" t="str">
        <x:v>2020-08-28</x:v>
      </x:c>
      <x:c r="K105" s="2" t="str">
        <x:v>2026-10-13</x:v>
      </x:c>
      <x:c r="L105" s="2" t="str">
        <x:v>https://clinicaltrials.gov/study/NCT04529772</x:v>
      </x:c>
      <x:c r="M105" s="2"/>
      <x:c r="N105" s="2"/>
    </x:row>
    <x:row r="106">
      <x:c r="A106" s="2" t="str">
        <x:v>AstraZeneca</x:v>
      </x:c>
      <x:c r="B106" s="2" t="str">
        <x:v>NCT06346392</x:v>
      </x:c>
      <x:c r="C106" s="2" t="str">
        <x:v>AZD0901 Compared With Investigator's Choice of Therapy in Participants With Second- or Later-line Advanced or Metastatic Gastric or Gastroesophageal Junction Adenocarcinoma Expressing Claudin18.2</x:v>
      </x:c>
      <x:c r="D106" s="2" t="str">
        <x:v>AstraZeneca</x:v>
      </x:c>
      <x:c r="E106" s="2" t="str">
        <x:v>Gastric Cancer; Gastroesophageal Junction Cancer</x:v>
      </x:c>
      <x:c r="F106" s="2" t="str">
        <x:v>Oncology</x:v>
      </x:c>
      <x:c r="G106" s="2" t="str">
        <x:v>ACTIVE_NOT_RECRUITING</x:v>
      </x:c>
      <x:c r="H106" s="2" t="str">
        <x:v>PHASE3</x:v>
      </x:c>
      <x:c r="I106" s="2" t="str">
        <x:v>AZD0901; AZD0901; Ramucirumab+ paclitaxel; Paclitaxel; Docetaxel; Irinotecan; TAS-102; Apatinib</x:v>
      </x:c>
      <x:c r="J106" s="2" t="str">
        <x:v>2024-04-04</x:v>
      </x:c>
      <x:c r="K106" s="2" t="str">
        <x:v>2026-10-15</x:v>
      </x:c>
      <x:c r="L106" s="2" t="str">
        <x:v>https://clinicaltrials.gov/study/NCT06346392</x:v>
      </x:c>
      <x:c r="M106" s="2"/>
      <x:c r="N106" s="2"/>
    </x:row>
    <x:row r="107">
      <x:c r="A107" s="2" t="str">
        <x:v>AstraZeneca</x:v>
      </x:c>
      <x:c r="B107" s="2" t="str">
        <x:v>NCT05303532</x:v>
      </x:c>
      <x:c r="C107" s="2" t="str">
        <x:v>Roll Over StudY for Patients Who Have Completed a Previous Oncology Study With Durvalumab</x:v>
      </x:c>
      <x:c r="D107" s="2" t="str">
        <x:v>AstraZeneca</x:v>
      </x:c>
      <x:c r="E107" s="2" t="str">
        <x:v>Cancer</x:v>
      </x:c>
      <x:c r="F107" s="2" t="str">
        <x:v>Oncology</x:v>
      </x:c>
      <x:c r="G107" s="2" t="str">
        <x:v>ENROLLING_BY_INVITATION</x:v>
      </x:c>
      <x:c r="H107" s="2" t="str">
        <x:v>PHASE3</x:v>
      </x:c>
      <x:c r="I107" s="2" t="str">
        <x:v>Durvalumab</x:v>
      </x:c>
      <x:c r="J107" s="2" t="str">
        <x:v>2022-03-31</x:v>
      </x:c>
      <x:c r="K107" s="2" t="str">
        <x:v>2026-08-11</x:v>
      </x:c>
      <x:c r="L107" s="2" t="str">
        <x:v>https://clinicaltrials.gov/study/NCT05303532</x:v>
      </x:c>
      <x:c r="M107" s="2"/>
      <x:c r="N107" s="2"/>
    </x:row>
    <x:row r="108">
      <x:c r="A108" s="2" t="str">
        <x:v>AstraZeneca</x:v>
      </x:c>
      <x:c r="B108" s="2" t="str">
        <x:v>NCT07444567</x:v>
      </x:c>
      <x:c r="C108" s="2" t="str">
        <x:v>Roll-over Study for Participants Who Have Completed a Previous Clinical Study With Benralizumab (Fasenra) and Benefit From Continued Treatment</x:v>
      </x:c>
      <x:c r="D108" s="2" t="str">
        <x:v>AstraZeneca</x:v>
      </x:c>
      <x:c r="E108" s="2" t="str">
        <x:v>Asthma; Eosinophilic Granulomatosis With Polyangiitis (EGPA); Hypereosinophilic Syndrome (HES)</x:v>
      </x:c>
      <x:c r="F108" s="2" t="str">
        <x:v>Other</x:v>
      </x:c>
      <x:c r="G108" s="2" t="str">
        <x:v>RECRUITING</x:v>
      </x:c>
      <x:c r="H108" s="2" t="str">
        <x:v>PHASE3</x:v>
      </x:c>
      <x:c r="I108" s="2" t="str">
        <x:v>Benralizumab</x:v>
      </x:c>
      <x:c r="J108" s="2" t="str">
        <x:v>2026-03-03</x:v>
      </x:c>
      <x:c r="K108" s="2" t="str">
        <x:v>2026-09-22</x:v>
      </x:c>
      <x:c r="L108" s="2" t="str">
        <x:v>https://clinicaltrials.gov/study/NCT07444567</x:v>
      </x:c>
      <x:c r="M108" s="2"/>
      <x:c r="N108" s="2"/>
    </x:row>
    <x:row r="109">
      <x:c r="A109" s="2" t="str">
        <x:v>AstraZeneca</x:v>
      </x:c>
      <x:c r="B109" s="2" t="str">
        <x:v>NCT07784725</x:v>
      </x:c>
      <x:c r="C109" s="2" t="str">
        <x:v>A Study to Evaluate Effect of AZD6234 in Adult Participants With Obesity or Overweight With Weight-related Comorbidity Without Type 2 Diabetes Mellitus</x:v>
      </x:c>
      <x:c r="D109" s="2" t="str">
        <x:v>AstraZeneca</x:v>
      </x:c>
      <x:c r="E109" s="2" t="str">
        <x:v>Obesity or Overweight</x:v>
      </x:c>
      <x:c r="F109" s="2" t="str">
        <x:v>Other</x:v>
      </x:c>
      <x:c r="G109" s="2" t="str">
        <x:v>RECRUITING</x:v>
      </x:c>
      <x:c r="H109" s="2" t="str">
        <x:v>PHASE3</x:v>
      </x:c>
      <x:c r="I109" s="2" t="str">
        <x:v>AZD6234; Placebo</x:v>
      </x:c>
      <x:c r="J109" s="2" t="str">
        <x:v>2026-08-25</x:v>
      </x:c>
      <x:c r="K109" s="2" t="str">
        <x:v>2026-08-25</x:v>
      </x:c>
      <x:c r="L109" s="2" t="str">
        <x:v>https://clinicaltrials.gov/study/NCT07784725</x:v>
      </x:c>
      <x:c r="M109" s="2"/>
      <x:c r="N109" s="2"/>
    </x:row>
    <x:row r="110">
      <x:c r="A110" s="2" t="str">
        <x:v>AstraZeneca</x:v>
      </x:c>
      <x:c r="B110" s="2" t="str">
        <x:v>NCT03521154</x:v>
      </x:c>
      <x:c r="C110" s="2" t="str">
        <x:v>A Global Study to Assess the Effects of Osimertinib Following Chemoradiation in Patients With Stage III Unresectable Non-small Cell Lung Cancer (LAURA)</x:v>
      </x:c>
      <x:c r="D110" s="2" t="str">
        <x:v>AstraZeneca</x:v>
      </x:c>
      <x:c r="E110" s="2" t="str">
        <x:v>Non Small Cell Lung Cancer (Stage III)</x:v>
      </x:c>
      <x:c r="F110" s="2" t="str">
        <x:v>Oncology</x:v>
      </x:c>
      <x:c r="G110" s="2" t="str">
        <x:v>ACTIVE_NOT_RECRUITING</x:v>
      </x:c>
      <x:c r="H110" s="2" t="str">
        <x:v>PHASE3</x:v>
      </x:c>
      <x:c r="I110" s="2" t="str">
        <x:v>Osimertinib 80mg/40mg; Placebo Osimertinib 80mg/40mg</x:v>
      </x:c>
      <x:c r="J110" s="2" t="str">
        <x:v>2018-05-11</x:v>
      </x:c>
      <x:c r="K110" s="2" t="str">
        <x:v>2026-08-04</x:v>
      </x:c>
      <x:c r="L110" s="2" t="str">
        <x:v>https://clinicaltrials.gov/study/NCT03521154</x:v>
      </x:c>
      <x:c r="M110" s="2"/>
      <x:c r="N110" s="2"/>
    </x:row>
    <x:row r="111">
      <x:c r="A111" s="2" t="str">
        <x:v>AstraZeneca</x:v>
      </x:c>
      <x:c r="B111" s="2" t="str">
        <x:v>NCT07624305</x:v>
      </x:c>
      <x:c r="C111" s="2" t="str">
        <x:v>A Phase III Study to Evaluate the Effect of Balcinrenone/Dapagliflozin in Patients With CKD Stage 3b and 4 (BalanceD-CKD)</x:v>
      </x:c>
      <x:c r="D111" s="2" t="str">
        <x:v>AstraZeneca</x:v>
      </x:c>
      <x:c r="E111" s="2" t="str">
        <x:v>Renal Insufficiency, Chronic</x:v>
      </x:c>
      <x:c r="F111" s="2" t="str">
        <x:v>Other</x:v>
      </x:c>
      <x:c r="G111" s="2" t="str">
        <x:v>RECRUITING</x:v>
      </x:c>
      <x:c r="H111" s="2" t="str">
        <x:v>PHASE3</x:v>
      </x:c>
      <x:c r="I111" s="2" t="str">
        <x:v>Balcinrenone/dapagliflozin; Dapagliflozin; Placebo matching Dapagliflozin; Placebo matching balcinrenone/dapagliflozin</x:v>
      </x:c>
      <x:c r="J111" s="2" t="str">
        <x:v>2026-06-03</x:v>
      </x:c>
      <x:c r="K111" s="2" t="str">
        <x:v>2026-09-24</x:v>
      </x:c>
      <x:c r="L111" s="2" t="str">
        <x:v>https://clinicaltrials.gov/study/NCT07624305</x:v>
      </x:c>
      <x:c r="M111" s="2"/>
      <x:c r="N111" s="2"/>
    </x:row>
    <x:row r="112">
      <x:c r="A112" s="2" t="str">
        <x:v>AstraZeneca</x:v>
      </x:c>
      <x:c r="B112" s="2" t="str">
        <x:v>NCT06952803</x:v>
      </x:c>
      <x:c r="C112" s="2" t="str">
        <x:v>A Study of Metastases Free Survival With Saruparib vs Placebo Added to a Standard RT/ADT in Men With High-risk Prostate Cancer With a BRCA Mutation</x:v>
      </x:c>
      <x:c r="D112" s="2" t="str">
        <x:v>AstraZeneca</x:v>
      </x:c>
      <x:c r="E112" s="2" t="str">
        <x:v>Prostate Cancer</x:v>
      </x:c>
      <x:c r="F112" s="2" t="str">
        <x:v>Oncology</x:v>
      </x:c>
      <x:c r="G112" s="2" t="str">
        <x:v>RECRUITING</x:v>
      </x:c>
      <x:c r="H112" s="2" t="str">
        <x:v>PHASE3</x:v>
      </x:c>
      <x:c r="I112" s="2" t="str">
        <x:v>Saruparib; Placebo; Abiraterone + Prednisolone/Prednisone; Androgen Deprivation Therapy (ADT)</x:v>
      </x:c>
      <x:c r="J112" s="2" t="str">
        <x:v>2025-05-01</x:v>
      </x:c>
      <x:c r="K112" s="2" t="str">
        <x:v>2026-10-14</x:v>
      </x:c>
      <x:c r="L112" s="2" t="str">
        <x:v>https://clinicaltrials.gov/study/NCT06952803</x:v>
      </x:c>
      <x:c r="M112" s="2"/>
      <x:c r="N112" s="2"/>
    </x:row>
    <x:row r="113">
      <x:c r="A113" s="2" t="str">
        <x:v>AstraZeneca</x:v>
      </x:c>
      <x:c r="B113" s="2" t="str">
        <x:v>NCT05925803</x:v>
      </x:c>
      <x:c r="C113" s="2" t="str">
        <x:v>Determine Effectiveness of Anifrolumab In SYstemic Sclerosis (DAISY)</x:v>
      </x:c>
      <x:c r="D113" s="2" t="str">
        <x:v>AstraZeneca</x:v>
      </x:c>
      <x:c r="E113" s="2" t="str">
        <x:v>Systemic Sclerosis; Scleroderma</x:v>
      </x:c>
      <x:c r="F113" s="2" t="str">
        <x:v>Other</x:v>
      </x:c>
      <x:c r="G113" s="2" t="str">
        <x:v>ACTIVE_NOT_RECRUITING</x:v>
      </x:c>
      <x:c r="H113" s="2" t="str">
        <x:v>PHASE3</x:v>
      </x:c>
      <x:c r="I113" s="2" t="str">
        <x:v>Anifrolumab (blinded); Placebo (blinded); Anifrolumab (unblinded, open label)</x:v>
      </x:c>
      <x:c r="J113" s="2" t="str">
        <x:v>2023-06-29</x:v>
      </x:c>
      <x:c r="K113" s="2" t="str">
        <x:v>2026-09-30</x:v>
      </x:c>
      <x:c r="L113" s="2" t="str">
        <x:v>https://clinicaltrials.gov/study/NCT05925803</x:v>
      </x:c>
      <x:c r="M113" s="2"/>
      <x:c r="N113" s="2"/>
    </x:row>
    <x:row r="114">
      <x:c r="A114" s="2" t="str">
        <x:v>AstraZeneca</x:v>
      </x:c>
      <x:c r="B114" s="2" t="str">
        <x:v>NCT02542293</x:v>
      </x:c>
      <x:c r="C114" s="2" t="str">
        <x:v>Study of Durvalumab With Tremelimumab Versus SoC as 1st Line Therapy in Metastatic Non Small-Cell Lung Cancer (NSCLC) (NEPTUNE)</x:v>
      </x:c>
      <x:c r="D114" s="2" t="str">
        <x:v>AstraZeneca</x:v>
      </x:c>
      <x:c r="E114" s="2" t="str">
        <x:v>Non Small Cell Lung Carcinoma NSCLC</x:v>
      </x:c>
      <x:c r="F114" s="2" t="str">
        <x:v>Oncology</x:v>
      </x:c>
      <x:c r="G114" s="2" t="str">
        <x:v>ACTIVE_NOT_RECRUITING</x:v>
      </x:c>
      <x:c r="H114" s="2" t="str">
        <x:v>PHASE3</x:v>
      </x:c>
      <x:c r="I114" s="2" t="str">
        <x:v>Durvalumab +Tremelimumab; Paclitaxel + carboplatin; Gemcitabine + cisplatin; Gemcitabine + carboplatin; Pemetrexed + cisplatin; Pemetrexed + carboplatin</x:v>
      </x:c>
      <x:c r="J114" s="2" t="str">
        <x:v>2015-09-07</x:v>
      </x:c>
      <x:c r="K114" s="2" t="str">
        <x:v>2026-08-06</x:v>
      </x:c>
      <x:c r="L114" s="2" t="str">
        <x:v>https://clinicaltrials.gov/study/NCT02542293</x:v>
      </x:c>
      <x:c r="M114" s="2"/>
      <x:c r="N114" s="2"/>
    </x:row>
    <x:row r="115">
      <x:c r="A115" s="2" t="str">
        <x:v>AstraZeneca</x:v>
      </x:c>
      <x:c r="B115" s="2" t="str">
        <x:v>NCT04711252</x:v>
      </x:c>
      <x:c r="C115" s="2" t="str">
        <x:v>A Comparative Study of AZD9833 Plus Palbociclib Versus Anastrozole Plus Palbociclib in Patients With ER-Positive HER2 Negative Breast Cancer Who Have Not Received Any Systemic Treatment for Advanced Disease</x:v>
      </x:c>
      <x:c r="D115" s="2" t="str">
        <x:v>AstraZeneca</x:v>
      </x:c>
      <x:c r="E115" s="2" t="str">
        <x:v>ER-Positive HER2-Negative Breast Cancer</x:v>
      </x:c>
      <x:c r="F115" s="2" t="str">
        <x:v>Oncology</x:v>
      </x:c>
      <x:c r="G115" s="2" t="str">
        <x:v>ACTIVE_NOT_RECRUITING</x:v>
      </x:c>
      <x:c r="H115" s="2" t="str">
        <x:v>PHASE3</x:v>
      </x:c>
      <x:c r="I115" s="2" t="str">
        <x:v>AZD9833; Anastrozole; Anastrozole placebo; AZD9833 placebo; Palbociclib; Luteinizing hormone-releasing hormone (LHRH) agonist</x:v>
      </x:c>
      <x:c r="J115" s="2" t="str">
        <x:v>2021-01-15</x:v>
      </x:c>
      <x:c r="K115" s="2" t="str">
        <x:v>2026-09-28</x:v>
      </x:c>
      <x:c r="L115" s="2" t="str">
        <x:v>https://clinicaltrials.gov/study/NCT04711252</x:v>
      </x:c>
      <x:c r="M115" s="2"/>
      <x:c r="N115" s="2"/>
    </x:row>
    <x:row r="116">
      <x:c r="A116" s="2" t="str">
        <x:v>AstraZeneca</x:v>
      </x:c>
      <x:c r="B116" s="2" t="str">
        <x:v>NCT06921785</x:v>
      </x:c>
      <x:c r="C116" s="2" t="str">
        <x:v>Phase III Study of Rilvegostomig in Combination With Bevacizumab With or Without Tremelimumab as First-line Treatment of Hepatocellular Carcinoma</x:v>
      </x:c>
      <x:c r="D116" s="2" t="str">
        <x:v>AstraZeneca</x:v>
      </x:c>
      <x:c r="E116" s="2" t="str">
        <x:v>Hepatocellular Carcinoma</x:v>
      </x:c>
      <x:c r="F116" s="2" t="str">
        <x:v>Oncology</x:v>
      </x:c>
      <x:c r="G116" s="2" t="str">
        <x:v>RECRUITING</x:v>
      </x:c>
      <x:c r="H116" s="2" t="str">
        <x:v>PHASE3</x:v>
      </x:c>
      <x:c r="I116" s="2" t="str">
        <x:v>Tremelimumab; Rilvegostomig; Bevacizumab; Atezolizumab</x:v>
      </x:c>
      <x:c r="J116" s="2" t="str">
        <x:v>2025-04-10</x:v>
      </x:c>
      <x:c r="K116" s="2" t="str">
        <x:v>2026-10-13</x:v>
      </x:c>
      <x:c r="L116" s="2" t="str">
        <x:v>https://clinicaltrials.gov/study/NCT06921785</x:v>
      </x:c>
      <x:c r="M116" s="2"/>
      <x:c r="N116" s="2"/>
    </x:row>
    <x:row r="117">
      <x:c r="A117" s="2" t="str">
        <x:v>AstraZeneca</x:v>
      </x:c>
      <x:c r="B117" s="2" t="str">
        <x:v>NCT07851025</x:v>
      </x:c>
      <x:c r="C117" s="2" t="str">
        <x:v>Torvutatug Samrotecan Plus Bevacizumab as First-line Maintenance in Homologous Recombination Deficiency (HRD) Negative Advanced Epithelial Ovarian Cancer</x:v>
      </x:c>
      <x:c r="D117" s="2" t="str">
        <x:v>AstraZeneca</x:v>
      </x:c>
      <x:c r="E117" s="2" t="str">
        <x:v>Epithelial Ovarian Cancer</x:v>
      </x:c>
      <x:c r="F117" s="2" t="str">
        <x:v>Oncology</x:v>
      </x:c>
      <x:c r="G117" s="2" t="str">
        <x:v>RECRUITING</x:v>
      </x:c>
      <x:c r="H117" s="2" t="str">
        <x:v>PHASE3</x:v>
      </x:c>
      <x:c r="I117" s="2" t="str">
        <x:v>Torvutatug samrotecan; Bevacizumab</x:v>
      </x:c>
      <x:c r="J117" s="2" t="str">
        <x:v>2026-10-01</x:v>
      </x:c>
      <x:c r="K117" s="2" t="str">
        <x:v>2026-10-01</x:v>
      </x:c>
      <x:c r="L117" s="2" t="str">
        <x:v>https://clinicaltrials.gov/study/NCT07851025</x:v>
      </x:c>
      <x:c r="M117" s="2"/>
      <x:c r="N117" s="2"/>
    </x:row>
    <x:row r="118">
      <x:c r="A118" s="2" t="str">
        <x:v>AstraZeneca</x:v>
      </x:c>
      <x:c r="B118" s="2" t="str">
        <x:v>NCT07691970</x:v>
      </x:c>
      <x:c r="C118" s="2" t="str">
        <x:v>Rollover Study for Participants Who Have Completed a Previous Clinical Study With Anifrolumab (Saphnelo) and Clinically Benefited From Continued Treatment</x:v>
      </x:c>
      <x:c r="D118" s="2" t="str">
        <x:v>AstraZeneca</x:v>
      </x:c>
      <x:c r="E118" s="2" t="str">
        <x:v>Systemic Sclerosis Cutaneous Lupus E Myopathies Systemic Lupus Erythematosus</x:v>
      </x:c>
      <x:c r="F118" s="2" t="str">
        <x:v>Other</x:v>
      </x:c>
      <x:c r="G118" s="2" t="str">
        <x:v>RECRUITING</x:v>
      </x:c>
      <x:c r="H118" s="2" t="str">
        <x:v>PHASE3</x:v>
      </x:c>
      <x:c r="I118" s="2" t="str">
        <x:v>Anifrolumab; Anifrolumab; Anifrolumab</x:v>
      </x:c>
      <x:c r="J118" s="2" t="str">
        <x:v>2026-07-09</x:v>
      </x:c>
      <x:c r="K118" s="2" t="str">
        <x:v>2026-10-02</x:v>
      </x:c>
      <x:c r="L118" s="2" t="str">
        <x:v>https://clinicaltrials.gov/study/NCT07691970</x:v>
      </x:c>
      <x:c r="M118" s="2"/>
      <x:c r="N118" s="2"/>
    </x:row>
    <x:row r="119">
      <x:c r="A119" s="2" t="str">
        <x:v>AstraZeneca</x:v>
      </x:c>
      <x:c r="B119" s="2" t="str">
        <x:v>NCT06417814</x:v>
      </x:c>
      <x:c r="C119" s="2" t="str">
        <x:v>A Study to Investigate the Efficacy and Safety of Dato-DXd With or Without Osimertinib Compared With Platinum Based Doublet Chemotherapy in Participants With EGFR-Mutated Locally Advanced or Metastatic Non-Small Cell Lung Cancer</x:v>
      </x:c>
      <x:c r="D119" s="2" t="str">
        <x:v>AstraZeneca</x:v>
      </x:c>
      <x:c r="E119" s="2" t="str">
        <x:v>Metastatic Non-small Cell Lung Cancer</x:v>
      </x:c>
      <x:c r="F119" s="2" t="str">
        <x:v>Oncology</x:v>
      </x:c>
      <x:c r="G119" s="2" t="str">
        <x:v>ACTIVE_NOT_RECRUITING</x:v>
      </x:c>
      <x:c r="H119" s="2" t="str">
        <x:v>PHASE3</x:v>
      </x:c>
      <x:c r="I119" s="2" t="str">
        <x:v>Dato-DXd; Osimertinib; Pemetrexed; Carboplatin; Cisplatin</x:v>
      </x:c>
      <x:c r="J119" s="2" t="str">
        <x:v>2024-05-16</x:v>
      </x:c>
      <x:c r="K119" s="2" t="str">
        <x:v>2026-10-15</x:v>
      </x:c>
      <x:c r="L119" s="2" t="str">
        <x:v>https://clinicaltrials.gov/study/NCT06417814</x:v>
      </x:c>
      <x:c r="M119" s="2"/>
      <x:c r="N119" s="2"/>
    </x:row>
    <x:row r="120">
      <x:c r="A120" s="2" t="str">
        <x:v>AstraZeneca</x:v>
      </x:c>
      <x:c r="B120" s="2" t="str">
        <x:v>NCT06549595</x:v>
      </x:c>
      <x:c r="C120" s="2" t="str">
        <x:v>A Study of Surovatamig (AZD0486) Plus Rituximab in Previously Untreated Follicular Lymphoma Patients</x:v>
      </x:c>
      <x:c r="D120" s="2" t="str">
        <x:v>AstraZeneca</x:v>
      </x:c>
      <x:c r="E120" s="2" t="str">
        <x:v>Untreated Follicular Lymphoma</x:v>
      </x:c>
      <x:c r="F120" s="2" t="str">
        <x:v>Oncology</x:v>
      </x:c>
      <x:c r="G120" s="2" t="str">
        <x:v>RECRUITING</x:v>
      </x:c>
      <x:c r="H120" s="2" t="str">
        <x:v>PHASE3</x:v>
      </x:c>
      <x:c r="I120" s="2" t="str">
        <x:v>Surovatamig; R-CHOP; R-CVP; BR</x:v>
      </x:c>
      <x:c r="J120" s="2" t="str">
        <x:v>2024-08-12</x:v>
      </x:c>
      <x:c r="K120" s="2" t="str">
        <x:v>2026-09-21</x:v>
      </x:c>
      <x:c r="L120" s="2" t="str">
        <x:v>https://clinicaltrials.gov/study/NCT06549595</x:v>
      </x:c>
      <x:c r="M120" s="2"/>
      <x:c r="N120" s="2"/>
    </x:row>
    <x:row r="121">
      <x:c r="A121" s="2" t="str">
        <x:v>AstraZeneca</x:v>
      </x:c>
      <x:c r="B121" s="2" t="str">
        <x:v>NCT07000123</x:v>
      </x:c>
      <x:c r="C121" s="2" t="str">
        <x:v>A Phase III Study to Assess the Effect of AZD0780 on LDL-C in Patients With Clinical ASCVD or at Risk for a First ASCVD Event</x:v>
      </x:c>
      <x:c r="D121" s="2" t="str">
        <x:v>AstraZeneca</x:v>
      </x:c>
      <x:c r="E121" s="2" t="str">
        <x:v>Cardiovascular Disease</x:v>
      </x:c>
      <x:c r="F121" s="2" t="str">
        <x:v>Other</x:v>
      </x:c>
      <x:c r="G121" s="2" t="str">
        <x:v>ACTIVE_NOT_RECRUITING</x:v>
      </x:c>
      <x:c r="H121" s="2" t="str">
        <x:v>PHASE3</x:v>
      </x:c>
      <x:c r="I121" s="2" t="str">
        <x:v>AZD0780; Placebo</x:v>
      </x:c>
      <x:c r="J121" s="2" t="str">
        <x:v>2025-06-02</x:v>
      </x:c>
      <x:c r="K121" s="2" t="str">
        <x:v>2026-08-11</x:v>
      </x:c>
      <x:c r="L121" s="2" t="str">
        <x:v>https://clinicaltrials.gov/study/NCT07000123</x:v>
      </x:c>
      <x:c r="M121" s="2"/>
      <x:c r="N121" s="2"/>
    </x:row>
    <x:row r="122">
      <x:c r="A122" s="2" t="str">
        <x:v>Sanofi</x:v>
      </x:c>
      <x:c r="B122" s="2" t="str">
        <x:v>NCT06141486</x:v>
      </x:c>
      <x:c r="C122" s="2" t="str">
        <x:v>Efficacy and Safety Study of Frexalimab (SAR441344) in Adults With Nonrelapsing Secondary Progressive Multiple Sclerosis</x:v>
      </x:c>
      <x:c r="D122" s="2" t="str">
        <x:v>Sanofi</x:v>
      </x:c>
      <x:c r="E122" s="2" t="str">
        <x:v>Multiple Sclerosis</x:v>
      </x:c>
      <x:c r="F122" s="2" t="str">
        <x:v>Other</x:v>
      </x:c>
      <x:c r="G122" s="2" t="str">
        <x:v>ACTIVE_NOT_RECRUITING</x:v>
      </x:c>
      <x:c r="H122" s="2" t="str">
        <x:v>PHASE3</x:v>
      </x:c>
      <x:c r="I122" s="2" t="str">
        <x:v>Frexalimab; Placebo; MRI contrast-enhancing agents</x:v>
      </x:c>
      <x:c r="J122" s="2" t="str">
        <x:v>2023-11-21</x:v>
      </x:c>
      <x:c r="K122" s="2" t="str">
        <x:v>2026-05-14</x:v>
      </x:c>
      <x:c r="L122" s="2" t="str">
        <x:v>https://clinicaltrials.gov/study/NCT06141486</x:v>
      </x:c>
      <x:c r="M122" s="2"/>
      <x:c r="N122" s="2"/>
    </x:row>
    <x:row r="123">
      <x:c r="A123" s="2" t="str">
        <x:v>Sanofi</x:v>
      </x:c>
      <x:c r="B123" s="2" t="str">
        <x:v>NCT06372145</x:v>
      </x:c>
      <x:c r="C123" s="2" t="str">
        <x:v>A Study to Investigate Long-term Safety and Tolerability of Tolebrutinib in Participants With Multiple Sclerosis.</x:v>
      </x:c>
      <x:c r="D123" s="2" t="str">
        <x:v>Sanofi</x:v>
      </x:c>
      <x:c r="E123" s="2" t="str">
        <x:v>Relapsing Multiple Sclerosis; Secondary Progressive Multiple Sclerosis; Progressive Relapsing Multiple Sclerosis</x:v>
      </x:c>
      <x:c r="F123" s="2" t="str">
        <x:v>Other</x:v>
      </x:c>
      <x:c r="G123" s="2" t="str">
        <x:v>ACTIVE_NOT_RECRUITING</x:v>
      </x:c>
      <x:c r="H123" s="2" t="str">
        <x:v>PHASE3</x:v>
      </x:c>
      <x:c r="I123" s="2" t="str">
        <x:v>Tolebrutinib; Placebo; Teriflunomide</x:v>
      </x:c>
      <x:c r="J123" s="2" t="str">
        <x:v>2024-04-17</x:v>
      </x:c>
      <x:c r="K123" s="2" t="str">
        <x:v>2026-08-17</x:v>
      </x:c>
      <x:c r="L123" s="2" t="str">
        <x:v>https://clinicaltrials.gov/study/NCT06372145</x:v>
      </x:c>
      <x:c r="M123" s="2"/>
      <x:c r="N123" s="2"/>
    </x:row>
    <x:row r="124">
      <x:c r="A124" s="2" t="str">
        <x:v>Sanofi</x:v>
      </x:c>
      <x:c r="B124" s="2" t="str">
        <x:v>NCT05492578</x:v>
      </x:c>
      <x:c r="C124" s="2" t="str">
        <x:v>Long-Term Safety and Efficacy Evaluation of Amlitelimab in Participants of Previous Amlitelimab Moderate to Severe Atopic Dermatitis Clinical Trials</x:v>
      </x:c>
      <x:c r="D124" s="2" t="str">
        <x:v>Sanofi</x:v>
      </x:c>
      <x:c r="E124" s="2" t="str">
        <x:v>Dermatitis Atopic</x:v>
      </x:c>
      <x:c r="F124" s="2" t="str">
        <x:v>Other</x:v>
      </x:c>
      <x:c r="G124" s="2" t="str">
        <x:v>ACTIVE_NOT_RECRUITING</x:v>
      </x:c>
      <x:c r="H124" s="2" t="str">
        <x:v>PHASE2; PHASE3</x:v>
      </x:c>
      <x:c r="I124" s="2" t="str">
        <x:v>Amlitelimab; Topical corticosteroids; Topical calcineurin inhibitors; Oral corticosteroids</x:v>
      </x:c>
      <x:c r="J124" s="2" t="str">
        <x:v>2022-08-08</x:v>
      </x:c>
      <x:c r="K124" s="2" t="str">
        <x:v>2026-10-13</x:v>
      </x:c>
      <x:c r="L124" s="2" t="str">
        <x:v>https://clinicaltrials.gov/study/NCT05492578</x:v>
      </x:c>
      <x:c r="M124" s="2"/>
      <x:c r="N124" s="2"/>
    </x:row>
    <x:row r="125">
      <x:c r="A125" s="2" t="str">
        <x:v>Sanofi</x:v>
      </x:c>
      <x:c r="B125" s="2" t="str">
        <x:v>NCT06141473</x:v>
      </x:c>
      <x:c r="C125" s="2" t="str">
        <x:v>Efficacy and Safety Studies of Frexalimab (SAR441344) in Adults With Relapsing Forms of Multiple Sclerosis</x:v>
      </x:c>
      <x:c r="D125" s="2" t="str">
        <x:v>Sanofi</x:v>
      </x:c>
      <x:c r="E125" s="2" t="str">
        <x:v>Multiple Sclerosis</x:v>
      </x:c>
      <x:c r="F125" s="2" t="str">
        <x:v>Other</x:v>
      </x:c>
      <x:c r="G125" s="2" t="str">
        <x:v>ACTIVE_NOT_RECRUITING</x:v>
      </x:c>
      <x:c r="H125" s="2" t="str">
        <x:v>PHASE3</x:v>
      </x:c>
      <x:c r="I125" s="2" t="str">
        <x:v>Frexalimab; Teriflunomide; Placebo infusion; Placebo tablet; MRI contrast-enhancing agents; Cholestyramine; Activated charcoal</x:v>
      </x:c>
      <x:c r="J125" s="2" t="str">
        <x:v>2023-11-21</x:v>
      </x:c>
      <x:c r="K125" s="2" t="str">
        <x:v>2026-07-20</x:v>
      </x:c>
      <x:c r="L125" s="2" t="str">
        <x:v>https://clinicaltrials.gov/study/NCT06141473</x:v>
      </x:c>
      <x:c r="M125" s="2"/>
      <x:c r="N125" s="2"/>
    </x:row>
    <x:row r="126">
      <x:c r="A126" s="2" t="str">
        <x:v>Sanofi</x:v>
      </x:c>
      <x:c r="B126" s="2" t="str">
        <x:v>NCT05662319</x:v>
      </x:c>
      <x:c r="C126" s="2" t="str">
        <x:v>A Study to Test a Medicine (Fitusiran) Injected Under the Skin for Preventing Bleeding Episodes in Male Adolescent or Adult Participants With Severe Hemophilia</x:v>
      </x:c>
      <x:c r="D126" s="2" t="str">
        <x:v>Sanofi</x:v>
      </x:c>
      <x:c r="E126" s="2" t="str">
        <x:v>Hemophilia</x:v>
      </x:c>
      <x:c r="F126" s="2" t="str">
        <x:v>Other</x:v>
      </x:c>
      <x:c r="G126" s="2" t="str">
        <x:v>ACTIVE_NOT_RECRUITING</x:v>
      </x:c>
      <x:c r="H126" s="2" t="str">
        <x:v>PHASE3</x:v>
      </x:c>
      <x:c r="I126" s="2" t="str">
        <x:v>Fitusiran; Clotting factor concentrates (CFC) or bypassing agents (BPA); Antithrombin concentrate (ATIIIC)</x:v>
      </x:c>
      <x:c r="J126" s="2" t="str">
        <x:v>2022-12-22</x:v>
      </x:c>
      <x:c r="K126" s="2" t="str">
        <x:v>2026-02-04</x:v>
      </x:c>
      <x:c r="L126" s="2" t="str">
        <x:v>https://clinicaltrials.gov/study/NCT05662319</x:v>
      </x:c>
      <x:c r="M126" s="2"/>
      <x:c r="N126" s="2"/>
    </x:row>
    <x:row r="127">
      <x:c r="A127" s="2" t="str">
        <x:v>Sanofi</x:v>
      </x:c>
      <x:c r="B127" s="2" t="str">
        <x:v>NCT07285460</x:v>
      </x:c>
      <x:c r="C127" s="2" t="str">
        <x:v>A Study to Investigate the Efficacy and Safety of Fitusiran Prophylaxis in Male Participants Aged 1 to Less Than 12 Years With Hemophilia A or B</x:v>
      </x:c>
      <x:c r="D127" s="2" t="str">
        <x:v>Sanofi</x:v>
      </x:c>
      <x:c r="E127" s="2" t="str">
        <x:v>Hemophilia</x:v>
      </x:c>
      <x:c r="F127" s="2" t="str">
        <x:v>Other</x:v>
      </x:c>
      <x:c r="G127" s="2" t="str">
        <x:v>RECRUITING</x:v>
      </x:c>
      <x:c r="H127" s="2" t="str">
        <x:v>PHASE3</x:v>
      </x:c>
      <x:c r="I127" s="2" t="str">
        <x:v>Fitusiran; Clotting factor concentrates (CFC) or bypassing agents (BPA); Antithrombin concentrate (ATIIIC)</x:v>
      </x:c>
      <x:c r="J127" s="2" t="str">
        <x:v>2025-12-16</x:v>
      </x:c>
      <x:c r="K127" s="2" t="str">
        <x:v>2026-10-19</x:v>
      </x:c>
      <x:c r="L127" s="2" t="str">
        <x:v>https://clinicaltrials.gov/study/NCT07285460</x:v>
      </x:c>
      <x:c r="M127" s="2"/>
      <x:c r="N127" s="2"/>
    </x:row>
    <x:row r="128">
      <x:c r="A128" s="2" t="str">
        <x:v>Sanofi</x:v>
      </x:c>
      <x:c r="B128" s="2" t="str">
        <x:v>NCT06407934</x:v>
      </x:c>
      <x:c r="C128" s="2" t="str">
        <x:v>A Study to Evaluate the Treatment Response and Safety of Two Dose Regimens of Subcutaneous Amlitelimab Compared With Treatment Withdrawal in Participants Aged 12 Years and Older With Moderate-to-severe Atopic Dermatitis</x:v>
      </x:c>
      <x:c r="D128" s="2" t="str">
        <x:v>Sanofi</x:v>
      </x:c>
      <x:c r="E128" s="2" t="str">
        <x:v>Dermatitis Atopic</x:v>
      </x:c>
      <x:c r="F128" s="2" t="str">
        <x:v>Other</x:v>
      </x:c>
      <x:c r="G128" s="2" t="str">
        <x:v>ACTIVE_NOT_RECRUITING</x:v>
      </x:c>
      <x:c r="H128" s="2" t="str">
        <x:v>PHASE3</x:v>
      </x:c>
      <x:c r="I128" s="2" t="str">
        <x:v>Amlitelimab; Placebo</x:v>
      </x:c>
      <x:c r="J128" s="2" t="str">
        <x:v>2024-05-09</x:v>
      </x:c>
      <x:c r="K128" s="2" t="str">
        <x:v>2026-07-10</x:v>
      </x:c>
      <x:c r="L128" s="2" t="str">
        <x:v>https://clinicaltrials.gov/study/NCT06407934</x:v>
      </x:c>
      <x:c r="M128" s="2"/>
      <x:c r="N128" s="2"/>
    </x:row>
    <x:row r="129">
      <x:c r="A129" s="2" t="str">
        <x:v>Novartis</x:v>
      </x:c>
      <x:c r="B129" s="2" t="str">
        <x:v>NCT03814746</x:v>
      </x:c>
      <x:c r="C129" s="2" t="str">
        <x:v>Study of Two Doses of Crizanlizumab Versus Placebo in Adolescent and Adult Sickle Cell Disease Patients</x:v>
      </x:c>
      <x:c r="D129" s="2" t="str">
        <x:v>Novartis Pharmaceuticals</x:v>
      </x:c>
      <x:c r="E129" s="2" t="str">
        <x:v>Sickle Cell Disease (SCD)</x:v>
      </x:c>
      <x:c r="F129" s="2" t="str">
        <x:v>Other</x:v>
      </x:c>
      <x:c r="G129" s="2" t="str">
        <x:v>ACTIVE_NOT_RECRUITING</x:v>
      </x:c>
      <x:c r="H129" s="2" t="str">
        <x:v>PHASE3</x:v>
      </x:c>
      <x:c r="I129" s="2" t="str">
        <x:v>Crizanlizumab (SEG101); Placebo</x:v>
      </x:c>
      <x:c r="J129" s="2" t="str">
        <x:v>2019-01-24</x:v>
      </x:c>
      <x:c r="K129" s="2" t="str">
        <x:v>2026-10-14</x:v>
      </x:c>
      <x:c r="L129" s="2" t="str">
        <x:v>https://clinicaltrials.gov/study/NCT03814746</x:v>
      </x:c>
      <x:c r="M129" s="2"/>
      <x:c r="N129" s="2"/>
    </x:row>
    <x:row r="130">
      <x:c r="A130" s="2" t="str">
        <x:v>Novartis</x:v>
      </x:c>
      <x:c r="B130" s="2" t="str">
        <x:v>NCT05739383</x:v>
      </x:c>
      <x:c r="C130" s="2" t="str">
        <x:v>A Study of Inclisiran to Prevent Cardiovascular Events in High-risk Primary Prevention Patients.</x:v>
      </x:c>
      <x:c r="D130" s="2" t="str">
        <x:v>Novartis Pharmaceuticals</x:v>
      </x:c>
      <x:c r="E130" s="2" t="str">
        <x:v>Primary Prevention of Atherosclerotic Cardiovascular Disease</x:v>
      </x:c>
      <x:c r="F130" s="2" t="str">
        <x:v>Other</x:v>
      </x:c>
      <x:c r="G130" s="2" t="str">
        <x:v>ACTIVE_NOT_RECRUITING</x:v>
      </x:c>
      <x:c r="H130" s="2" t="str">
        <x:v>PHASE3</x:v>
      </x:c>
      <x:c r="I130" s="2" t="str">
        <x:v>Inclisiran sodium 300 mg (equivalent to 284 mg inclisiran) in 1.5 mL; Placebo in 1.5ml</x:v>
      </x:c>
      <x:c r="J130" s="2" t="str">
        <x:v>2023-02-22</x:v>
      </x:c>
      <x:c r="K130" s="2" t="str">
        <x:v>2026-09-04</x:v>
      </x:c>
      <x:c r="L130" s="2" t="str">
        <x:v>https://clinicaltrials.gov/study/NCT05739383</x:v>
      </x:c>
      <x:c r="M130" s="2"/>
      <x:c r="N130" s="2"/>
    </x:row>
    <x:row r="131">
      <x:c r="A131" s="2" t="str">
        <x:v>Novartis</x:v>
      </x:c>
      <x:c r="B131" s="2" t="str">
        <x:v>NCT05624749</x:v>
      </x:c>
      <x:c r="C131" s="2" t="str">
        <x:v>Phase 3 Study to Evaluate Ianalumab on Top of Standard-of-care Therapy in Patients With Systemic Lupus Erythematosus (SIRIUS-SLE 2)</x:v>
      </x:c>
      <x:c r="D131" s="2" t="str">
        <x:v>Novartis Pharmaceuticals</x:v>
      </x:c>
      <x:c r="E131" s="2" t="str">
        <x:v>Systemic Lupus Erythematosus</x:v>
      </x:c>
      <x:c r="F131" s="2" t="str">
        <x:v>Other</x:v>
      </x:c>
      <x:c r="G131" s="2" t="str">
        <x:v>ACTIVE_NOT_RECRUITING</x:v>
      </x:c>
      <x:c r="H131" s="2" t="str">
        <x:v>PHASE3</x:v>
      </x:c>
      <x:c r="I131" s="2" t="str">
        <x:v>ianalumab; placebo</x:v>
      </x:c>
      <x:c r="J131" s="2" t="str">
        <x:v>2022-11-22</x:v>
      </x:c>
      <x:c r="K131" s="2" t="str">
        <x:v>2026-10-14</x:v>
      </x:c>
      <x:c r="L131" s="2" t="str">
        <x:v>https://clinicaltrials.gov/study/NCT05624749</x:v>
      </x:c>
      <x:c r="M131" s="2"/>
      <x:c r="N131" s="2"/>
    </x:row>
    <x:row r="132">
      <x:c r="A132" s="2" t="str">
        <x:v>Novartis</x:v>
      </x:c>
      <x:c r="B132" s="2" t="str">
        <x:v>NCT05653349</x:v>
      </x:c>
      <x:c r="C132" s="2" t="str">
        <x:v>Study of Ianalumab Versus Placebo in Addition to First-line Corticosteroids in Primary Immune Thrombocytopenia (ITP)</x:v>
      </x:c>
      <x:c r="D132" s="2" t="str">
        <x:v>Novartis Pharmaceuticals</x:v>
      </x:c>
      <x:c r="E132" s="2" t="str">
        <x:v>Primary Immune Thrombocytopenia (ITP)</x:v>
      </x:c>
      <x:c r="F132" s="2" t="str">
        <x:v>Other</x:v>
      </x:c>
      <x:c r="G132" s="2" t="str">
        <x:v>ACTIVE_NOT_RECRUITING</x:v>
      </x:c>
      <x:c r="H132" s="2" t="str">
        <x:v>PHASE3</x:v>
      </x:c>
      <x:c r="I132" s="2" t="str">
        <x:v>Ianalumab; Placebo; Corticosteroids</x:v>
      </x:c>
      <x:c r="J132" s="2" t="str">
        <x:v>2022-12-16</x:v>
      </x:c>
      <x:c r="K132" s="2" t="str">
        <x:v>2026-06-15</x:v>
      </x:c>
      <x:c r="L132" s="2" t="str">
        <x:v>https://clinicaltrials.gov/study/NCT05653349</x:v>
      </x:c>
      <x:c r="M132" s="2"/>
      <x:c r="N132" s="2"/>
    </x:row>
    <x:row r="133">
      <x:c r="A133" s="2" t="str">
        <x:v>Novartis</x:v>
      </x:c>
      <x:c r="B133" s="2" t="str">
        <x:v>NCT07225504</x:v>
      </x:c>
      <x:c r="C133" s="2" t="str">
        <x:v>A Study to Evaluate the Efficacy and Safety of Remibrutinib in Secondary Progressive Multiple Sclerosis</x:v>
      </x:c>
      <x:c r="D133" s="2" t="str">
        <x:v>Novartis Pharmaceuticals</x:v>
      </x:c>
      <x:c r="E133" s="2" t="str">
        <x:v>Secondary Progressive Multiple Sclerosis (SPMS)</x:v>
      </x:c>
      <x:c r="F133" s="2" t="str">
        <x:v>Other</x:v>
      </x:c>
      <x:c r="G133" s="2" t="str">
        <x:v>RECRUITING</x:v>
      </x:c>
      <x:c r="H133" s="2" t="str">
        <x:v>PHASE3</x:v>
      </x:c>
      <x:c r="I133" s="2" t="str">
        <x:v>Remibrutinib (blinded); Placebo; Remibrutinib (Open label)</x:v>
      </x:c>
      <x:c r="J133" s="2" t="str">
        <x:v>2025-11-06</x:v>
      </x:c>
      <x:c r="K133" s="2" t="str">
        <x:v>2026-10-13</x:v>
      </x:c>
      <x:c r="L133" s="2" t="str">
        <x:v>https://clinicaltrials.gov/study/NCT07225504</x:v>
      </x:c>
      <x:c r="M133" s="2"/>
      <x:c r="N133" s="2"/>
    </x:row>
    <x:row r="134">
      <x:c r="A134" s="2" t="str">
        <x:v>Novartis</x:v>
      </x:c>
      <x:c r="B134" s="2" t="str">
        <x:v>NCT05030428</x:v>
      </x:c>
      <x:c r="C134" s="2" t="str">
        <x:v>Study of Inclisiran to Prevent Cardiovascular (CV) Events in Participants With Established Cardiovascular Disease</x:v>
      </x:c>
      <x:c r="D134" s="2" t="str">
        <x:v>Novartis Pharmaceuticals</x:v>
      </x:c>
      <x:c r="E134" s="2" t="str">
        <x:v>Atherosclerotic Cardiovascular Disease</x:v>
      </x:c>
      <x:c r="F134" s="2" t="str">
        <x:v>Other</x:v>
      </x:c>
      <x:c r="G134" s="2" t="str">
        <x:v>ACTIVE_NOT_RECRUITING</x:v>
      </x:c>
      <x:c r="H134" s="2" t="str">
        <x:v>PHASE3</x:v>
      </x:c>
      <x:c r="I134" s="2" t="str">
        <x:v>Inclisiran sodium 300 mg; Placebo</x:v>
      </x:c>
      <x:c r="J134" s="2" t="str">
        <x:v>2021-09-01</x:v>
      </x:c>
      <x:c r="K134" s="2" t="str">
        <x:v>2026-08-25</x:v>
      </x:c>
      <x:c r="L134" s="2" t="str">
        <x:v>https://clinicaltrials.gov/study/NCT05030428</x:v>
      </x:c>
      <x:c r="M134" s="2"/>
      <x:c r="N134" s="2"/>
    </x:row>
    <x:row r="135">
      <x:c r="A135" s="2" t="str">
        <x:v>Novartis</x:v>
      </x:c>
      <x:c r="B135" s="2" t="str">
        <x:v>NCT04557462</x:v>
      </x:c>
      <x:c r="C135" s="2" t="str">
        <x:v>A Rollover Extension Program (REP) to Evaluate the Long-term Safety and Tolerability of Open Label Iptacopan/LNP023 in Participants With Primary IgA Nephropathy</x:v>
      </x:c>
      <x:c r="D135" s="2" t="str">
        <x:v>Novartis Pharmaceuticals</x:v>
      </x:c>
      <x:c r="E135" s="2" t="str">
        <x:v>Primary IgA Nephropathy</x:v>
      </x:c>
      <x:c r="F135" s="2" t="str">
        <x:v>Other</x:v>
      </x:c>
      <x:c r="G135" s="2" t="str">
        <x:v>RECRUITING</x:v>
      </x:c>
      <x:c r="H135" s="2" t="str">
        <x:v>PHASE3</x:v>
      </x:c>
      <x:c r="I135" s="2" t="str">
        <x:v>LNP023</x:v>
      </x:c>
      <x:c r="J135" s="2" t="str">
        <x:v>2020-09-21</x:v>
      </x:c>
      <x:c r="K135" s="2" t="str">
        <x:v>2026-10-05</x:v>
      </x:c>
      <x:c r="L135" s="2" t="str">
        <x:v>https://clinicaltrials.gov/study/NCT04557462</x:v>
      </x:c>
      <x:c r="M135" s="2"/>
      <x:c r="N135" s="2"/>
    </x:row>
    <x:row r="136">
      <x:c r="A136" s="2" t="str">
        <x:v>Novartis</x:v>
      </x:c>
      <x:c r="B136" s="2" t="str">
        <x:v>NCT05976243</x:v>
      </x:c>
      <x:c r="C136" s="2" t="str">
        <x:v>A Study to Investigate Efficacy, Safety, and Tolerability of Remibrutinib Compared With Placebo in Adults With CINDU Inadequately Controlled by H1-antihistamines</x:v>
      </x:c>
      <x:c r="D136" s="2" t="str">
        <x:v>Novartis Pharmaceuticals</x:v>
      </x:c>
      <x:c r="E136" s="2" t="str">
        <x:v>Chronic Inducible Urticaria</x:v>
      </x:c>
      <x:c r="F136" s="2" t="str">
        <x:v>Other</x:v>
      </x:c>
      <x:c r="G136" s="2" t="str">
        <x:v>ACTIVE_NOT_RECRUITING</x:v>
      </x:c>
      <x:c r="H136" s="2" t="str">
        <x:v>PHASE3</x:v>
      </x:c>
      <x:c r="I136" s="2" t="str">
        <x:v>Remibrutinib; Placebo</x:v>
      </x:c>
      <x:c r="J136" s="2" t="str">
        <x:v>2023-08-04</x:v>
      </x:c>
      <x:c r="K136" s="2" t="str">
        <x:v>2026-10-15</x:v>
      </x:c>
      <x:c r="L136" s="2" t="str">
        <x:v>https://clinicaltrials.gov/study/NCT05976243</x:v>
      </x:c>
      <x:c r="M136" s="2"/>
      <x:c r="N136" s="2"/>
    </x:row>
    <x:row r="137">
      <x:c r="A137" s="2" t="str">
        <x:v>Novartis</x:v>
      </x:c>
      <x:c r="B137" s="2" t="str">
        <x:v>NCT05712200</x:v>
      </x:c>
      <x:c r="C137" s="2" t="str">
        <x:v>Study to evaLuate the effIcacy and Safety of abeLacimab in High-risk Patients With Atrial Fibrillation Who Have Been Deemed Unsuitable for Oral antiCoagulation (LILAC-TIMI 76)</x:v>
      </x:c>
      <x:c r="D137" s="2" t="str">
        <x:v>Anthos Therapeutics, Inc.</x:v>
      </x:c>
      <x:c r="E137" s="2" t="str">
        <x:v>Atrial Fibrillation (AF)</x:v>
      </x:c>
      <x:c r="F137" s="2" t="str">
        <x:v>Other</x:v>
      </x:c>
      <x:c r="G137" s="2" t="str">
        <x:v>RECRUITING</x:v>
      </x:c>
      <x:c r="H137" s="2" t="str">
        <x:v>PHASE3</x:v>
      </x:c>
      <x:c r="I137" s="2" t="str">
        <x:v>Abelacimab; Placebo</x:v>
      </x:c>
      <x:c r="J137" s="2" t="str">
        <x:v>2023-02-03</x:v>
      </x:c>
      <x:c r="K137" s="2" t="str">
        <x:v>2026-07-13</x:v>
      </x:c>
      <x:c r="L137" s="2" t="str">
        <x:v>https://clinicaltrials.gov/study/NCT05712200</x:v>
      </x:c>
      <x:c r="M137" s="2"/>
      <x:c r="N137" s="2"/>
    </x:row>
    <x:row r="138">
      <x:c r="A138" s="2" t="str">
        <x:v>Novartis</x:v>
      </x:c>
      <x:c r="B138" s="2" t="str">
        <x:v>NCT04940052</x:v>
      </x:c>
      <x:c r="C138" s="2" t="str">
        <x:v>Study of Efficacy and Safety of Dabrafenib in Combination With Trametinib in Previously Treated Patients With Metastatic, Radio-active Iodine Refractory BRAF V600E Mutation Positive Differentiated Thyroid Cancer</x:v>
      </x:c>
      <x:c r="D138" s="2" t="str">
        <x:v>Novartis Pharmaceuticals</x:v>
      </x:c>
      <x:c r="E138" s="2" t="str">
        <x:v>Differentiated Thyroid Cancer (DTC)</x:v>
      </x:c>
      <x:c r="F138" s="2" t="str">
        <x:v>Oncology</x:v>
      </x:c>
      <x:c r="G138" s="2" t="str">
        <x:v>ACTIVE_NOT_RECRUITING</x:v>
      </x:c>
      <x:c r="H138" s="2" t="str">
        <x:v>PHASE3</x:v>
      </x:c>
      <x:c r="I138" s="2" t="str">
        <x:v>Dabrafenib; Trametinib; Trametinib Placebo; Dabrafenib placebo</x:v>
      </x:c>
      <x:c r="J138" s="2" t="str">
        <x:v>2021-06-25</x:v>
      </x:c>
      <x:c r="K138" s="2" t="str">
        <x:v>2026-09-21</x:v>
      </x:c>
      <x:c r="L138" s="2" t="str">
        <x:v>https://clinicaltrials.gov/study/NCT04940052</x:v>
      </x:c>
      <x:c r="M138" s="2"/>
      <x:c r="N138" s="2"/>
    </x:row>
    <x:row r="139">
      <x:c r="A139" s="2" t="str">
        <x:v>Novartis</x:v>
      </x:c>
      <x:c r="B139" s="2" t="str">
        <x:v>NCT07517263</x:v>
      </x:c>
      <x:c r="C139" s="2" t="str">
        <x:v>An Open Label Extension (OLE) Study (Following Completion of CTQJ230A12301) to Evaluate Long-term Safety and Tolerability of Pelacarsen (TQJ230)</x:v>
      </x:c>
      <x:c r="D139" s="2" t="str">
        <x:v>Novartis Pharmaceuticals</x:v>
      </x:c>
      <x:c r="E139" s="2" t="str">
        <x:v>Cardiovascular Disease and Lipoprotein(a)</x:v>
      </x:c>
      <x:c r="F139" s="2" t="str">
        <x:v>Other</x:v>
      </x:c>
      <x:c r="G139" s="2" t="str">
        <x:v>ACTIVE_NOT_RECRUITING</x:v>
      </x:c>
      <x:c r="H139" s="2" t="str">
        <x:v>PHASE3</x:v>
      </x:c>
      <x:c r="I139" s="2" t="str">
        <x:v>Pelacarsen (TQJ230)</x:v>
      </x:c>
      <x:c r="J139" s="2" t="str">
        <x:v>2026-04-08</x:v>
      </x:c>
      <x:c r="K139" s="2" t="str">
        <x:v>2026-10-14</x:v>
      </x:c>
      <x:c r="L139" s="2" t="str">
        <x:v>https://clinicaltrials.gov/study/NCT07517263</x:v>
      </x:c>
      <x:c r="M139" s="2"/>
      <x:c r="N139" s="2"/>
    </x:row>
    <x:row r="140">
      <x:c r="A140" s="2" t="str">
        <x:v>Novartis</x:v>
      </x:c>
      <x:c r="B140" s="2" t="str">
        <x:v>NCT05648968</x:v>
      </x:c>
      <x:c r="C140" s="2" t="str">
        <x:v>A Study of Efficacy and Safety of Ianalumab in Previously Treated Patients With Warm Autoimmune Hemolytic Anemia</x:v>
      </x:c>
      <x:c r="D140" s="2" t="str">
        <x:v>Novartis Pharmaceuticals</x:v>
      </x:c>
      <x:c r="E140" s="2" t="str">
        <x:v>Warm Autoimmune Hemolytic Anemia (wAIHA)</x:v>
      </x:c>
      <x:c r="F140" s="2" t="str">
        <x:v>Other</x:v>
      </x:c>
      <x:c r="G140" s="2" t="str">
        <x:v>ACTIVE_NOT_RECRUITING</x:v>
      </x:c>
      <x:c r="H140" s="2" t="str">
        <x:v>PHASE3</x:v>
      </x:c>
      <x:c r="I140" s="2" t="str">
        <x:v>Ianalumab; Placebo</x:v>
      </x:c>
      <x:c r="J140" s="2" t="str">
        <x:v>2022-12-13</x:v>
      </x:c>
      <x:c r="K140" s="2" t="str">
        <x:v>2026-09-11</x:v>
      </x:c>
      <x:c r="L140" s="2" t="str">
        <x:v>https://clinicaltrials.gov/study/NCT05648968</x:v>
      </x:c>
      <x:c r="M140" s="2"/>
      <x:c r="N140" s="2"/>
    </x:row>
    <x:row r="141">
      <x:c r="A141" s="2" t="str">
        <x:v>Novartis</x:v>
      </x:c>
      <x:c r="B141" s="2" t="str">
        <x:v>NCT05985915</x:v>
      </x:c>
      <x:c r="C141" s="2" t="str">
        <x:v>A Randomized, Double-blind 2-arm, Followed by an Open-label 1-arm, NEPTUNUS Extension Study to Assess the Long-term Safety and Efficacy of Ianalumab in Patients With Sjogrens Syndrome.</x:v>
      </x:c>
      <x:c r="D141" s="2" t="str">
        <x:v>Novartis Pharmaceuticals</x:v>
      </x:c>
      <x:c r="E141" s="2" t="str">
        <x:v>Sjogrens Syndrome</x:v>
      </x:c>
      <x:c r="F141" s="2" t="str">
        <x:v>Other</x:v>
      </x:c>
      <x:c r="G141" s="2" t="str">
        <x:v>ACTIVE_NOT_RECRUITING</x:v>
      </x:c>
      <x:c r="H141" s="2" t="str">
        <x:v>PHASE3</x:v>
      </x:c>
      <x:c r="I141" s="2" t="str">
        <x:v>Ianalumab (VAY736); Placebo</x:v>
      </x:c>
      <x:c r="J141" s="2" t="str">
        <x:v>2023-08-14</x:v>
      </x:c>
      <x:c r="K141" s="2" t="str">
        <x:v>2026-10-15</x:v>
      </x:c>
      <x:c r="L141" s="2" t="str">
        <x:v>https://clinicaltrials.gov/study/NCT05985915</x:v>
      </x:c>
      <x:c r="M141" s="2"/>
      <x:c r="N141" s="2"/>
    </x:row>
    <x:row r="142">
      <x:c r="A142" s="2" t="str">
        <x:v>Novartis</x:v>
      </x:c>
      <x:c r="B142" s="2" t="str">
        <x:v>NCT05126277</x:v>
      </x:c>
      <x:c r="C142" s="2" t="str">
        <x:v>Safety, Efficacy and Tolerability of Ianalumab Versus Placebo, Combination With SoC Therapy, in Participants With Active Lupus Nephritis</x:v>
      </x:c>
      <x:c r="D142" s="2" t="str">
        <x:v>Novartis Pharmaceuticals</x:v>
      </x:c>
      <x:c r="E142" s="2" t="str">
        <x:v>Lupus Nephritis</x:v>
      </x:c>
      <x:c r="F142" s="2" t="str">
        <x:v>Other</x:v>
      </x:c>
      <x:c r="G142" s="2" t="str">
        <x:v>ACTIVE_NOT_RECRUITING</x:v>
      </x:c>
      <x:c r="H142" s="2" t="str">
        <x:v>PHASE3</x:v>
      </x:c>
      <x:c r="I142" s="2" t="str">
        <x:v>ianalumab s.c. q4w; ianalumab s.c. q12w; placebo s.c.</x:v>
      </x:c>
      <x:c r="J142" s="2" t="str">
        <x:v>2021-11-19</x:v>
      </x:c>
      <x:c r="K142" s="2" t="str">
        <x:v>2026-10-15</x:v>
      </x:c>
      <x:c r="L142" s="2" t="str">
        <x:v>https://clinicaltrials.gov/study/NCT05126277</x:v>
      </x:c>
      <x:c r="M142" s="2"/>
      <x:c r="N142" s="2"/>
    </x:row>
    <x:row r="143">
      <x:c r="A143" s="2" t="str">
        <x:v>Novartis</x:v>
      </x:c>
      <x:c r="B143" s="2" t="str">
        <x:v>NCT06133972</x:v>
      </x:c>
      <x:c r="C143" s="2" t="str">
        <x:v>Phase 3 Extension Study to Evaluate Long-term Safety of Ianalumab in Participants With Systemic Lupus Erythematosus (SIRIUS-SLE Extension).</x:v>
      </x:c>
      <x:c r="D143" s="2" t="str">
        <x:v>Novartis Pharmaceuticals</x:v>
      </x:c>
      <x:c r="E143" s="2" t="str">
        <x:v>Systemic Lupus Erythematosus</x:v>
      </x:c>
      <x:c r="F143" s="2" t="str">
        <x:v>Other</x:v>
      </x:c>
      <x:c r="G143" s="2" t="str">
        <x:v>RECRUITING</x:v>
      </x:c>
      <x:c r="H143" s="2" t="str">
        <x:v>PHASE3</x:v>
      </x:c>
      <x:c r="I143" s="2" t="str">
        <x:v>Placebo; Ianalumab</x:v>
      </x:c>
      <x:c r="J143" s="2" t="str">
        <x:v>2023-11-18</x:v>
      </x:c>
      <x:c r="K143" s="2" t="str">
        <x:v>2026-10-13</x:v>
      </x:c>
      <x:c r="L143" s="2" t="str">
        <x:v>https://clinicaltrials.gov/study/NCT06133972</x:v>
      </x:c>
      <x:c r="M143" s="2"/>
      <x:c r="N143" s="2"/>
    </x:row>
    <x:row r="144">
      <x:c r="A144" s="2" t="str">
        <x:v>Novartis</x:v>
      </x:c>
      <x:c r="B144" s="2" t="str">
        <x:v>NCT05147220</x:v>
      </x:c>
      <x:c r="C144" s="2" t="str">
        <x:v>Efficacy and Safety of Remibrutinib Compared to Teriflunomide in Participants With Relapsing Multiple Sclerosis (RMS) (REMODEL-1)</x:v>
      </x:c>
      <x:c r="D144" s="2" t="str">
        <x:v>Novartis Pharmaceuticals</x:v>
      </x:c>
      <x:c r="E144" s="2" t="str">
        <x:v>Relapsing Multiple Sclerosis</x:v>
      </x:c>
      <x:c r="F144" s="2" t="str">
        <x:v>Other</x:v>
      </x:c>
      <x:c r="G144" s="2" t="str">
        <x:v>ACTIVE_NOT_RECRUITING</x:v>
      </x:c>
      <x:c r="H144" s="2" t="str">
        <x:v>PHASE3</x:v>
      </x:c>
      <x:c r="I144" s="2" t="str">
        <x:v>Remibrutinib; Teriflunomide</x:v>
      </x:c>
      <x:c r="J144" s="2" t="str">
        <x:v>2021-12-07</x:v>
      </x:c>
      <x:c r="K144" s="2" t="str">
        <x:v>2026-08-18</x:v>
      </x:c>
      <x:c r="L144" s="2" t="str">
        <x:v>https://clinicaltrials.gov/study/NCT05147220</x:v>
      </x:c>
      <x:c r="M144" s="2"/>
      <x:c r="N144" s="2"/>
    </x:row>
    <x:row r="145">
      <x:c r="A145" s="2" t="str">
        <x:v>Novartis</x:v>
      </x:c>
      <x:c r="B145" s="2" t="str">
        <x:v>NCT06744920</x:v>
      </x:c>
      <x:c r="C145" s="2" t="str">
        <x:v>A Study to Investigate the Efficacy, Safety and Tolerability of Remibrutinib Versus Placebo in Adult Patients With Generalized Myasthenia Gravis</x:v>
      </x:c>
      <x:c r="D145" s="2" t="str">
        <x:v>Novartis Pharmaceuticals</x:v>
      </x:c>
      <x:c r="E145" s="2" t="str">
        <x:v>Generalized Myasthenia Gravis</x:v>
      </x:c>
      <x:c r="F145" s="2" t="str">
        <x:v>Other</x:v>
      </x:c>
      <x:c r="G145" s="2" t="str">
        <x:v>ACTIVE_NOT_RECRUITING</x:v>
      </x:c>
      <x:c r="H145" s="2" t="str">
        <x:v>PHASE3</x:v>
      </x:c>
      <x:c r="I145" s="2" t="str">
        <x:v>Remibrutinib (Blinded); Placebo; Remibrutinib (Open Label)</x:v>
      </x:c>
      <x:c r="J145" s="2" t="str">
        <x:v>2024-12-20</x:v>
      </x:c>
      <x:c r="K145" s="2" t="str">
        <x:v>2026-09-28</x:v>
      </x:c>
      <x:c r="L145" s="2" t="str">
        <x:v>https://clinicaltrials.gov/study/NCT06744920</x:v>
      </x:c>
      <x:c r="M145" s="2"/>
      <x:c r="N145" s="2"/>
    </x:row>
    <x:row r="146">
      <x:c r="A146" s="2" t="str">
        <x:v>Novartis</x:v>
      </x:c>
      <x:c r="B146" s="2" t="str">
        <x:v>NCT05456191</x:v>
      </x:c>
      <x:c r="C146" s="2" t="str">
        <x:v>A Study to Investigate Tolerability and Efficacy of Asciminib (Oral) Versus Nilotinib (Oral) in Adult Participants (≥18 Years of Age) With Newly Diagnosed Philadelphia Chromosome Positive Chronic Myelogenous Leukemia in Chronic Phase (Ph+ CML-CP)</x:v>
      </x:c>
      <x:c r="D146" s="2" t="str">
        <x:v>Novartis Pharmaceuticals</x:v>
      </x:c>
      <x:c r="E146" s="2" t="str">
        <x:v>Philadelphia Chromosome-Positive Chronic Myeloid Leukemia</x:v>
      </x:c>
      <x:c r="F146" s="2" t="str">
        <x:v>Oncology</x:v>
      </x:c>
      <x:c r="G146" s="2" t="str">
        <x:v>ACTIVE_NOT_RECRUITING</x:v>
      </x:c>
      <x:c r="H146" s="2" t="str">
        <x:v>PHASE3</x:v>
      </x:c>
      <x:c r="I146" s="2" t="str">
        <x:v>Asciminib; Nilotinib</x:v>
      </x:c>
      <x:c r="J146" s="2" t="str">
        <x:v>2022-07-13</x:v>
      </x:c>
      <x:c r="K146" s="2" t="str">
        <x:v>2026-08-26</x:v>
      </x:c>
      <x:c r="L146" s="2" t="str">
        <x:v>https://clinicaltrials.gov/study/NCT05456191</x:v>
      </x:c>
      <x:c r="M146" s="2"/>
      <x:c r="N146" s="2"/>
    </x:row>
    <x:row r="147">
      <x:c r="A147" s="2" t="str">
        <x:v>Novartis</x:v>
      </x:c>
      <x:c r="B147" s="2" t="str">
        <x:v>NCT05653219</x:v>
      </x:c>
      <x:c r="C147" s="2" t="str">
        <x:v>A Study of Efficacy and Safety of Ianalumab Versus Placebo in Addition to Eltrombopag in Primary Immune Thrombocytopenia Patients Who Failed Steroids</x:v>
      </x:c>
      <x:c r="D147" s="2" t="str">
        <x:v>Novartis Pharmaceuticals</x:v>
      </x:c>
      <x:c r="E147" s="2" t="str">
        <x:v>Primary Immune Thrombocytopenia</x:v>
      </x:c>
      <x:c r="F147" s="2" t="str">
        <x:v>Other</x:v>
      </x:c>
      <x:c r="G147" s="2" t="str">
        <x:v>ACTIVE_NOT_RECRUITING</x:v>
      </x:c>
      <x:c r="H147" s="2" t="str">
        <x:v>PHASE3</x:v>
      </x:c>
      <x:c r="I147" s="2" t="str">
        <x:v>Ianalumab; Eltrombopag; Placebo</x:v>
      </x:c>
      <x:c r="J147" s="2" t="str">
        <x:v>2022-12-16</x:v>
      </x:c>
      <x:c r="K147" s="2" t="str">
        <x:v>2026-08-21</x:v>
      </x:c>
      <x:c r="L147" s="2" t="str">
        <x:v>https://clinicaltrials.gov/study/NCT05653219</x:v>
      </x:c>
      <x:c r="M147" s="2"/>
      <x:c r="N147" s="2"/>
    </x:row>
    <x:row r="148">
      <x:c r="A148" s="2" t="str">
        <x:v>Novartis</x:v>
      </x:c>
      <x:c r="B148" s="2" t="str">
        <x:v>NCT05513001</x:v>
      </x:c>
      <x:c r="C148" s="2" t="str">
        <x:v>An Extension Study of Long-term Efficacy, Safety and Tolerability of Remibrutinib in Chronic Spontaneous Urticaria Patients Who Completed Preceding Studies With Remibrutinib</x:v>
      </x:c>
      <x:c r="D148" s="2" t="str">
        <x:v>Novartis Pharmaceuticals</x:v>
      </x:c>
      <x:c r="E148" s="2" t="str">
        <x:v>Chronic Spontaneous Urticaria</x:v>
      </x:c>
      <x:c r="F148" s="2" t="str">
        <x:v>Other</x:v>
      </x:c>
      <x:c r="G148" s="2" t="str">
        <x:v>ACTIVE_NOT_RECRUITING</x:v>
      </x:c>
      <x:c r="H148" s="2" t="str">
        <x:v>PHASE3</x:v>
      </x:c>
      <x:c r="I148" s="2" t="str">
        <x:v>LOU064 (blinded); Placebo; LOU064 (open label)</x:v>
      </x:c>
      <x:c r="J148" s="2" t="str">
        <x:v>2022-08-23</x:v>
      </x:c>
      <x:c r="K148" s="2" t="str">
        <x:v>2026-03-11</x:v>
      </x:c>
      <x:c r="L148" s="2" t="str">
        <x:v>https://clinicaltrials.gov/study/NCT05513001</x:v>
      </x:c>
      <x:c r="M148" s="2"/>
      <x:c r="N148" s="2"/>
    </x:row>
    <x:row r="149">
      <x:c r="A149" s="2" t="str">
        <x:v>Novartis</x:v>
      </x:c>
      <x:c r="B149" s="2" t="str">
        <x:v>NCT07102628</x:v>
      </x:c>
      <x:c r="C149" s="2" t="str">
        <x:v>Evaluation of Efficacy and Safety of Early in Hospital Initiation of Inclisiran Treatment in Patients With Acute Coronary Syndromes</x:v>
      </x:c>
      <x:c r="D149" s="2" t="str">
        <x:v>Novartis Pharmaceuticals</x:v>
      </x:c>
      <x:c r="E149" s="2" t="str">
        <x:v>Acute Coronary Syndrome</x:v>
      </x:c>
      <x:c r="F149" s="2" t="str">
        <x:v>Other</x:v>
      </x:c>
      <x:c r="G149" s="2" t="str">
        <x:v>RECRUITING</x:v>
      </x:c>
      <x:c r="H149" s="2" t="str">
        <x:v>PHASE3</x:v>
      </x:c>
      <x:c r="I149" s="2" t="str">
        <x:v>Placebo; Inclisiran</x:v>
      </x:c>
      <x:c r="J149" s="2" t="str">
        <x:v>2025-08-04</x:v>
      </x:c>
      <x:c r="K149" s="2" t="str">
        <x:v>2026-09-16</x:v>
      </x:c>
      <x:c r="L149" s="2" t="str">
        <x:v>https://clinicaltrials.gov/study/NCT07102628</x:v>
      </x:c>
      <x:c r="M149" s="2"/>
      <x:c r="N149" s="2"/>
    </x:row>
    <x:row r="150">
      <x:c r="A150" s="2" t="str">
        <x:v>Novartis</x:v>
      </x:c>
      <x:c r="B150" s="2" t="str">
        <x:v>NCT04926818</x:v>
      </x:c>
      <x:c r="C150" s="2" t="str">
        <x:v>Efficacy and Safety of Ofatumumab and Siponimod Compared to Fingolimod in Pediatric Patients With Multiple Sclerosis</x:v>
      </x:c>
      <x:c r="D150" s="2" t="str">
        <x:v>Novartis Pharmaceuticals</x:v>
      </x:c>
      <x:c r="E150" s="2" t="str">
        <x:v>Multiple Sclerosis (MS)</x:v>
      </x:c>
      <x:c r="F150" s="2" t="str">
        <x:v>Other</x:v>
      </x:c>
      <x:c r="G150" s="2" t="str">
        <x:v>ACTIVE_NOT_RECRUITING</x:v>
      </x:c>
      <x:c r="H150" s="2" t="str">
        <x:v>PHASE3</x:v>
      </x:c>
      <x:c r="I150" s="2" t="str">
        <x:v>Fingolimod; Ofatumumab; Siponimod; Fingolimod placebo; Siponimod placebo; Ofatumumab placebo</x:v>
      </x:c>
      <x:c r="J150" s="2" t="str">
        <x:v>2021-06-15</x:v>
      </x:c>
      <x:c r="K150" s="2" t="str">
        <x:v>2026-05-14</x:v>
      </x:c>
      <x:c r="L150" s="2" t="str">
        <x:v>https://clinicaltrials.gov/study/NCT04926818</x:v>
      </x:c>
      <x:c r="M150" s="2"/>
      <x:c r="N150" s="2"/>
    </x:row>
    <x:row r="151">
      <x:c r="A151" s="2" t="str">
        <x:v>Novartis</x:v>
      </x:c>
      <x:c r="B151" s="2" t="str">
        <x:v>NCT04817618</x:v>
      </x:c>
      <x:c r="C151" s="2" t="str">
        <x:v>Study of Efficacy and Safety of Iptacopan in Patients With C3 Glomerulopathy.</x:v>
      </x:c>
      <x:c r="D151" s="2" t="str">
        <x:v>Novartis Pharmaceuticals</x:v>
      </x:c>
      <x:c r="E151" s="2" t="str">
        <x:v>C3G</x:v>
      </x:c>
      <x:c r="F151" s="2" t="str">
        <x:v>Other</x:v>
      </x:c>
      <x:c r="G151" s="2" t="str">
        <x:v>RECRUITING</x:v>
      </x:c>
      <x:c r="H151" s="2" t="str">
        <x:v>PHASE3</x:v>
      </x:c>
      <x:c r="I151" s="2" t="str">
        <x:v>Placebo; iptacopan</x:v>
      </x:c>
      <x:c r="J151" s="2" t="str">
        <x:v>2021-03-26</x:v>
      </x:c>
      <x:c r="K151" s="2" t="str">
        <x:v>2026-07-13</x:v>
      </x:c>
      <x:c r="L151" s="2" t="str">
        <x:v>https://clinicaltrials.gov/study/NCT04817618</x:v>
      </x:c>
      <x:c r="M151" s="2"/>
      <x:c r="N151" s="2"/>
    </x:row>
    <x:row r="152">
      <x:c r="A152" s="2" t="str">
        <x:v>Novartis</x:v>
      </x:c>
      <x:c r="B152" s="2" t="str">
        <x:v>NCT05795140</x:v>
      </x:c>
      <x:c r="C152" s="2" t="str">
        <x:v>Evaluate Long-term Safety, Tolerability and Efficacy of Iptacopan in Study Participants With aHUS</x:v>
      </x:c>
      <x:c r="D152" s="2" t="str">
        <x:v>Novartis Pharmaceuticals</x:v>
      </x:c>
      <x:c r="E152" s="2" t="str">
        <x:v>Atypical Hemolytic Uremic Syndrome</x:v>
      </x:c>
      <x:c r="F152" s="2" t="str">
        <x:v>Other</x:v>
      </x:c>
      <x:c r="G152" s="2" t="str">
        <x:v>RECRUITING</x:v>
      </x:c>
      <x:c r="H152" s="2" t="str">
        <x:v>PHASE3</x:v>
      </x:c>
      <x:c r="I152" s="2" t="str">
        <x:v>Iptcaopan 200 mg</x:v>
      </x:c>
      <x:c r="J152" s="2" t="str">
        <x:v>2023-04-03</x:v>
      </x:c>
      <x:c r="K152" s="2" t="str">
        <x:v>2026-06-04</x:v>
      </x:c>
      <x:c r="L152" s="2" t="str">
        <x:v>https://clinicaltrials.gov/study/NCT05795140</x:v>
      </x:c>
      <x:c r="M152" s="2"/>
      <x:c r="N152" s="2"/>
    </x:row>
    <x:row r="153">
      <x:c r="A153" s="2" t="str">
        <x:v>Novartis</x:v>
      </x:c>
      <x:c r="B153" s="2" t="str">
        <x:v>NCT07357727</x:v>
      </x:c>
      <x:c r="C153" s="2" t="str">
        <x:v>A Phase 3 Study of Pelabresib (DAK539) and Ruxolitinib in Myelofibrosis (MF)</x:v>
      </x:c>
      <x:c r="D153" s="2" t="str">
        <x:v>Novartis Pharmaceuticals</x:v>
      </x:c>
      <x:c r="E153" s="2" t="str">
        <x:v>Primary Myelofibrosis (PMF); Post-polycythemia Vera Myelofibrosis (PPV-MF); Post-essential Thrombocythemia Myelofibrosis (PET-MF)</x:v>
      </x:c>
      <x:c r="F153" s="2" t="str">
        <x:v>Oncology</x:v>
      </x:c>
      <x:c r="G153" s="2" t="str">
        <x:v>RECRUITING</x:v>
      </x:c>
      <x:c r="H153" s="2" t="str">
        <x:v>PHASE3</x:v>
      </x:c>
      <x:c r="I153" s="2" t="str">
        <x:v>Pelabresib; Ruxolitinib; Placebo</x:v>
      </x:c>
      <x:c r="J153" s="2" t="str">
        <x:v>2026-01-22</x:v>
      </x:c>
      <x:c r="K153" s="2" t="str">
        <x:v>2026-10-20</x:v>
      </x:c>
      <x:c r="L153" s="2" t="str">
        <x:v>https://clinicaltrials.gov/study/NCT07357727</x:v>
      </x:c>
      <x:c r="M153" s="2"/>
      <x:c r="N153" s="2"/>
    </x:row>
    <x:row r="154">
      <x:c r="A154" s="2" t="str">
        <x:v>Novartis</x:v>
      </x:c>
      <x:c r="B154" s="2" t="str">
        <x:v>NCT05827081</x:v>
      </x:c>
      <x:c r="C154" s="2" t="str">
        <x:v>Phase IIIb Study of Ribociclib + ET in Early Breast Cancer</x:v>
      </x:c>
      <x:c r="D154" s="2" t="str">
        <x:v>Novartis Pharmaceuticals</x:v>
      </x:c>
      <x:c r="E154" s="2" t="str">
        <x:v>Early Breast Cancer</x:v>
      </x:c>
      <x:c r="F154" s="2" t="str">
        <x:v>Oncology</x:v>
      </x:c>
      <x:c r="G154" s="2" t="str">
        <x:v>RECRUITING</x:v>
      </x:c>
      <x:c r="H154" s="2" t="str">
        <x:v>PHASE3</x:v>
      </x:c>
      <x:c r="I154" s="2" t="str">
        <x:v>Ribociclib; Letrozole; Ansastrozole; Goserelin; Leuprolide; Exemestane</x:v>
      </x:c>
      <x:c r="J154" s="2" t="str">
        <x:v>2023-04-24</x:v>
      </x:c>
      <x:c r="K154" s="2" t="str">
        <x:v>2026-10-19</x:v>
      </x:c>
      <x:c r="L154" s="2" t="str">
        <x:v>https://clinicaltrials.gov/study/NCT05827081</x:v>
      </x:c>
      <x:c r="M154" s="2"/>
      <x:c r="N154" s="2"/>
    </x:row>
    <x:row r="155">
      <x:c r="A155" s="2" t="str">
        <x:v>Novartis</x:v>
      </x:c>
      <x:c r="B155" s="2" t="str">
        <x:v>NCT06855277</x:v>
      </x:c>
      <x:c r="C155" s="2" t="str">
        <x:v>Study Comparing AAA817+ARPI Versus Standard of Care in Adult Participants With PSMA-positive mCRPC</x:v>
      </x:c>
      <x:c r="D155" s="2" t="str">
        <x:v>Novartis Pharmaceuticals</x:v>
      </x:c>
      <x:c r="E155" s="2" t="str">
        <x:v>Prostate Cancer</x:v>
      </x:c>
      <x:c r="F155" s="2" t="str">
        <x:v>Oncology</x:v>
      </x:c>
      <x:c r="G155" s="2" t="str">
        <x:v>RECRUITING</x:v>
      </x:c>
      <x:c r="H155" s="2" t="str">
        <x:v>PHASE3</x:v>
      </x:c>
      <x:c r="I155" s="2" t="str">
        <x:v>AAA817; ARPI; Standard of Care</x:v>
      </x:c>
      <x:c r="J155" s="2" t="str">
        <x:v>2025-03-03</x:v>
      </x:c>
      <x:c r="K155" s="2" t="str">
        <x:v>2026-10-15</x:v>
      </x:c>
      <x:c r="L155" s="2" t="str">
        <x:v>https://clinicaltrials.gov/study/NCT06855277</x:v>
      </x:c>
      <x:c r="M155" s="2"/>
      <x:c r="N155" s="2"/>
    </x:row>
    <x:row r="156">
      <x:c r="A156" s="2" t="str">
        <x:v>Novartis</x:v>
      </x:c>
      <x:c r="B156" s="2" t="str">
        <x:v>NCT05132075</x:v>
      </x:c>
      <x:c r="C156" s="2" t="str">
        <x:v>Study of JDQ443 in Comparison With Docetaxel in Participants With Locally Advanced or Metastatic KRAS G12C Mutant Non-small Cell Lung Cancer</x:v>
      </x:c>
      <x:c r="D156" s="2" t="str">
        <x:v>Novartis Pharmaceuticals</x:v>
      </x:c>
      <x:c r="E156" s="2" t="str">
        <x:v>Non-Small Cell Lung Cancer</x:v>
      </x:c>
      <x:c r="F156" s="2" t="str">
        <x:v>Oncology</x:v>
      </x:c>
      <x:c r="G156" s="2" t="str">
        <x:v>ACTIVE_NOT_RECRUITING</x:v>
      </x:c>
      <x:c r="H156" s="2" t="str">
        <x:v>PHASE3</x:v>
      </x:c>
      <x:c r="I156" s="2" t="str">
        <x:v>JDQ443; docetaxel</x:v>
      </x:c>
      <x:c r="J156" s="2" t="str">
        <x:v>2021-11-24</x:v>
      </x:c>
      <x:c r="K156" s="2" t="str">
        <x:v>2026-09-25</x:v>
      </x:c>
      <x:c r="L156" s="2" t="str">
        <x:v>https://clinicaltrials.gov/study/NCT05132075</x:v>
      </x:c>
      <x:c r="M156" s="2"/>
      <x:c r="N156" s="2"/>
    </x:row>
    <x:row r="157">
      <x:c r="A157" s="2" t="str">
        <x:v>Novartis</x:v>
      </x:c>
      <x:c r="B157" s="2" t="str">
        <x:v>NCT07621809</x:v>
      </x:c>
      <x:c r="C157" s="2" t="str">
        <x:v>Two Arm, Double-blind, Phase III Study Assessing Efficacy and Safety of Ianalumab Versus Placebo, in Participants With Sjögren's Disease With High Symptom Burden</x:v>
      </x:c>
      <x:c r="D157" s="2" t="str">
        <x:v>Novartis Pharmaceuticals</x:v>
      </x:c>
      <x:c r="E157" s="2" t="str">
        <x:v>Sjögren´s Disease</x:v>
      </x:c>
      <x:c r="F157" s="2" t="str">
        <x:v>Other</x:v>
      </x:c>
      <x:c r="G157" s="2" t="str">
        <x:v>RECRUITING</x:v>
      </x:c>
      <x:c r="H157" s="2" t="str">
        <x:v>PHASE3</x:v>
      </x:c>
      <x:c r="I157" s="2" t="str">
        <x:v>VAY736; Placebo</x:v>
      </x:c>
      <x:c r="J157" s="2" t="str">
        <x:v>2026-06-02</x:v>
      </x:c>
      <x:c r="K157" s="2" t="str">
        <x:v>2026-10-13</x:v>
      </x:c>
      <x:c r="L157" s="2" t="str">
        <x:v>https://clinicaltrials.gov/study/NCT07621809</x:v>
      </x:c>
      <x:c r="M157" s="2"/>
      <x:c r="N157" s="2"/>
    </x:row>
    <x:row r="158">
      <x:c r="A158" s="2" t="str">
        <x:v>Novartis</x:v>
      </x:c>
      <x:c r="B158" s="2" t="str">
        <x:v>NCT04971226</x:v>
      </x:c>
      <x:c r="C158" s="2" t="str">
        <x:v>A Study of Oral Asciminib Versus Other TKIs in Adult Patients With Newly Diagnosed Ph+ CML-CP</x:v>
      </x:c>
      <x:c r="D158" s="2" t="str">
        <x:v>Novartis Pharmaceuticals</x:v>
      </x:c>
      <x:c r="E158" s="2" t="str">
        <x:v>Chronic Myeloid Leukemia (CML) Philadelphia Chromosome Positive</x:v>
      </x:c>
      <x:c r="F158" s="2" t="str">
        <x:v>Oncology</x:v>
      </x:c>
      <x:c r="G158" s="2" t="str">
        <x:v>ACTIVE_NOT_RECRUITING</x:v>
      </x:c>
      <x:c r="H158" s="2" t="str">
        <x:v>PHASE3</x:v>
      </x:c>
      <x:c r="I158" s="2" t="str">
        <x:v>Imatinib; Nilotinib; Bosutinib; Dasatinib; Asciminib</x:v>
      </x:c>
      <x:c r="J158" s="2" t="str">
        <x:v>2021-07-21</x:v>
      </x:c>
      <x:c r="K158" s="2" t="str">
        <x:v>2026-08-28</x:v>
      </x:c>
      <x:c r="L158" s="2" t="str">
        <x:v>https://clinicaltrials.gov/study/NCT04971226</x:v>
      </x:c>
      <x:c r="M158" s="2"/>
      <x:c r="N158" s="2"/>
    </x:row>
    <x:row r="159">
      <x:c r="A159" s="2" t="str">
        <x:v>Novartis</x:v>
      </x:c>
      <x:c r="B159" s="2" t="str">
        <x:v>NCT03650114</x:v>
      </x:c>
      <x:c r="C159" s="2" t="str">
        <x:v>Long-term Safety, Tolerability and Effectiveness Study of Ofatumumab in Patients With Relapsing MS</x:v>
      </x:c>
      <x:c r="D159" s="2" t="str">
        <x:v>Novartis Pharmaceuticals</x:v>
      </x:c>
      <x:c r="E159" s="2" t="str">
        <x:v>Relapsing Multiple Sclerosis</x:v>
      </x:c>
      <x:c r="F159" s="2" t="str">
        <x:v>Other</x:v>
      </x:c>
      <x:c r="G159" s="2" t="str">
        <x:v>ACTIVE_NOT_RECRUITING</x:v>
      </x:c>
      <x:c r="H159" s="2" t="str">
        <x:v>PHASE3</x:v>
      </x:c>
      <x:c r="I159" s="2" t="str">
        <x:v>Ofatumumab; Tetanus toxoid (TT) containing vaccine (Td, Tdap); 13-valent pneumococcal conjugate vaccine (13-PCV); 23-valent pneumococcal polysaccharide vaccine (23-PPV); Seasonal Quadrivalent influenza vaccine; Keyhole limpet hemocyanin (KLH) neo-antigen</x:v>
      </x:c>
      <x:c r="J159" s="2" t="str">
        <x:v>2018-08-28</x:v>
      </x:c>
      <x:c r="K159" s="2" t="str">
        <x:v>2026-05-27</x:v>
      </x:c>
      <x:c r="L159" s="2" t="str">
        <x:v>https://clinicaltrials.gov/study/NCT03650114</x:v>
      </x:c>
      <x:c r="M159" s="2"/>
      <x:c r="N159" s="2"/>
    </x:row>
    <x:row r="160">
      <x:c r="A160" s="2" t="str">
        <x:v>Novartis</x:v>
      </x:c>
      <x:c r="B160" s="2" t="str">
        <x:v>NCT06042478</x:v>
      </x:c>
      <x:c r="C160" s="2" t="str">
        <x:v>Phase 3b Study to Assess the Efficacy, Safety, and Tolerability of Remibrutinib in Comparison to Placebo, With Omalizumab as Active Control, in Adult CSU Patients, Followed by an Open-label 52-week Optional Extension.</x:v>
      </x:c>
      <x:c r="D160" s="2" t="str">
        <x:v>Novartis Pharmaceuticals</x:v>
      </x:c>
      <x:c r="E160" s="2" t="str">
        <x:v>Chronic Spontaneous Urticaria</x:v>
      </x:c>
      <x:c r="F160" s="2" t="str">
        <x:v>Other</x:v>
      </x:c>
      <x:c r="G160" s="2" t="str">
        <x:v>ACTIVE_NOT_RECRUITING</x:v>
      </x:c>
      <x:c r="H160" s="2" t="str">
        <x:v>PHASE3</x:v>
      </x:c>
      <x:c r="I160" s="2" t="str">
        <x:v>Remibrutinib; Placebo to remibrutinib; Placebo to omalizumab; Omalizumab</x:v>
      </x:c>
      <x:c r="J160" s="2" t="str">
        <x:v>2023-09-18</x:v>
      </x:c>
      <x:c r="K160" s="2" t="str">
        <x:v>2026-10-14</x:v>
      </x:c>
      <x:c r="L160" s="2" t="str">
        <x:v>https://clinicaltrials.gov/study/NCT06042478</x:v>
      </x:c>
      <x:c r="M160" s="2"/>
      <x:c r="N160" s="2"/>
    </x:row>
    <x:row r="161">
      <x:c r="A161" s="2" t="str">
        <x:v>Novartis</x:v>
      </x:c>
      <x:c r="B161" s="2" t="str">
        <x:v>NCT05360446</x:v>
      </x:c>
      <x:c r="C161" s="2" t="str">
        <x:v>Coronary Computed Tomography Study to Assess the Effect of Inclisiran in Addition to Maximally Tolerated Statin Therapy on Atherosclerotic Plaque Progression in Participants With a Diagnosis of Non-obstructive Coronary Artery Disease Without Previous Cardiovascular Events</x:v>
      </x:c>
      <x:c r="D161" s="2" t="str">
        <x:v>Novartis Pharmaceuticals</x:v>
      </x:c>
      <x:c r="E161" s="2" t="str">
        <x:v>Coronary Artery Disease</x:v>
      </x:c>
      <x:c r="F161" s="2" t="str">
        <x:v>Other</x:v>
      </x:c>
      <x:c r="G161" s="2" t="str">
        <x:v>ACTIVE_NOT_RECRUITING</x:v>
      </x:c>
      <x:c r="H161" s="2" t="str">
        <x:v>PHASE3</x:v>
      </x:c>
      <x:c r="I161" s="2" t="str">
        <x:v>Inclisiran sodium 300 mg; Placebo</x:v>
      </x:c>
      <x:c r="J161" s="2" t="str">
        <x:v>2022-05-04</x:v>
      </x:c>
      <x:c r="K161" s="2" t="str">
        <x:v>2026-10-05</x:v>
      </x:c>
      <x:c r="L161" s="2" t="str">
        <x:v>https://clinicaltrials.gov/study/NCT05360446</x:v>
      </x:c>
      <x:c r="M161" s="2"/>
      <x:c r="N161" s="2"/>
    </x:row>
    <x:row r="162">
      <x:c r="A162" s="2" t="str">
        <x:v>Novartis</x:v>
      </x:c>
      <x:c r="B162" s="2" t="str">
        <x:v>NCT05852938</x:v>
      </x:c>
      <x:c r="C162" s="2" t="str">
        <x:v>A Study of Zigakibart in Adults With IgA Nephropathy</x:v>
      </x:c>
      <x:c r="D162" s="2" t="str">
        <x:v>Novartis Pharmaceuticals</x:v>
      </x:c>
      <x:c r="E162" s="2" t="str">
        <x:v>IgA Nephropathy; Immunoglobulin A Nephropathy</x:v>
      </x:c>
      <x:c r="F162" s="2" t="str">
        <x:v>Other</x:v>
      </x:c>
      <x:c r="G162" s="2" t="str">
        <x:v>ACTIVE_NOT_RECRUITING</x:v>
      </x:c>
      <x:c r="H162" s="2" t="str">
        <x:v>PHASE3</x:v>
      </x:c>
      <x:c r="I162" s="2" t="str">
        <x:v>BION-1301; Placebo</x:v>
      </x:c>
      <x:c r="J162" s="2" t="str">
        <x:v>2023-05-10</x:v>
      </x:c>
      <x:c r="K162" s="2" t="str">
        <x:v>2026-04-01</x:v>
      </x:c>
      <x:c r="L162" s="2" t="str">
        <x:v>https://clinicaltrials.gov/study/NCT05852938</x:v>
      </x:c>
      <x:c r="M162" s="2"/>
      <x:c r="N162" s="2"/>
    </x:row>
    <x:row r="163">
      <x:c r="A163" s="2" t="str">
        <x:v>Novartis</x:v>
      </x:c>
      <x:c r="B163" s="2" t="str">
        <x:v>NCT05349214</x:v>
      </x:c>
      <x:c r="C163" s="2" t="str">
        <x:v>Three-arm Study to Assess Efficacy and Safety of Ianalumab (VAY736) in Patients With Active Sjogren's Syndrome</x:v>
      </x:c>
      <x:c r="D163" s="2" t="str">
        <x:v>Novartis Pharmaceuticals</x:v>
      </x:c>
      <x:c r="E163" s="2" t="str">
        <x:v>Sjogren Syndrome</x:v>
      </x:c>
      <x:c r="F163" s="2" t="str">
        <x:v>Other</x:v>
      </x:c>
      <x:c r="G163" s="2" t="str">
        <x:v>ACTIVE_NOT_RECRUITING</x:v>
      </x:c>
      <x:c r="H163" s="2" t="str">
        <x:v>PHASE3</x:v>
      </x:c>
      <x:c r="I163" s="2" t="str">
        <x:v>VAY736; Placebo</x:v>
      </x:c>
      <x:c r="J163" s="2" t="str">
        <x:v>2022-04-27</x:v>
      </x:c>
      <x:c r="K163" s="2" t="str">
        <x:v>2026-06-17</x:v>
      </x:c>
      <x:c r="L163" s="2" t="str">
        <x:v>https://clinicaltrials.gov/study/NCT05349214</x:v>
      </x:c>
      <x:c r="M163" s="2"/>
      <x:c r="N163" s="2"/>
    </x:row>
    <x:row r="164">
      <x:c r="A164" s="2" t="str">
        <x:v>Novartis</x:v>
      </x:c>
      <x:c r="B164" s="2" t="str">
        <x:v>NCT04573478</x:v>
      </x:c>
      <x:c r="C164" s="2" t="str">
        <x:v>Atrasentan in Patients With IgA Nephropathy</x:v>
      </x:c>
      <x:c r="D164" s="2" t="str">
        <x:v>Novartis Pharmaceuticals</x:v>
      </x:c>
      <x:c r="E164" s="2" t="str">
        <x:v>IgA Nephropathy; Immunoglobulin A Nephropathy</x:v>
      </x:c>
      <x:c r="F164" s="2" t="str">
        <x:v>Other</x:v>
      </x:c>
      <x:c r="G164" s="2" t="str">
        <x:v>ACTIVE_NOT_RECRUITING</x:v>
      </x:c>
      <x:c r="H164" s="2" t="str">
        <x:v>PHASE3</x:v>
      </x:c>
      <x:c r="I164" s="2" t="str">
        <x:v>Atrasentan; Placebo; Zigakibart</x:v>
      </x:c>
      <x:c r="J164" s="2" t="str">
        <x:v>2020-10-05</x:v>
      </x:c>
      <x:c r="K164" s="2" t="str">
        <x:v>2026-06-04</x:v>
      </x:c>
      <x:c r="L164" s="2" t="str">
        <x:v>https://clinicaltrials.gov/study/NCT04573478</x:v>
      </x:c>
      <x:c r="M164" s="2"/>
      <x:c r="N164" s="2"/>
    </x:row>
    <x:row r="165">
      <x:c r="A165" s="2" t="str">
        <x:v>Novartis</x:v>
      </x:c>
      <x:c r="B165" s="2" t="str">
        <x:v>NCT05755386</x:v>
      </x:c>
      <x:c r="C165" s="2" t="str">
        <x:v>Study of Efficacy and Safety of Iptacopan in Participants With IC-MPGN</x:v>
      </x:c>
      <x:c r="D165" s="2" t="str">
        <x:v>Novartis Pharmaceuticals</x:v>
      </x:c>
      <x:c r="E165" s="2" t="str">
        <x:v>IC-MPGN</x:v>
      </x:c>
      <x:c r="F165" s="2" t="str">
        <x:v>Other</x:v>
      </x:c>
      <x:c r="G165" s="2" t="str">
        <x:v>RECRUITING</x:v>
      </x:c>
      <x:c r="H165" s="2" t="str">
        <x:v>PHASE3</x:v>
      </x:c>
      <x:c r="I165" s="2" t="str">
        <x:v>Placebo; iptacopan</x:v>
      </x:c>
      <x:c r="J165" s="2" t="str">
        <x:v>2023-03-06</x:v>
      </x:c>
      <x:c r="K165" s="2" t="str">
        <x:v>2026-07-13</x:v>
      </x:c>
      <x:c r="L165" s="2" t="str">
        <x:v>https://clinicaltrials.gov/study/NCT05755386</x:v>
      </x:c>
      <x:c r="M165" s="2"/>
      <x:c r="N165" s="2"/>
    </x:row>
    <x:row r="166">
      <x:c r="A166" s="2" t="str">
        <x:v>Novartis</x:v>
      </x:c>
      <x:c r="B166" s="2" t="str">
        <x:v>NCT05156281</x:v>
      </x:c>
      <x:c r="C166" s="2" t="str">
        <x:v>Efficacy and Safety of Remibrutinib Compared to Teriflunomide in Participants With Relapsing Multiple Sclerosis (RMS) (REMODEL-2)</x:v>
      </x:c>
      <x:c r="D166" s="2" t="str">
        <x:v>Novartis Pharmaceuticals</x:v>
      </x:c>
      <x:c r="E166" s="2" t="str">
        <x:v>Relapsing Multiple Sclerosis</x:v>
      </x:c>
      <x:c r="F166" s="2" t="str">
        <x:v>Other</x:v>
      </x:c>
      <x:c r="G166" s="2" t="str">
        <x:v>ACTIVE_NOT_RECRUITING</x:v>
      </x:c>
      <x:c r="H166" s="2" t="str">
        <x:v>PHASE3</x:v>
      </x:c>
      <x:c r="I166" s="2" t="str">
        <x:v>Remibrutinib; Teriflunomide</x:v>
      </x:c>
      <x:c r="J166" s="2" t="str">
        <x:v>2021-12-14</x:v>
      </x:c>
      <x:c r="K166" s="2" t="str">
        <x:v>2026-08-18</x:v>
      </x:c>
      <x:c r="L166" s="2" t="str">
        <x:v>https://clinicaltrials.gov/study/NCT05156281</x:v>
      </x:c>
      <x:c r="M166" s="2"/>
      <x:c r="N166" s="2"/>
    </x:row>
    <x:row r="167">
      <x:c r="A167" s="2" t="str">
        <x:v>Sun Pharma</x:v>
      </x:c>
      <x:c r="B167" s="2" t="str">
        <x:v>NCT04991116</x:v>
      </x:c>
      <x:c r="C167" s="2" t="str">
        <x:v>Long Term Evaluation of Safety and Efficacy of Tildrakizumab in Patients With Psoriatic Arthritis</x:v>
      </x:c>
      <x:c r="D167" s="2" t="str">
        <x:v>Sun Pharmaceutical Industries Limited</x:v>
      </x:c>
      <x:c r="E167" s="2" t="str">
        <x:v>Psoriatic Arthritis</x:v>
      </x:c>
      <x:c r="F167" s="2" t="str">
        <x:v>Other</x:v>
      </x:c>
      <x:c r="G167" s="2" t="str">
        <x:v>ACTIVE_NOT_RECRUITING</x:v>
      </x:c>
      <x:c r="H167" s="2" t="str">
        <x:v>PHASE3</x:v>
      </x:c>
      <x:c r="I167" s="2" t="str">
        <x:v>TILD sub-cutaneous (SC) injection</x:v>
      </x:c>
      <x:c r="J167" s="2" t="str">
        <x:v>2021-08-05</x:v>
      </x:c>
      <x:c r="K167" s="2" t="str">
        <x:v>2026-03-05</x:v>
      </x:c>
      <x:c r="L167" s="2" t="str">
        <x:v>https://clinicaltrials.gov/study/NCT04991116</x:v>
      </x:c>
      <x:c r="M167" s="2"/>
      <x:c r="N167" s="2"/>
    </x:row>
    <x:row r="168">
      <x:c r="A168" s="2" t="str">
        <x:v>Sun Pharma</x:v>
      </x:c>
      <x:c r="B168" s="2" t="str">
        <x:v>NCT03997786</x:v>
      </x:c>
      <x:c r="C168" s="2" t="str">
        <x:v>A Study of Tildrakizumab in Pediatric Subjects With Chronic Plaque Psoriasis</x:v>
      </x:c>
      <x:c r="D168" s="2" t="str">
        <x:v>Sun Pharmaceutical Industries Limited</x:v>
      </x:c>
      <x:c r="E168" s="2" t="str">
        <x:v>Moderate-to-severe Chronic Plaque Psoriasis</x:v>
      </x:c>
      <x:c r="F168" s="2" t="str">
        <x:v>Other</x:v>
      </x:c>
      <x:c r="G168" s="2" t="str">
        <x:v>ACTIVE_NOT_RECRUITING</x:v>
      </x:c>
      <x:c r="H168" s="2" t="str">
        <x:v>PHASE2; PHASE3</x:v>
      </x:c>
      <x:c r="I168" s="2" t="str">
        <x:v>Tildrakizumab; Placebo; Tildrakizumab; Tildrakizumab; Tildrakizumab; Etanercept; Placebo</x:v>
      </x:c>
      <x:c r="J168" s="2" t="str">
        <x:v>2019-06-25</x:v>
      </x:c>
      <x:c r="K168" s="2" t="str">
        <x:v>2026-04-15</x:v>
      </x:c>
      <x:c r="L168" s="2" t="str">
        <x:v>https://clinicaltrials.gov/study/NCT03997786</x:v>
      </x:c>
      <x:c r="M168" s="2"/>
      <x:c r="N168" s="2"/>
    </x:row>
    <x:row r="169">
      <x:c r="A169" s="2" t="str">
        <x:v>Sun Pharma</x:v>
      </x:c>
      <x:c r="B169" s="2" t="str">
        <x:v>NCT04314531</x:v>
      </x:c>
      <x:c r="C169" s="2" t="str">
        <x:v>Efficacy and Safety of Tildrakizumab Compared to Placebo in Anti-TNF naïve Subjects With Active Psoriatic Arthritis II (INSPIRE 2)</x:v>
      </x:c>
      <x:c r="D169" s="2" t="str">
        <x:v>Sun Pharmaceutical Industries Limited</x:v>
      </x:c>
      <x:c r="E169" s="2" t="str">
        <x:v>Active Psoriatic Arthritis</x:v>
      </x:c>
      <x:c r="F169" s="2" t="str">
        <x:v>Other</x:v>
      </x:c>
      <x:c r="G169" s="2" t="str">
        <x:v>ACTIVE_NOT_RECRUITING</x:v>
      </x:c>
      <x:c r="H169" s="2" t="str">
        <x:v>PHASE3</x:v>
      </x:c>
      <x:c r="I169" s="2" t="str">
        <x:v>TILD; matching placebo injections</x:v>
      </x:c>
      <x:c r="J169" s="2" t="str">
        <x:v>2020-03-19</x:v>
      </x:c>
      <x:c r="K169" s="2" t="str">
        <x:v>2026-03-10</x:v>
      </x:c>
      <x:c r="L169" s="2" t="str">
        <x:v>https://clinicaltrials.gov/study/NCT04314531</x:v>
      </x:c>
      <x:c r="M169" s="2"/>
      <x:c r="N169" s="2"/>
    </x:row>
    <x:row r="170">
      <x:c r="A170" s="2"/>
      <x:c r="B170" s="2"/>
      <x:c r="C170" s="2"/>
      <x:c r="D170" s="2"/>
      <x:c r="E170" s="2"/>
      <x:c r="F170" s="2"/>
      <x:c r="G170" s="2"/>
      <x:c r="H170" s="2"/>
      <x:c r="I170" s="2"/>
      <x:c r="J170" s="2"/>
      <x:c r="K170" s="2"/>
      <x:c r="L170" s="2"/>
      <x:c r="M170" s="2"/>
      <x:c r="N170" s="2"/>
    </x:row>
    <x:row r="171">
      <x:c r="A171" s="2"/>
      <x:c r="B171" s="2"/>
      <x:c r="C171" s="2"/>
      <x:c r="D171" s="2"/>
      <x:c r="E171" s="2"/>
      <x:c r="F171" s="2"/>
      <x:c r="G171" s="2"/>
      <x:c r="H171" s="2"/>
      <x:c r="I171" s="2"/>
      <x:c r="J171" s="2"/>
      <x:c r="K171" s="2"/>
      <x:c r="L171" s="2"/>
      <x:c r="M171" s="2"/>
      <x:c r="N171" s="2"/>
    </x:row>
    <x:row r="172">
      <x:c r="A172" s="2"/>
      <x:c r="B172" s="2"/>
      <x:c r="C172" s="2"/>
      <x:c r="D172" s="2"/>
      <x:c r="E172" s="2"/>
      <x:c r="F172" s="2"/>
      <x:c r="G172" s="2"/>
      <x:c r="H172" s="2"/>
      <x:c r="I172" s="2"/>
      <x:c r="J172" s="2"/>
      <x:c r="K172" s="2"/>
      <x:c r="L172" s="2"/>
      <x:c r="M172" s="2"/>
      <x:c r="N172" s="2"/>
    </x:row>
    <x:row r="173">
      <x:c r="A173" s="2"/>
      <x:c r="B173" s="2"/>
      <x:c r="C173" s="2"/>
      <x:c r="D173" s="2"/>
      <x:c r="E173" s="2"/>
      <x:c r="F173" s="2"/>
      <x:c r="G173" s="2"/>
      <x:c r="H173" s="2"/>
      <x:c r="I173" s="2"/>
      <x:c r="J173" s="2"/>
      <x:c r="K173" s="2"/>
      <x:c r="L173" s="2"/>
      <x:c r="M173" s="2"/>
      <x:c r="N173" s="2"/>
    </x:row>
    <x:row r="174">
      <x:c r="A174" s="2"/>
      <x:c r="B174" s="2"/>
      <x:c r="C174" s="2"/>
      <x:c r="D174" s="2"/>
      <x:c r="E174" s="2"/>
      <x:c r="F174" s="2"/>
      <x:c r="G174" s="2"/>
      <x:c r="H174" s="2"/>
      <x:c r="I174" s="2"/>
      <x:c r="J174" s="2"/>
      <x:c r="K174" s="2"/>
      <x:c r="L174" s="2"/>
      <x:c r="M174" s="2"/>
      <x:c r="N174" s="2"/>
    </x:row>
    <x:row r="175">
      <x:c r="A175" s="2"/>
      <x:c r="B175" s="2"/>
      <x:c r="C175" s="2"/>
      <x:c r="D175" s="2"/>
      <x:c r="E175" s="2"/>
      <x:c r="F175" s="2"/>
      <x:c r="G175" s="2"/>
      <x:c r="H175" s="2"/>
      <x:c r="I175" s="2"/>
      <x:c r="J175" s="2"/>
      <x:c r="K175" s="2"/>
      <x:c r="L175" s="2"/>
      <x:c r="M175" s="2"/>
      <x:c r="N175" s="2"/>
    </x:row>
    <x:row r="176">
      <x:c r="A176" s="2"/>
      <x:c r="B176" s="2"/>
      <x:c r="C176" s="2"/>
      <x:c r="D176" s="2"/>
      <x:c r="E176" s="2"/>
      <x:c r="F176" s="2"/>
      <x:c r="G176" s="2"/>
      <x:c r="H176" s="2"/>
      <x:c r="I176" s="2"/>
      <x:c r="J176" s="2"/>
      <x:c r="K176" s="2"/>
      <x:c r="L176" s="2"/>
      <x:c r="M176" s="2"/>
      <x:c r="N176" s="2"/>
    </x:row>
    <x:row r="177">
      <x:c r="A177" s="2"/>
      <x:c r="B177" s="2"/>
      <x:c r="C177" s="2"/>
      <x:c r="D177" s="2"/>
      <x:c r="E177" s="2"/>
      <x:c r="F177" s="2"/>
      <x:c r="G177" s="2"/>
      <x:c r="H177" s="2"/>
      <x:c r="I177" s="2"/>
      <x:c r="J177" s="2"/>
      <x:c r="K177" s="2"/>
      <x:c r="L177" s="2"/>
      <x:c r="M177" s="2"/>
      <x:c r="N177" s="2"/>
    </x:row>
    <x:row r="178">
      <x:c r="A178" s="2"/>
      <x:c r="B178" s="2"/>
      <x:c r="C178" s="2"/>
      <x:c r="D178" s="2"/>
      <x:c r="E178" s="2"/>
      <x:c r="F178" s="2"/>
      <x:c r="G178" s="2"/>
      <x:c r="H178" s="2"/>
      <x:c r="I178" s="2"/>
      <x:c r="J178" s="2"/>
      <x:c r="K178" s="2"/>
      <x:c r="L178" s="2"/>
      <x:c r="M178" s="2"/>
      <x:c r="N178" s="2"/>
    </x:row>
    <x:row r="179">
      <x:c r="A179" s="2"/>
      <x:c r="B179" s="2"/>
      <x:c r="C179" s="2"/>
      <x:c r="D179" s="2"/>
      <x:c r="E179" s="2"/>
      <x:c r="F179" s="2"/>
      <x:c r="G179" s="2"/>
      <x:c r="H179" s="2"/>
      <x:c r="I179" s="2"/>
      <x:c r="J179" s="2"/>
      <x:c r="K179" s="2"/>
      <x:c r="L179" s="2"/>
      <x:c r="M179" s="2"/>
      <x:c r="N179" s="2"/>
    </x:row>
    <x:row r="180">
      <x:c r="A180" s="2"/>
      <x:c r="B180" s="2"/>
      <x:c r="C180" s="2"/>
      <x:c r="D180" s="2"/>
      <x:c r="E180" s="2"/>
      <x:c r="F180" s="2"/>
      <x:c r="G180" s="2"/>
      <x:c r="H180" s="2"/>
      <x:c r="I180" s="2"/>
      <x:c r="J180" s="2"/>
      <x:c r="K180" s="2"/>
      <x:c r="L180" s="2"/>
      <x:c r="M180" s="2"/>
      <x:c r="N180" s="2"/>
    </x:row>
    <x:row r="181">
      <x:c r="A181" s="2"/>
      <x:c r="B181" s="2"/>
      <x:c r="C181" s="2"/>
      <x:c r="D181" s="2"/>
      <x:c r="E181" s="2"/>
      <x:c r="F181" s="2"/>
      <x:c r="G181" s="2"/>
      <x:c r="H181" s="2"/>
      <x:c r="I181" s="2"/>
      <x:c r="J181" s="2"/>
      <x:c r="K181" s="2"/>
      <x:c r="L181" s="2"/>
      <x:c r="M181" s="2"/>
      <x:c r="N181" s="2"/>
    </x:row>
    <x:row r="182">
      <x:c r="A182" s="2"/>
      <x:c r="B182" s="2"/>
      <x:c r="C182" s="2"/>
      <x:c r="D182" s="2"/>
      <x:c r="E182" s="2"/>
      <x:c r="F182" s="2"/>
      <x:c r="G182" s="2"/>
      <x:c r="H182" s="2"/>
      <x:c r="I182" s="2"/>
      <x:c r="J182" s="2"/>
      <x:c r="K182" s="2"/>
      <x:c r="L182" s="2"/>
      <x:c r="M182" s="2"/>
      <x:c r="N182" s="2"/>
    </x:row>
    <x:row r="183">
      <x:c r="A183" s="2"/>
      <x:c r="B183" s="2"/>
      <x:c r="C183" s="2"/>
      <x:c r="D183" s="2"/>
      <x:c r="E183" s="2"/>
      <x:c r="F183" s="2"/>
      <x:c r="G183" s="2"/>
      <x:c r="H183" s="2"/>
      <x:c r="I183" s="2"/>
      <x:c r="J183" s="2"/>
      <x:c r="K183" s="2"/>
      <x:c r="L183" s="2"/>
      <x:c r="M183" s="2"/>
      <x:c r="N183" s="2"/>
    </x:row>
    <x:row r="184">
      <x:c r="A184" s="2"/>
      <x:c r="B184" s="2"/>
      <x:c r="C184" s="2"/>
      <x:c r="D184" s="2"/>
      <x:c r="E184" s="2"/>
      <x:c r="F184" s="2"/>
      <x:c r="G184" s="2"/>
      <x:c r="H184" s="2"/>
      <x:c r="I184" s="2"/>
      <x:c r="J184" s="2"/>
      <x:c r="K184" s="2"/>
      <x:c r="L184" s="2"/>
      <x:c r="M184" s="2"/>
      <x:c r="N184" s="2"/>
    </x:row>
    <x:row r="185">
      <x:c r="A185" s="2"/>
      <x:c r="B185" s="2"/>
      <x:c r="C185" s="2"/>
      <x:c r="D185" s="2"/>
      <x:c r="E185" s="2"/>
      <x:c r="F185" s="2"/>
      <x:c r="G185" s="2"/>
      <x:c r="H185" s="2"/>
      <x:c r="I185" s="2"/>
      <x:c r="J185" s="2"/>
      <x:c r="K185" s="2"/>
      <x:c r="L185" s="2"/>
      <x:c r="M185" s="2"/>
      <x:c r="N185" s="2"/>
    </x:row>
    <x:row r="186">
      <x:c r="A186" s="2"/>
      <x:c r="B186" s="2"/>
      <x:c r="C186" s="2"/>
      <x:c r="D186" s="2"/>
      <x:c r="E186" s="2"/>
      <x:c r="F186" s="2"/>
      <x:c r="G186" s="2"/>
      <x:c r="H186" s="2"/>
      <x:c r="I186" s="2"/>
      <x:c r="J186" s="2"/>
      <x:c r="K186" s="2"/>
      <x:c r="L186" s="2"/>
      <x:c r="M186" s="2"/>
      <x:c r="N186" s="2"/>
    </x:row>
    <x:row r="187">
      <x:c r="A187" s="2"/>
      <x:c r="B187" s="2"/>
      <x:c r="C187" s="2"/>
      <x:c r="D187" s="2"/>
      <x:c r="E187" s="2"/>
      <x:c r="F187" s="2"/>
      <x:c r="G187" s="2"/>
      <x:c r="H187" s="2"/>
      <x:c r="I187" s="2"/>
      <x:c r="J187" s="2"/>
      <x:c r="K187" s="2"/>
      <x:c r="L187" s="2"/>
      <x:c r="M187" s="2"/>
      <x:c r="N187" s="2"/>
    </x:row>
    <x:row r="188">
      <x:c r="A188" s="2"/>
      <x:c r="B188" s="2"/>
      <x:c r="C188" s="2"/>
      <x:c r="D188" s="2"/>
      <x:c r="E188" s="2"/>
      <x:c r="F188" s="2"/>
      <x:c r="G188" s="2"/>
      <x:c r="H188" s="2"/>
      <x:c r="I188" s="2"/>
      <x:c r="J188" s="2"/>
      <x:c r="K188" s="2"/>
      <x:c r="L188" s="2"/>
      <x:c r="M188" s="2"/>
      <x:c r="N188" s="2"/>
    </x:row>
    <x:row r="189">
      <x:c r="A189" s="2"/>
      <x:c r="B189" s="2"/>
      <x:c r="C189" s="2"/>
      <x:c r="D189" s="2"/>
      <x:c r="E189" s="2"/>
      <x:c r="F189" s="2"/>
      <x:c r="G189" s="2"/>
      <x:c r="H189" s="2"/>
      <x:c r="I189" s="2"/>
      <x:c r="J189" s="2"/>
      <x:c r="K189" s="2"/>
      <x:c r="L189" s="2"/>
      <x:c r="M189" s="2"/>
      <x:c r="N189" s="2"/>
    </x:row>
    <x:row r="190">
      <x:c r="A190" s="2"/>
      <x:c r="B190" s="2"/>
      <x:c r="C190" s="2"/>
      <x:c r="D190" s="2"/>
      <x:c r="E190" s="2"/>
      <x:c r="F190" s="2"/>
      <x:c r="G190" s="2"/>
      <x:c r="H190" s="2"/>
      <x:c r="I190" s="2"/>
      <x:c r="J190" s="2"/>
      <x:c r="K190" s="2"/>
      <x:c r="L190" s="2"/>
      <x:c r="M190" s="2"/>
      <x:c r="N190" s="2"/>
    </x:row>
    <x:row r="191">
      <x:c r="A191" s="2"/>
      <x:c r="B191" s="2"/>
      <x:c r="C191" s="2"/>
      <x:c r="D191" s="2"/>
      <x:c r="E191" s="2"/>
      <x:c r="F191" s="2"/>
      <x:c r="G191" s="2"/>
      <x:c r="H191" s="2"/>
      <x:c r="I191" s="2"/>
      <x:c r="J191" s="2"/>
      <x:c r="K191" s="2"/>
      <x:c r="L191" s="2"/>
      <x:c r="M191" s="2"/>
      <x:c r="N191" s="2"/>
    </x:row>
    <x:row r="192">
      <x:c r="A192" s="2"/>
      <x:c r="B192" s="2"/>
      <x:c r="C192" s="2"/>
      <x:c r="D192" s="2"/>
      <x:c r="E192" s="2"/>
      <x:c r="F192" s="2"/>
      <x:c r="G192" s="2"/>
      <x:c r="H192" s="2"/>
      <x:c r="I192" s="2"/>
      <x:c r="J192" s="2"/>
      <x:c r="K192" s="2"/>
      <x:c r="L192" s="2"/>
      <x:c r="M192" s="2"/>
      <x:c r="N192" s="2"/>
    </x:row>
    <x:row r="193">
      <x:c r="A193" s="2"/>
      <x:c r="B193" s="2"/>
      <x:c r="C193" s="2"/>
      <x:c r="D193" s="2"/>
      <x:c r="E193" s="2"/>
      <x:c r="F193" s="2"/>
      <x:c r="G193" s="2"/>
      <x:c r="H193" s="2"/>
      <x:c r="I193" s="2"/>
      <x:c r="J193" s="2"/>
      <x:c r="K193" s="2"/>
      <x:c r="L193" s="2"/>
      <x:c r="M193" s="2"/>
      <x:c r="N193" s="2"/>
    </x:row>
    <x:row r="194">
      <x:c r="A194" s="2"/>
      <x:c r="B194" s="2"/>
      <x:c r="C194" s="2"/>
      <x:c r="D194" s="2"/>
      <x:c r="E194" s="2"/>
      <x:c r="F194" s="2"/>
      <x:c r="G194" s="2"/>
      <x:c r="H194" s="2"/>
      <x:c r="I194" s="2"/>
      <x:c r="J194" s="2"/>
      <x:c r="K194" s="2"/>
      <x:c r="L194" s="2"/>
      <x:c r="M194" s="2"/>
      <x:c r="N194" s="2"/>
    </x:row>
    <x:row r="195">
      <x:c r="A195" s="2"/>
      <x:c r="B195" s="2"/>
      <x:c r="C195" s="2"/>
      <x:c r="D195" s="2"/>
      <x:c r="E195" s="2"/>
      <x:c r="F195" s="2"/>
      <x:c r="G195" s="2"/>
      <x:c r="H195" s="2"/>
      <x:c r="I195" s="2"/>
      <x:c r="J195" s="2"/>
      <x:c r="K195" s="2"/>
      <x:c r="L195" s="2"/>
      <x:c r="M195" s="2"/>
      <x:c r="N195" s="2"/>
    </x:row>
    <x:row r="196">
      <x:c r="A196" s="2"/>
      <x:c r="B196" s="2"/>
      <x:c r="C196" s="2"/>
      <x:c r="D196" s="2"/>
      <x:c r="E196" s="2"/>
      <x:c r="F196" s="2"/>
      <x:c r="G196" s="2"/>
      <x:c r="H196" s="2"/>
      <x:c r="I196" s="2"/>
      <x:c r="J196" s="2"/>
      <x:c r="K196" s="2"/>
      <x:c r="L196" s="2"/>
      <x:c r="M196" s="2"/>
      <x:c r="N196" s="2"/>
    </x:row>
    <x:row r="197">
      <x:c r="A197" s="2"/>
      <x:c r="B197" s="2"/>
      <x:c r="C197" s="2"/>
      <x:c r="D197" s="2"/>
      <x:c r="E197" s="2"/>
      <x:c r="F197" s="2"/>
      <x:c r="G197" s="2"/>
      <x:c r="H197" s="2"/>
      <x:c r="I197" s="2"/>
      <x:c r="J197" s="2"/>
      <x:c r="K197" s="2"/>
      <x:c r="L197" s="2"/>
      <x:c r="M197" s="2"/>
      <x:c r="N197" s="2"/>
    </x:row>
    <x:row r="198">
      <x:c r="A198" s="2"/>
      <x:c r="B198" s="2"/>
      <x:c r="C198" s="2"/>
      <x:c r="D198" s="2"/>
      <x:c r="E198" s="2"/>
      <x:c r="F198" s="2"/>
      <x:c r="G198" s="2"/>
      <x:c r="H198" s="2"/>
      <x:c r="I198" s="2"/>
      <x:c r="J198" s="2"/>
      <x:c r="K198" s="2"/>
      <x:c r="L198" s="2"/>
      <x:c r="M198" s="2"/>
      <x:c r="N198" s="2"/>
    </x:row>
    <x:row r="199">
      <x:c r="A199" s="2"/>
      <x:c r="B199" s="2"/>
      <x:c r="C199" s="2"/>
      <x:c r="D199" s="2"/>
      <x:c r="E199" s="2"/>
      <x:c r="F199" s="2"/>
      <x:c r="G199" s="2"/>
      <x:c r="H199" s="2"/>
      <x:c r="I199" s="2"/>
      <x:c r="J199" s="2"/>
      <x:c r="K199" s="2"/>
      <x:c r="L199" s="2"/>
      <x:c r="M199" s="2"/>
      <x:c r="N199" s="2"/>
    </x:row>
    <x:row r="200">
      <x:c r="A200" s="2"/>
      <x:c r="B200" s="2"/>
      <x:c r="C200" s="2"/>
      <x:c r="D200" s="2"/>
      <x:c r="E200" s="2"/>
      <x:c r="F200" s="2"/>
      <x:c r="G200" s="2"/>
      <x:c r="H200" s="2"/>
      <x:c r="I200" s="2"/>
      <x:c r="J200" s="2"/>
      <x:c r="K200" s="2"/>
      <x:c r="L200" s="2"/>
      <x:c r="M200" s="2"/>
      <x:c r="N200" s="2"/>
    </x:row>
    <x:row r="201">
      <x:c r="A201" s="2"/>
      <x:c r="B201" s="2"/>
      <x:c r="C201" s="2"/>
      <x:c r="D201" s="2"/>
      <x:c r="E201" s="2"/>
      <x:c r="F201" s="2"/>
      <x:c r="G201" s="2"/>
      <x:c r="H201" s="2"/>
      <x:c r="I201" s="2"/>
      <x:c r="J201" s="2"/>
      <x:c r="K201" s="2"/>
      <x:c r="L201" s="2"/>
      <x:c r="M201" s="2"/>
      <x:c r="N201" s="2"/>
    </x:row>
    <x:row r="202">
      <x:c r="A202" s="2"/>
      <x:c r="B202" s="2"/>
      <x:c r="C202" s="2"/>
      <x:c r="D202" s="2"/>
      <x:c r="E202" s="2"/>
      <x:c r="F202" s="2"/>
      <x:c r="G202" s="2"/>
      <x:c r="H202" s="2"/>
      <x:c r="I202" s="2"/>
      <x:c r="J202" s="2"/>
      <x:c r="K202" s="2"/>
      <x:c r="L202" s="2"/>
      <x:c r="M202" s="2"/>
      <x:c r="N202" s="2"/>
    </x:row>
    <x:row r="203">
      <x:c r="A203" s="2"/>
      <x:c r="B203" s="2"/>
      <x:c r="C203" s="2"/>
      <x:c r="D203" s="2"/>
      <x:c r="E203" s="2"/>
      <x:c r="F203" s="2"/>
      <x:c r="G203" s="2"/>
      <x:c r="H203" s="2"/>
      <x:c r="I203" s="2"/>
      <x:c r="J203" s="2"/>
      <x:c r="K203" s="2"/>
      <x:c r="L203" s="2"/>
      <x:c r="M203" s="2"/>
      <x:c r="N203" s="2"/>
    </x:row>
    <x:row r="204">
      <x:c r="A204" s="2"/>
      <x:c r="B204" s="2"/>
      <x:c r="C204" s="2"/>
      <x:c r="D204" s="2"/>
      <x:c r="E204" s="2"/>
      <x:c r="F204" s="2"/>
      <x:c r="G204" s="2"/>
      <x:c r="H204" s="2"/>
      <x:c r="I204" s="2"/>
      <x:c r="J204" s="2"/>
      <x:c r="K204" s="2"/>
      <x:c r="L204" s="2"/>
      <x:c r="M204" s="2"/>
      <x:c r="N204" s="2"/>
    </x:row>
    <x:row r="205">
      <x:c r="A205" s="2"/>
      <x:c r="B205" s="2"/>
      <x:c r="C205" s="2"/>
      <x:c r="D205" s="2"/>
      <x:c r="E205" s="2"/>
      <x:c r="F205" s="2"/>
      <x:c r="G205" s="2"/>
      <x:c r="H205" s="2"/>
      <x:c r="I205" s="2"/>
      <x:c r="J205" s="2"/>
      <x:c r="K205" s="2"/>
      <x:c r="L205" s="2"/>
      <x:c r="M205" s="2"/>
      <x:c r="N205" s="2"/>
    </x:row>
    <x:row r="206">
      <x:c r="A206" s="2"/>
      <x:c r="B206" s="2"/>
      <x:c r="C206" s="2"/>
      <x:c r="D206" s="2"/>
      <x:c r="E206" s="2"/>
      <x:c r="F206" s="2"/>
      <x:c r="G206" s="2"/>
      <x:c r="H206" s="2"/>
      <x:c r="I206" s="2"/>
      <x:c r="J206" s="2"/>
      <x:c r="K206" s="2"/>
      <x:c r="L206" s="2"/>
      <x:c r="M206" s="2"/>
      <x:c r="N206" s="2"/>
    </x:row>
    <x:row r="207">
      <x:c r="A207" s="2"/>
      <x:c r="B207" s="2"/>
      <x:c r="C207" s="2"/>
      <x:c r="D207" s="2"/>
      <x:c r="E207" s="2"/>
      <x:c r="F207" s="2"/>
      <x:c r="G207" s="2"/>
      <x:c r="H207" s="2"/>
      <x:c r="I207" s="2"/>
      <x:c r="J207" s="2"/>
      <x:c r="K207" s="2"/>
      <x:c r="L207" s="2"/>
      <x:c r="M207" s="2"/>
      <x:c r="N207" s="2"/>
    </x:row>
    <x:row r="208">
      <x:c r="A208" s="2"/>
      <x:c r="B208" s="2"/>
      <x:c r="C208" s="2"/>
      <x:c r="D208" s="2"/>
      <x:c r="E208" s="2"/>
      <x:c r="F208" s="2"/>
      <x:c r="G208" s="2"/>
      <x:c r="H208" s="2"/>
      <x:c r="I208" s="2"/>
      <x:c r="J208" s="2"/>
      <x:c r="K208" s="2"/>
      <x:c r="L208" s="2"/>
      <x:c r="M208" s="2"/>
      <x:c r="N208" s="2"/>
    </x:row>
    <x:row r="209">
      <x:c r="A209" s="2"/>
      <x:c r="B209" s="2"/>
      <x:c r="C209" s="2"/>
      <x:c r="D209" s="2"/>
      <x:c r="E209" s="2"/>
      <x:c r="F209" s="2"/>
      <x:c r="G209" s="2"/>
      <x:c r="H209" s="2"/>
      <x:c r="I209" s="2"/>
      <x:c r="J209" s="2"/>
      <x:c r="K209" s="2"/>
      <x:c r="L209" s="2"/>
      <x:c r="M209" s="2"/>
      <x:c r="N209" s="2"/>
    </x:row>
    <x:row r="210">
      <x:c r="A210" s="2"/>
      <x:c r="B210" s="2"/>
      <x:c r="C210" s="2"/>
      <x:c r="D210" s="2"/>
      <x:c r="E210" s="2"/>
      <x:c r="F210" s="2"/>
      <x:c r="G210" s="2"/>
      <x:c r="H210" s="2"/>
      <x:c r="I210" s="2"/>
      <x:c r="J210" s="2"/>
      <x:c r="K210" s="2"/>
      <x:c r="L210" s="2"/>
      <x:c r="M210" s="2"/>
      <x:c r="N210" s="2"/>
    </x:row>
    <x:row r="211">
      <x:c r="A211" s="2"/>
      <x:c r="B211" s="2"/>
      <x:c r="C211" s="2"/>
      <x:c r="D211" s="2"/>
      <x:c r="E211" s="2"/>
      <x:c r="F211" s="2"/>
      <x:c r="G211" s="2"/>
      <x:c r="H211" s="2"/>
      <x:c r="I211" s="2"/>
      <x:c r="J211" s="2"/>
      <x:c r="K211" s="2"/>
      <x:c r="L211" s="2"/>
      <x:c r="M211" s="2"/>
      <x:c r="N211" s="2"/>
    </x:row>
    <x:row r="212">
      <x:c r="A212" s="2"/>
      <x:c r="B212" s="2"/>
      <x:c r="C212" s="2"/>
      <x:c r="D212" s="2"/>
      <x:c r="E212" s="2"/>
      <x:c r="F212" s="2"/>
      <x:c r="G212" s="2"/>
      <x:c r="H212" s="2"/>
      <x:c r="I212" s="2"/>
      <x:c r="J212" s="2"/>
      <x:c r="K212" s="2"/>
      <x:c r="L212" s="2"/>
      <x:c r="M212" s="2"/>
      <x:c r="N212" s="2"/>
    </x:row>
    <x:row r="213">
      <x:c r="A213" s="2"/>
      <x:c r="B213" s="2"/>
      <x:c r="C213" s="2"/>
      <x:c r="D213" s="2"/>
      <x:c r="E213" s="2"/>
      <x:c r="F213" s="2"/>
      <x:c r="G213" s="2"/>
      <x:c r="H213" s="2"/>
      <x:c r="I213" s="2"/>
      <x:c r="J213" s="2"/>
      <x:c r="K213" s="2"/>
      <x:c r="L213" s="2"/>
      <x:c r="M213" s="2"/>
      <x:c r="N213" s="2"/>
    </x:row>
    <x:row r="214">
      <x:c r="A214" s="2"/>
      <x:c r="B214" s="2"/>
      <x:c r="C214" s="2"/>
      <x:c r="D214" s="2"/>
      <x:c r="E214" s="2"/>
      <x:c r="F214" s="2"/>
      <x:c r="G214" s="2"/>
      <x:c r="H214" s="2"/>
      <x:c r="I214" s="2"/>
      <x:c r="J214" s="2"/>
      <x:c r="K214" s="2"/>
      <x:c r="L214" s="2"/>
      <x:c r="M214" s="2"/>
      <x:c r="N214" s="2"/>
    </x:row>
    <x:row r="215">
      <x:c r="A215" s="2"/>
      <x:c r="B215" s="2"/>
      <x:c r="C215" s="2"/>
      <x:c r="D215" s="2"/>
      <x:c r="E215" s="2"/>
      <x:c r="F215" s="2"/>
      <x:c r="G215" s="2"/>
      <x:c r="H215" s="2"/>
      <x:c r="I215" s="2"/>
      <x:c r="J215" s="2"/>
      <x:c r="K215" s="2"/>
      <x:c r="L215" s="2"/>
      <x:c r="M215" s="2"/>
      <x:c r="N215" s="2"/>
    </x:row>
    <x:row r="216">
      <x:c r="A216" s="2"/>
      <x:c r="B216" s="2"/>
      <x:c r="C216" s="2"/>
      <x:c r="D216" s="2"/>
      <x:c r="E216" s="2"/>
      <x:c r="F216" s="2"/>
      <x:c r="G216" s="2"/>
      <x:c r="H216" s="2"/>
      <x:c r="I216" s="2"/>
      <x:c r="J216" s="2"/>
      <x:c r="K216" s="2"/>
      <x:c r="L216" s="2"/>
      <x:c r="M216" s="2"/>
      <x:c r="N216" s="2"/>
    </x:row>
    <x:row r="217">
      <x:c r="A217" s="2"/>
      <x:c r="B217" s="2"/>
      <x:c r="C217" s="2"/>
      <x:c r="D217" s="2"/>
      <x:c r="E217" s="2"/>
      <x:c r="F217" s="2"/>
      <x:c r="G217" s="2"/>
      <x:c r="H217" s="2"/>
      <x:c r="I217" s="2"/>
      <x:c r="J217" s="2"/>
      <x:c r="K217" s="2"/>
      <x:c r="L217" s="2"/>
      <x:c r="M217" s="2"/>
      <x:c r="N217" s="2"/>
    </x:row>
    <x:row r="218">
      <x:c r="A218" s="2"/>
      <x:c r="B218" s="2"/>
      <x:c r="C218" s="2"/>
      <x:c r="D218" s="2"/>
      <x:c r="E218" s="2"/>
      <x:c r="F218" s="2"/>
      <x:c r="G218" s="2"/>
      <x:c r="H218" s="2"/>
      <x:c r="I218" s="2"/>
      <x:c r="J218" s="2"/>
      <x:c r="K218" s="2"/>
      <x:c r="L218" s="2"/>
      <x:c r="M218" s="2"/>
      <x:c r="N218" s="2"/>
    </x:row>
    <x:row r="219">
      <x:c r="A219" s="2"/>
      <x:c r="B219" s="2"/>
      <x:c r="C219" s="2"/>
      <x:c r="D219" s="2"/>
      <x:c r="E219" s="2"/>
      <x:c r="F219" s="2"/>
      <x:c r="G219" s="2"/>
      <x:c r="H219" s="2"/>
      <x:c r="I219" s="2"/>
      <x:c r="J219" s="2"/>
      <x:c r="K219" s="2"/>
      <x:c r="L219" s="2"/>
      <x:c r="M219" s="2"/>
      <x:c r="N219" s="2"/>
    </x:row>
    <x:row r="220">
      <x:c r="A220" s="2"/>
      <x:c r="B220" s="2"/>
      <x:c r="C220" s="2"/>
      <x:c r="D220" s="2"/>
      <x:c r="E220" s="2"/>
      <x:c r="F220" s="2"/>
      <x:c r="G220" s="2"/>
      <x:c r="H220" s="2"/>
      <x:c r="I220" s="2"/>
      <x:c r="J220" s="2"/>
      <x:c r="K220" s="2"/>
      <x:c r="L220" s="2"/>
      <x:c r="M220" s="2"/>
      <x:c r="N220" s="2"/>
    </x:row>
  </x:sheetData>
  <x:mergeCells>
    <x:mergeCell ref="A1:L1"/>
    <x:mergeCell ref="A2:L2"/>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135" hidden="0" customWidth="1"/>
  </x:cols>
  <x:sheetData>
    <x:row r="1">
      <x:c r="A1" s="15" t="str">
        <x:v>Method / limitation</x:v>
      </x:c>
      <x:c r="B1" s="15" t="str">
        <x:v>Detail</x:v>
      </x:c>
      <x:c r="C1" s="2"/>
      <x:c r="D1" s="2"/>
      <x:c r="E1" s="2"/>
      <x:c r="F1" s="2"/>
      <x:c r="G1" s="2"/>
      <x:c r="H1" s="2"/>
      <x:c r="I1" s="2"/>
      <x:c r="J1" s="2"/>
      <x:c r="K1" s="2"/>
      <x:c r="L1" s="2"/>
      <x:c r="M1" s="2"/>
      <x:c r="N1" s="2"/>
    </x:row>
    <x:row r="2" ht="44" customHeight="1">
      <x:c r="A2" s="6" t="str">
        <x:v>Screen date</x:v>
      </x:c>
      <x:c r="B2" s="6" t="str">
        <x:v>21 October 2026</x:v>
      </x:c>
      <x:c r="C2" s="2"/>
      <x:c r="D2" s="2"/>
      <x:c r="E2" s="2"/>
      <x:c r="F2" s="2"/>
      <x:c r="G2" s="2"/>
      <x:c r="H2" s="2"/>
      <x:c r="I2" s="2"/>
      <x:c r="J2" s="2"/>
      <x:c r="K2" s="2"/>
      <x:c r="L2" s="2"/>
      <x:c r="M2" s="2"/>
      <x:c r="N2" s="2"/>
    </x:row>
    <x:row r="3" ht="44" customHeight="1">
      <x:c r="A3" s="6" t="str">
        <x:v>Question</x:v>
      </x:c>
      <x:c r="B3" s="6" t="str">
        <x:v>How strongly is selected MNC late-stage clinical activity linked to India concentrated in oncology and respiratory?</x:v>
      </x:c>
      <x:c r="C3" s="2"/>
      <x:c r="D3" s="2"/>
      <x:c r="E3" s="2"/>
      <x:c r="F3" s="2"/>
      <x:c r="G3" s="2"/>
      <x:c r="H3" s="2"/>
      <x:c r="I3" s="2"/>
      <x:c r="J3" s="2"/>
      <x:c r="K3" s="2"/>
      <x:c r="L3" s="2"/>
      <x:c r="M3" s="2"/>
      <x:c r="N3" s="2"/>
    </x:row>
    <x:row r="4" ht="44" customHeight="1">
      <x:c r="A4" s="6" t="str">
        <x:v>Companies screened</x:v>
      </x:c>
      <x:c r="B4" s="6" t="str">
        <x:v>GSK, AstraZeneca, Pfizer, Novartis, Sanofi and Abbott. Abbott has no qualifying study returned and is not in the percentage chart.</x:v>
      </x:c>
      <x:c r="C4" s="2"/>
      <x:c r="D4" s="2"/>
      <x:c r="E4" s="2"/>
      <x:c r="F4" s="2"/>
      <x:c r="G4" s="2"/>
      <x:c r="H4" s="2"/>
      <x:c r="I4" s="2"/>
      <x:c r="J4" s="2"/>
      <x:c r="K4" s="2"/>
      <x:c r="L4" s="2"/>
      <x:c r="M4" s="2"/>
      <x:c r="N4" s="2"/>
    </x:row>
    <x:row r="5" ht="44" customHeight="1">
      <x:c r="A5" s="6" t="str">
        <x:v>Geography</x:v>
      </x:c>
      <x:c r="B5" s="6" t="str">
        <x:v>At least one study location has country exactly India. Global overall status is used; this does not establish that the India site is currently recruiting.</x:v>
      </x:c>
      <x:c r="C5" s="2"/>
      <x:c r="D5" s="2"/>
      <x:c r="E5" s="2"/>
      <x:c r="F5" s="2"/>
      <x:c r="G5" s="2"/>
      <x:c r="H5" s="2"/>
      <x:c r="I5" s="2"/>
      <x:c r="J5" s="2"/>
      <x:c r="K5" s="2"/>
      <x:c r="L5" s="2"/>
      <x:c r="M5" s="2"/>
      <x:c r="N5" s="2"/>
    </x:row>
    <x:row r="6" ht="44" customHeight="1">
      <x:c r="A6" s="6" t="str">
        <x:v>Trial inclusion</x:v>
      </x:c>
      <x:c r="B6" s="6" t="str">
        <x:v>Interventional studies with PHASE3 present and at least one DRUG, BIOLOGICAL or COMBINATION_PRODUCT intervention. Phase 2/3 qualifies if PHASE3 is present.</x:v>
      </x:c>
      <x:c r="C6" s="2"/>
      <x:c r="D6" s="2"/>
      <x:c r="E6" s="2"/>
      <x:c r="F6" s="2"/>
      <x:c r="G6" s="2"/>
      <x:c r="H6" s="2"/>
      <x:c r="I6" s="2"/>
      <x:c r="J6" s="2"/>
      <x:c r="K6" s="2"/>
      <x:c r="L6" s="2"/>
      <x:c r="M6" s="2"/>
      <x:c r="N6" s="2"/>
    </x:row>
    <x:row r="7" ht="44" customHeight="1">
      <x:c r="A7" s="6" t="str">
        <x:v>Status filter</x:v>
      </x:c>
      <x:c r="B7" s="6" t="str">
        <x:v>RECRUITING; ACTIVE_NOT_RECRUITING; NOT_YET_RECRUITING; ENROLLING_BY_INVITATION. Includes long-term follow-up and existing-product studies.</x:v>
      </x:c>
      <x:c r="C7" s="2"/>
      <x:c r="D7" s="2"/>
      <x:c r="E7" s="2"/>
      <x:c r="F7" s="2"/>
      <x:c r="G7" s="2"/>
      <x:c r="H7" s="2"/>
      <x:c r="I7" s="2"/>
      <x:c r="J7" s="2"/>
      <x:c r="K7" s="2"/>
      <x:c r="L7" s="2"/>
      <x:c r="M7" s="2"/>
      <x:c r="N7" s="2"/>
    </x:row>
    <x:row r="8" ht="44" customHeight="1">
      <x:c r="A8" s="6" t="str">
        <x:v>Sponsor filter</x:v>
      </x:c>
      <x:c r="B8" s="6" t="str">
        <x:v>Lead sponsor must belong to the parent group. Merely being a collaborator is insufficient. Pfizer NCT07226089 and AZ NCT06890598 excluded due to independent lead sponsors.</x:v>
      </x:c>
      <x:c r="C8" s="2"/>
      <x:c r="D8" s="2"/>
      <x:c r="E8" s="2"/>
      <x:c r="F8" s="2"/>
      <x:c r="G8" s="2"/>
      <x:c r="H8" s="2"/>
      <x:c r="I8" s="2"/>
      <x:c r="J8" s="2"/>
      <x:c r="K8" s="2"/>
      <x:c r="L8" s="2"/>
      <x:c r="M8" s="2"/>
      <x:c r="N8" s="2"/>
    </x:row>
    <x:row r="9" ht="44" customHeight="1">
      <x:c r="A9" s="6" t="str">
        <x:v>Group mapping</x:v>
      </x:c>
      <x:c r="B9" s="6" t="str">
        <x:v>GSK includes BELLUS; AZ includes Acerta; Novartis includes Anthos. Sponsor search aliases are recorded on Source queries.</x:v>
      </x:c>
      <x:c r="C9" s="2"/>
      <x:c r="D9" s="2"/>
      <x:c r="E9" s="2"/>
      <x:c r="F9" s="2"/>
      <x:c r="G9" s="2"/>
      <x:c r="H9" s="2"/>
      <x:c r="I9" s="2"/>
      <x:c r="J9" s="2"/>
      <x:c r="K9" s="2"/>
      <x:c r="L9" s="2"/>
      <x:c r="M9" s="2"/>
      <x:c r="N9" s="2"/>
    </x:row>
    <x:row r="10" ht="44" customHeight="1">
      <x:c r="A10" s="6" t="str">
        <x:v>Oncology</x:v>
      </x:c>
      <x:c r="B10" s="6" t="str">
        <x:v>Malignant neoplasms, carcinoma, cancers, myeloma, lymphoma, leukemia or myelofibrosis. Includes lung cancer. Cancer cachexia supportive care NCT06989437 conservatively classified Other.</x:v>
      </x:c>
      <x:c r="C10" s="2"/>
      <x:c r="D10" s="2"/>
      <x:c r="E10" s="2"/>
      <x:c r="F10" s="2"/>
      <x:c r="G10" s="2"/>
      <x:c r="H10" s="2"/>
      <x:c r="I10" s="2"/>
      <x:c r="J10" s="2"/>
      <x:c r="K10" s="2"/>
      <x:c r="L10" s="2"/>
      <x:c r="M10" s="2"/>
      <x:c r="N10" s="2"/>
    </x:row>
    <x:row r="11" ht="44" customHeight="1">
      <x:c r="A11" s="6" t="str">
        <x:v>Respiratory</x:v>
      </x:c>
      <x:c r="B11" s="6" t="str">
        <x:v>Non-oncology asthma, COPD, refractory/chronic cough or acute respiratory failure. RSV vaccine NCT07653100 is Other; isolated EGPA/HES are Other.</x:v>
      </x:c>
      <x:c r="C11" s="2"/>
      <x:c r="D11" s="2"/>
      <x:c r="E11" s="2"/>
      <x:c r="F11" s="2"/>
      <x:c r="G11" s="2"/>
      <x:c r="H11" s="2"/>
      <x:c r="I11" s="2"/>
      <x:c r="J11" s="2"/>
      <x:c r="K11" s="2"/>
      <x:c r="L11" s="2"/>
      <x:c r="M11" s="2"/>
      <x:c r="N11" s="2"/>
    </x:row>
    <x:row r="12" ht="44" customHeight="1">
      <x:c r="A12" s="6" t="str">
        <x:v>Mixed indication</x:v>
      </x:c>
      <x:c r="B12" s="6" t="str">
        <x:v>NCT07444567 has asthma alongside EGPA/HES and is conservatively classified Other. This understates the respiratory count rather than inflating it.</x:v>
      </x:c>
      <x:c r="C12" s="2"/>
      <x:c r="D12" s="2"/>
      <x:c r="E12" s="2"/>
      <x:c r="F12" s="2"/>
      <x:c r="G12" s="2"/>
      <x:c r="H12" s="2"/>
      <x:c r="I12" s="2"/>
      <x:c r="J12" s="2"/>
      <x:c r="K12" s="2"/>
      <x:c r="L12" s="2"/>
      <x:c r="M12" s="2"/>
      <x:c r="N12" s="2"/>
    </x:row>
    <x:row r="13" ht="44" customHeight="1">
      <x:c r="A13" s="6" t="str">
        <x:v>Denominator</x:v>
      </x:c>
      <x:c r="B13" s="6" t="str">
        <x:v>All eligible studies for the same company, regardless of therapy. Focus share = (oncology + respiratory) / total eligible studies.</x:v>
      </x:c>
      <x:c r="C13" s="2"/>
      <x:c r="D13" s="2"/>
      <x:c r="E13" s="2"/>
      <x:c r="F13" s="2"/>
      <x:c r="G13" s="2"/>
      <x:c r="H13" s="2"/>
      <x:c r="I13" s="2"/>
      <x:c r="J13" s="2"/>
      <x:c r="K13" s="2"/>
      <x:c r="L13" s="2"/>
      <x:c r="M13" s="2"/>
      <x:c r="N13" s="2"/>
    </x:row>
    <x:row r="14" ht="44" customHeight="1">
      <x:c r="A14" s="6" t="str">
        <x:v>Interpretation</x:v>
      </x:c>
      <x:c r="B14" s="6" t="str">
        <x:v>Clinical commitment and potential product / indication expansion, not probability-adjusted launches or future Indian sales. Studies, indications and molecules are different units.</x:v>
      </x:c>
      <x:c r="C14" s="2"/>
      <x:c r="D14" s="2"/>
      <x:c r="E14" s="2"/>
      <x:c r="F14" s="2"/>
      <x:c r="G14" s="2"/>
      <x:c r="H14" s="2"/>
      <x:c r="I14" s="2"/>
      <x:c r="J14" s="2"/>
      <x:c r="K14" s="2"/>
      <x:c r="L14" s="2"/>
      <x:c r="M14" s="2"/>
      <x:c r="N14" s="2"/>
    </x:row>
    <x:row r="15" ht="44" customHeight="1">
      <x:c r="A15" s="6" t="str">
        <x:v>Comparability limit</x:v>
      </x:c>
      <x:c r="B15" s="6" t="str">
        <x:v>ClinicalTrials.gov is not a complete census of India trials. India-only domestic studies can be registered in CTRI without a corresponding NCT record. No MNC-vs-domestic zero-count comparison should be made.</x:v>
      </x:c>
      <x:c r="C15" s="2"/>
      <x:c r="D15" s="2"/>
      <x:c r="E15" s="2"/>
      <x:c r="F15" s="2"/>
      <x:c r="G15" s="2"/>
      <x:c r="H15" s="2"/>
      <x:c r="I15" s="2"/>
      <x:c r="J15" s="2"/>
      <x:c r="K15" s="2"/>
      <x:c r="L15" s="2"/>
      <x:c r="M15" s="2"/>
      <x:c r="N15" s="2"/>
    </x:row>
    <x:row r="16" ht="44" customHeight="1">
      <x:c r="A16" s="6" t="str">
        <x:v>Entity scope</x:v>
      </x:c>
      <x:c r="B16" s="6" t="str">
        <x:v>Parent groups and controlled research sponsors. Pipeline rights / economics do not automatically accrue to the India-listed subsidiary. Novartis group is not the listed Novartis India entity after its 2026 ownership change.</x:v>
      </x:c>
      <x:c r="C16" s="2"/>
      <x:c r="D16" s="2"/>
      <x:c r="E16" s="2"/>
      <x:c r="F16" s="2"/>
      <x:c r="G16" s="2"/>
      <x:c r="H16" s="2"/>
      <x:c r="I16" s="2"/>
      <x:c r="J16" s="2"/>
      <x:c r="K16" s="2"/>
      <x:c r="L16" s="2"/>
      <x:c r="M16" s="2"/>
      <x:c r="N16" s="2"/>
    </x:row>
    <x:row r="17" ht="44" customHeight="1">
      <x:c r="A17" s="6" t="str">
        <x:v>Selected vs broad thesis</x:v>
      </x:c>
      <x:c r="B17" s="6" t="str">
        <x:v>GSK and AZ are highly concentrated in these therapies; Pfizer is roughly half. Novartis and Sanofi do not support a uniform MNC focus thesis in this screen.</x:v>
      </x:c>
      <x:c r="C17" s="2"/>
      <x:c r="D17" s="2"/>
      <x:c r="E17" s="2"/>
      <x:c r="F17" s="2"/>
      <x:c r="G17" s="2"/>
      <x:c r="H17" s="2"/>
      <x:c r="I17" s="2"/>
      <x:c r="J17" s="2"/>
      <x:c r="K17" s="2"/>
      <x:c r="L17" s="2"/>
      <x:c r="M17" s="2"/>
      <x:c r="N17" s="2"/>
    </x:row>
    <x:row r="18" ht="44" customHeight="1">
      <x:c r="A18" s="6" t="str">
        <x:v>Chart title</x:v>
      </x:c>
      <x:c r="B18" s="6" t="str">
        <x:v>Oncology and respiratory dominate India-linked late-stage activity at GSK and AstraZeneca</x:v>
      </x:c>
      <x:c r="C18" s="2"/>
      <x:c r="D18" s="2"/>
      <x:c r="E18" s="2"/>
      <x:c r="F18" s="2"/>
      <x:c r="G18" s="2"/>
      <x:c r="H18" s="2"/>
      <x:c r="I18" s="2"/>
      <x:c r="J18" s="2"/>
      <x:c r="K18" s="2"/>
      <x:c r="L18" s="2"/>
      <x:c r="M18" s="2"/>
      <x:c r="N18" s="2"/>
    </x:row>
    <x:row r="19" ht="44" customHeight="1">
      <x:c r="A19" s="6" t="str">
        <x:v>Suggested slide takeaway</x:v>
      </x:c>
      <x:c r="B19" s="6" t="str">
        <x:v>Faster-growing therapy pools are supported by an India-linked innovation pipeline at selected MNCs; new products and indications offer an additional growth lever.</x:v>
      </x:c>
      <x:c r="C19" s="2"/>
      <x:c r="D19" s="2"/>
      <x:c r="E19" s="2"/>
      <x:c r="F19" s="2"/>
      <x:c r="G19" s="2"/>
      <x:c r="H19" s="2"/>
      <x:c r="I19" s="2"/>
      <x:c r="J19" s="2"/>
      <x:c r="K19" s="2"/>
      <x:c r="L19" s="2"/>
      <x:c r="M19" s="2"/>
      <x:c r="N19" s="2"/>
    </x:row>
    <x:row r="20" ht="44" customHeight="1">
      <x:c r="A20" s="6" t="str">
        <x:v>Footnote for slide</x:v>
      </x:c>
      <x:c r="B20" s="6" t="str">
        <x:v>Source: ClinicalTrials.gov; analyst screen, 21 Oct 2026. Ongoing Phase III drug/biological studies with India sites; lead-sponsor groups. Registry scope differs from company pipeline disclosures. Not a launch or sales forecast.</x:v>
      </x:c>
      <x:c r="C20" s="2"/>
      <x:c r="D20" s="2"/>
      <x:c r="E20" s="2"/>
      <x:c r="F20" s="2"/>
      <x:c r="G20" s="2"/>
      <x:c r="H20" s="2"/>
      <x:c r="I20" s="2"/>
      <x:c r="J20" s="2"/>
      <x:c r="K20" s="2"/>
      <x:c r="L20" s="2"/>
      <x:c r="M20" s="2"/>
      <x:c r="N20" s="2"/>
    </x:row>
    <x:row r="21" ht="44" customHeight="1">
      <x:c r="A21" s="6" t="str">
        <x:v>GSK disclosure cross-check</x:v>
      </x:c>
      <x:c r="B21" s="6" t="str">
        <x:v>May 2026 company presentation reports 26 ongoing trials: 14 oncology; 8 respiratory &amp; immunology; 4 infectious disease. The 8 includes NASH programmes and must not all be labelled respiratory. Different date and scope from this Phase III registry screen.</x:v>
      </x:c>
      <x:c r="C21" s="2"/>
      <x:c r="D21" s="2"/>
      <x:c r="E21" s="2"/>
      <x:c r="F21" s="2"/>
      <x:c r="G21" s="2"/>
      <x:c r="H21" s="2"/>
      <x:c r="I21" s="2"/>
      <x:c r="J21" s="2"/>
      <x:c r="K21" s="2"/>
      <x:c r="L21" s="2"/>
      <x:c r="M21" s="2"/>
      <x:c r="N21" s="2"/>
    </x:row>
    <x:row r="22" ht="44" customHeight="1">
      <x:c r="A22" s="6" t="str">
        <x:v>GSK presentation source</x:v>
      </x:c>
      <x:c r="B22" s="6" t="str">
        <x:v>https://india-pharma.gsk.com/media/inhdnswz/analyst-meet-may-2026.pdf</x:v>
      </x:c>
      <x:c r="C22" s="2"/>
      <x:c r="D22" s="2"/>
      <x:c r="E22" s="2"/>
      <x:c r="F22" s="2"/>
      <x:c r="G22" s="2"/>
      <x:c r="H22" s="2"/>
      <x:c r="I22" s="2"/>
      <x:c r="J22" s="2"/>
      <x:c r="K22" s="2"/>
      <x:c r="L22" s="2"/>
      <x:c r="M22" s="2"/>
      <x:c r="N22" s="2"/>
    </x:row>
    <x:row r="23" ht="44" customHeight="1">
      <x:c r="A23" s="6" t="str">
        <x:v>Registry API source</x:v>
      </x:c>
      <x:c r="B23" s="6" t="str">
        <x:v>https://clinicaltrials.gov/api/v2/studies</x:v>
      </x:c>
      <x:c r="C23" s="2"/>
      <x:c r="D23" s="2"/>
      <x:c r="E23" s="2"/>
      <x:c r="F23" s="2"/>
      <x:c r="G23" s="2"/>
      <x:c r="H23" s="2"/>
      <x:c r="I23" s="2"/>
      <x:c r="J23" s="2"/>
      <x:c r="K23" s="2"/>
      <x:c r="L23" s="2"/>
      <x:c r="M23" s="2"/>
      <x:c r="N23" s="2"/>
    </x:row>
    <x:row r="24" ht="44" customHeight="1">
      <x:c r="A24" s="6" t="str">
        <x:v>Official API documentation</x:v>
      </x:c>
      <x:c r="B24" s="6" t="str">
        <x:v>https://clinicaltrials.gov/data-api/about-api/study-data-structure</x:v>
      </x:c>
      <x:c r="C24" s="2"/>
      <x:c r="D24" s="2"/>
      <x:c r="E24" s="2"/>
      <x:c r="F24" s="2"/>
      <x:c r="G24" s="2"/>
      <x:c r="H24" s="2"/>
      <x:c r="I24" s="2"/>
      <x:c r="J24" s="2"/>
      <x:c r="K24" s="2"/>
      <x:c r="L24" s="2"/>
      <x:c r="M24" s="2"/>
      <x:c r="N24" s="2"/>
    </x:row>
    <x:row r="25" ht="44" customHeight="1">
      <x:c r="A25" s="6" t="str">
        <x:v>Forecast design on existing slide</x:v>
      </x:c>
      <x:c r="B25" s="6" t="str">
        <x:v>Use straight segments with dashed FY27E-FY29E lines. Respiratory 13%,12%,12% is the user-requested optimistic outperformance scenario, not reported data.</x:v>
      </x:c>
      <x:c r="C25" s="2"/>
      <x:c r="D25" s="2"/>
      <x:c r="E25" s="2"/>
      <x:c r="F25" s="2"/>
      <x:c r="G25" s="2"/>
      <x:c r="H25" s="2"/>
      <x:c r="I25" s="2"/>
      <x:c r="J25" s="2"/>
      <x:c r="K25" s="2"/>
      <x:c r="L25" s="2"/>
      <x:c r="M25" s="2"/>
      <x:c r="N25" s="2"/>
    </x:row>
    <x:row r="26">
      <x:c r="A26" s="2"/>
      <x:c r="B26" s="2"/>
      <x:c r="C26" s="2"/>
      <x:c r="D26" s="2"/>
      <x:c r="E26" s="2"/>
      <x:c r="F26" s="2"/>
      <x:c r="G26" s="2"/>
      <x:c r="H26" s="2"/>
      <x:c r="I26" s="2"/>
      <x:c r="J26" s="2"/>
      <x:c r="K26" s="2"/>
      <x:c r="L26" s="2"/>
      <x:c r="M26" s="2"/>
      <x:c r="N26" s="2"/>
    </x:row>
    <x:row r="27">
      <x:c r="A27" s="2"/>
      <x:c r="B27" s="2"/>
      <x:c r="C27" s="2"/>
      <x:c r="D27" s="2"/>
      <x:c r="E27" s="2"/>
      <x:c r="F27" s="2"/>
      <x:c r="G27" s="2"/>
      <x:c r="H27" s="2"/>
      <x:c r="I27" s="2"/>
      <x:c r="J27" s="2"/>
      <x:c r="K27" s="2"/>
      <x:c r="L27" s="2"/>
      <x:c r="M27" s="2"/>
      <x:c r="N27" s="2"/>
    </x:row>
    <x:row r="28">
      <x:c r="A28" s="2"/>
      <x:c r="B28" s="2"/>
      <x:c r="C28" s="2"/>
      <x:c r="D28" s="2"/>
      <x:c r="E28" s="2"/>
      <x:c r="F28" s="2"/>
      <x:c r="G28" s="2"/>
      <x:c r="H28" s="2"/>
      <x:c r="I28" s="2"/>
      <x:c r="J28" s="2"/>
      <x:c r="K28" s="2"/>
      <x:c r="L28" s="2"/>
      <x:c r="M28" s="2"/>
      <x:c r="N28" s="2"/>
    </x:row>
    <x:row r="29">
      <x:c r="A29" s="2"/>
      <x:c r="B29" s="2"/>
      <x:c r="C29" s="2"/>
      <x:c r="D29" s="2"/>
      <x:c r="E29" s="2"/>
      <x:c r="F29" s="2"/>
      <x:c r="G29" s="2"/>
      <x:c r="H29" s="2"/>
      <x:c r="I29" s="2"/>
      <x:c r="J29" s="2"/>
      <x:c r="K29" s="2"/>
      <x:c r="L29" s="2"/>
      <x:c r="M29" s="2"/>
      <x:c r="N29" s="2"/>
    </x:row>
    <x:row r="30">
      <x:c r="A30" s="2"/>
      <x:c r="B30" s="2"/>
      <x:c r="C30" s="2"/>
      <x:c r="D30" s="2"/>
      <x:c r="E30" s="2"/>
      <x:c r="F30" s="2"/>
      <x:c r="G30" s="2"/>
      <x:c r="H30" s="2"/>
      <x:c r="I30" s="2"/>
      <x:c r="J30" s="2"/>
      <x:c r="K30" s="2"/>
      <x:c r="L30" s="2"/>
      <x:c r="M30" s="2"/>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row r="49">
      <x:c r="A49" s="2"/>
      <x:c r="B49" s="2"/>
      <x:c r="C49" s="2"/>
      <x:c r="D49" s="2"/>
      <x:c r="E49" s="2"/>
      <x:c r="F49" s="2"/>
      <x:c r="G49" s="2"/>
      <x:c r="H49" s="2"/>
      <x:c r="I49" s="2"/>
      <x:c r="J49" s="2"/>
      <x:c r="K49" s="2"/>
      <x:c r="L49" s="2"/>
      <x:c r="M49" s="2"/>
      <x:c r="N49" s="2"/>
    </x:row>
    <x:row r="50">
      <x:c r="A50" s="2"/>
      <x:c r="B50" s="2"/>
      <x:c r="C50" s="2"/>
      <x:c r="D50" s="2"/>
      <x:c r="E50" s="2"/>
      <x:c r="F50" s="2"/>
      <x:c r="G50" s="2"/>
      <x:c r="H50" s="2"/>
      <x:c r="I50" s="2"/>
      <x:c r="J50" s="2"/>
      <x:c r="K50" s="2"/>
      <x:c r="L50" s="2"/>
      <x:c r="M50" s="2"/>
      <x:c r="N50" s="2"/>
    </x:row>
    <x:row r="51">
      <x:c r="A51" s="2"/>
      <x:c r="B51" s="2"/>
      <x:c r="C51" s="2"/>
      <x:c r="D51" s="2"/>
      <x:c r="E51" s="2"/>
      <x:c r="F51" s="2"/>
      <x:c r="G51" s="2"/>
      <x:c r="H51" s="2"/>
      <x:c r="I51" s="2"/>
      <x:c r="J51" s="2"/>
      <x:c r="K51" s="2"/>
      <x:c r="L51" s="2"/>
      <x:c r="M51" s="2"/>
      <x:c r="N51" s="2"/>
    </x:row>
    <x:row r="52">
      <x:c r="A52" s="2"/>
      <x:c r="B52" s="2"/>
      <x:c r="C52" s="2"/>
      <x:c r="D52" s="2"/>
      <x:c r="E52" s="2"/>
      <x:c r="F52" s="2"/>
      <x:c r="G52" s="2"/>
      <x:c r="H52" s="2"/>
      <x:c r="I52" s="2"/>
      <x:c r="J52" s="2"/>
      <x:c r="K52" s="2"/>
      <x:c r="L52" s="2"/>
      <x:c r="M52" s="2"/>
      <x:c r="N52" s="2"/>
    </x:row>
    <x:row r="53">
      <x:c r="A53" s="2"/>
      <x:c r="B53" s="2"/>
      <x:c r="C53" s="2"/>
      <x:c r="D53" s="2"/>
      <x:c r="E53" s="2"/>
      <x:c r="F53" s="2"/>
      <x:c r="G53" s="2"/>
      <x:c r="H53" s="2"/>
      <x:c r="I53" s="2"/>
      <x:c r="J53" s="2"/>
      <x:c r="K53" s="2"/>
      <x:c r="L53" s="2"/>
      <x:c r="M53" s="2"/>
      <x:c r="N53" s="2"/>
    </x:row>
    <x:row r="54">
      <x:c r="A54" s="2"/>
      <x:c r="B54" s="2"/>
      <x:c r="C54" s="2"/>
      <x:c r="D54" s="2"/>
      <x:c r="E54" s="2"/>
      <x:c r="F54" s="2"/>
      <x:c r="G54" s="2"/>
      <x:c r="H54" s="2"/>
      <x:c r="I54" s="2"/>
      <x:c r="J54" s="2"/>
      <x:c r="K54" s="2"/>
      <x:c r="L54" s="2"/>
      <x:c r="M54" s="2"/>
      <x:c r="N54" s="2"/>
    </x:row>
    <x:row r="55">
      <x:c r="A55" s="2"/>
      <x:c r="B55" s="2"/>
      <x:c r="C55" s="2"/>
      <x:c r="D55" s="2"/>
      <x:c r="E55" s="2"/>
      <x:c r="F55" s="2"/>
      <x:c r="G55" s="2"/>
      <x:c r="H55" s="2"/>
      <x:c r="I55" s="2"/>
      <x:c r="J55" s="2"/>
      <x:c r="K55" s="2"/>
      <x:c r="L55" s="2"/>
      <x:c r="M55" s="2"/>
      <x:c r="N55" s="2"/>
    </x:row>
    <x:row r="56">
      <x:c r="A56" s="2"/>
      <x:c r="B56" s="2"/>
      <x:c r="C56" s="2"/>
      <x:c r="D56" s="2"/>
      <x:c r="E56" s="2"/>
      <x:c r="F56" s="2"/>
      <x:c r="G56" s="2"/>
      <x:c r="H56" s="2"/>
      <x:c r="I56" s="2"/>
      <x:c r="J56" s="2"/>
      <x:c r="K56" s="2"/>
      <x:c r="L56" s="2"/>
      <x:c r="M56" s="2"/>
      <x:c r="N56" s="2"/>
    </x:row>
    <x:row r="57">
      <x:c r="A57" s="2"/>
      <x:c r="B57" s="2"/>
      <x:c r="C57" s="2"/>
      <x:c r="D57" s="2"/>
      <x:c r="E57" s="2"/>
      <x:c r="F57" s="2"/>
      <x:c r="G57" s="2"/>
      <x:c r="H57" s="2"/>
      <x:c r="I57" s="2"/>
      <x:c r="J57" s="2"/>
      <x:c r="K57" s="2"/>
      <x:c r="L57" s="2"/>
      <x:c r="M57" s="2"/>
      <x:c r="N57" s="2"/>
    </x:row>
    <x:row r="58">
      <x:c r="A58" s="2"/>
      <x:c r="B58" s="2"/>
      <x:c r="C58" s="2"/>
      <x:c r="D58" s="2"/>
      <x:c r="E58" s="2"/>
      <x:c r="F58" s="2"/>
      <x:c r="G58" s="2"/>
      <x:c r="H58" s="2"/>
      <x:c r="I58" s="2"/>
      <x:c r="J58" s="2"/>
      <x:c r="K58" s="2"/>
      <x:c r="L58" s="2"/>
      <x:c r="M58" s="2"/>
      <x:c r="N58" s="2"/>
    </x:row>
    <x:row r="59">
      <x:c r="A59" s="2"/>
      <x:c r="B59" s="2"/>
      <x:c r="C59" s="2"/>
      <x:c r="D59" s="2"/>
      <x:c r="E59" s="2"/>
      <x:c r="F59" s="2"/>
      <x:c r="G59" s="2"/>
      <x:c r="H59" s="2"/>
      <x:c r="I59" s="2"/>
      <x:c r="J59" s="2"/>
      <x:c r="K59" s="2"/>
      <x:c r="L59" s="2"/>
      <x:c r="M59" s="2"/>
      <x:c r="N59" s="2"/>
    </x:row>
    <x:row r="60">
      <x:c r="A60" s="2"/>
      <x:c r="B60" s="2"/>
      <x:c r="C60" s="2"/>
      <x:c r="D60" s="2"/>
      <x:c r="E60" s="2"/>
      <x:c r="F60" s="2"/>
      <x:c r="G60" s="2"/>
      <x:c r="H60" s="2"/>
      <x:c r="I60" s="2"/>
      <x:c r="J60" s="2"/>
      <x:c r="K60" s="2"/>
      <x:c r="L60" s="2"/>
      <x:c r="M60" s="2"/>
      <x:c r="N60" s="2"/>
    </x:row>
    <x:row r="61">
      <x:c r="A61" s="2"/>
      <x:c r="B61" s="2"/>
      <x:c r="C61" s="2"/>
      <x:c r="D61" s="2"/>
      <x:c r="E61" s="2"/>
      <x:c r="F61" s="2"/>
      <x:c r="G61" s="2"/>
      <x:c r="H61" s="2"/>
      <x:c r="I61" s="2"/>
      <x:c r="J61" s="2"/>
      <x:c r="K61" s="2"/>
      <x:c r="L61" s="2"/>
      <x:c r="M61" s="2"/>
      <x:c r="N61" s="2"/>
    </x:row>
    <x:row r="62">
      <x:c r="A62" s="2"/>
      <x:c r="B62" s="2"/>
      <x:c r="C62" s="2"/>
      <x:c r="D62" s="2"/>
      <x:c r="E62" s="2"/>
      <x:c r="F62" s="2"/>
      <x:c r="G62" s="2"/>
      <x:c r="H62" s="2"/>
      <x:c r="I62" s="2"/>
      <x:c r="J62" s="2"/>
      <x:c r="K62" s="2"/>
      <x:c r="L62" s="2"/>
      <x:c r="M62" s="2"/>
      <x:c r="N62" s="2"/>
    </x:row>
    <x:row r="63">
      <x:c r="A63" s="2"/>
      <x:c r="B63" s="2"/>
      <x:c r="C63" s="2"/>
      <x:c r="D63" s="2"/>
      <x:c r="E63" s="2"/>
      <x:c r="F63" s="2"/>
      <x:c r="G63" s="2"/>
      <x:c r="H63" s="2"/>
      <x:c r="I63" s="2"/>
      <x:c r="J63" s="2"/>
      <x:c r="K63" s="2"/>
      <x:c r="L63" s="2"/>
      <x:c r="M63" s="2"/>
      <x:c r="N63" s="2"/>
    </x:row>
    <x:row r="64">
      <x:c r="A64" s="2"/>
      <x:c r="B64" s="2"/>
      <x:c r="C64" s="2"/>
      <x:c r="D64" s="2"/>
      <x:c r="E64" s="2"/>
      <x:c r="F64" s="2"/>
      <x:c r="G64" s="2"/>
      <x:c r="H64" s="2"/>
      <x:c r="I64" s="2"/>
      <x:c r="J64" s="2"/>
      <x:c r="K64" s="2"/>
      <x:c r="L64" s="2"/>
      <x:c r="M64" s="2"/>
      <x:c r="N64" s="2"/>
    </x:row>
    <x:row r="65">
      <x:c r="A65" s="2"/>
      <x:c r="B65" s="2"/>
      <x:c r="C65" s="2"/>
      <x:c r="D65" s="2"/>
      <x:c r="E65" s="2"/>
      <x:c r="F65" s="2"/>
      <x:c r="G65" s="2"/>
      <x:c r="H65" s="2"/>
      <x:c r="I65" s="2"/>
      <x:c r="J65" s="2"/>
      <x:c r="K65" s="2"/>
      <x:c r="L65" s="2"/>
      <x:c r="M65" s="2"/>
      <x:c r="N65" s="2"/>
    </x:row>
    <x:row r="66">
      <x:c r="A66" s="2"/>
      <x:c r="B66" s="2"/>
      <x:c r="C66" s="2"/>
      <x:c r="D66" s="2"/>
      <x:c r="E66" s="2"/>
      <x:c r="F66" s="2"/>
      <x:c r="G66" s="2"/>
      <x:c r="H66" s="2"/>
      <x:c r="I66" s="2"/>
      <x:c r="J66" s="2"/>
      <x:c r="K66" s="2"/>
      <x:c r="L66" s="2"/>
      <x:c r="M66" s="2"/>
      <x:c r="N66" s="2"/>
    </x:row>
    <x:row r="67">
      <x:c r="A67" s="2"/>
      <x:c r="B67" s="2"/>
      <x:c r="C67" s="2"/>
      <x:c r="D67" s="2"/>
      <x:c r="E67" s="2"/>
      <x:c r="F67" s="2"/>
      <x:c r="G67" s="2"/>
      <x:c r="H67" s="2"/>
      <x:c r="I67" s="2"/>
      <x:c r="J67" s="2"/>
      <x:c r="K67" s="2"/>
      <x:c r="L67" s="2"/>
      <x:c r="M67" s="2"/>
      <x:c r="N67" s="2"/>
    </x:row>
    <x:row r="68">
      <x:c r="A68" s="2"/>
      <x:c r="B68" s="2"/>
      <x:c r="C68" s="2"/>
      <x:c r="D68" s="2"/>
      <x:c r="E68" s="2"/>
      <x:c r="F68" s="2"/>
      <x:c r="G68" s="2"/>
      <x:c r="H68" s="2"/>
      <x:c r="I68" s="2"/>
      <x:c r="J68" s="2"/>
      <x:c r="K68" s="2"/>
      <x:c r="L68" s="2"/>
      <x:c r="M68" s="2"/>
      <x:c r="N68" s="2"/>
    </x:row>
    <x:row r="69">
      <x:c r="A69" s="2"/>
      <x:c r="B69" s="2"/>
      <x:c r="C69" s="2"/>
      <x:c r="D69" s="2"/>
      <x:c r="E69" s="2"/>
      <x:c r="F69" s="2"/>
      <x:c r="G69" s="2"/>
      <x:c r="H69" s="2"/>
      <x:c r="I69" s="2"/>
      <x:c r="J69" s="2"/>
      <x:c r="K69" s="2"/>
      <x:c r="L69" s="2"/>
      <x:c r="M69" s="2"/>
      <x:c r="N69" s="2"/>
    </x:row>
    <x:row r="70">
      <x:c r="A70" s="2"/>
      <x:c r="B70" s="2"/>
      <x:c r="C70" s="2"/>
      <x:c r="D70" s="2"/>
      <x:c r="E70" s="2"/>
      <x:c r="F70" s="2"/>
      <x:c r="G70" s="2"/>
      <x:c r="H70" s="2"/>
      <x:c r="I70" s="2"/>
      <x:c r="J70" s="2"/>
      <x:c r="K70" s="2"/>
      <x:c r="L70" s="2"/>
      <x:c r="M70" s="2"/>
      <x:c r="N70" s="2"/>
    </x:row>
    <x:row r="71">
      <x:c r="A71" s="2"/>
      <x:c r="B71" s="2"/>
      <x:c r="C71" s="2"/>
      <x:c r="D71" s="2"/>
      <x:c r="E71" s="2"/>
      <x:c r="F71" s="2"/>
      <x:c r="G71" s="2"/>
      <x:c r="H71" s="2"/>
      <x:c r="I71" s="2"/>
      <x:c r="J71" s="2"/>
      <x:c r="K71" s="2"/>
      <x:c r="L71" s="2"/>
      <x:c r="M71" s="2"/>
      <x:c r="N71" s="2"/>
    </x:row>
    <x:row r="72">
      <x:c r="A72" s="2"/>
      <x:c r="B72" s="2"/>
      <x:c r="C72" s="2"/>
      <x:c r="D72" s="2"/>
      <x:c r="E72" s="2"/>
      <x:c r="F72" s="2"/>
      <x:c r="G72" s="2"/>
      <x:c r="H72" s="2"/>
      <x:c r="I72" s="2"/>
      <x:c r="J72" s="2"/>
      <x:c r="K72" s="2"/>
      <x:c r="L72" s="2"/>
      <x:c r="M72" s="2"/>
      <x:c r="N72" s="2"/>
    </x:row>
    <x:row r="73">
      <x:c r="A73" s="2"/>
      <x:c r="B73" s="2"/>
      <x:c r="C73" s="2"/>
      <x:c r="D73" s="2"/>
      <x:c r="E73" s="2"/>
      <x:c r="F73" s="2"/>
      <x:c r="G73" s="2"/>
      <x:c r="H73" s="2"/>
      <x:c r="I73" s="2"/>
      <x:c r="J73" s="2"/>
      <x:c r="K73" s="2"/>
      <x:c r="L73" s="2"/>
      <x:c r="M73" s="2"/>
      <x:c r="N73" s="2"/>
    </x:row>
    <x:row r="74">
      <x:c r="A74" s="2"/>
      <x:c r="B74" s="2"/>
      <x:c r="C74" s="2"/>
      <x:c r="D74" s="2"/>
      <x:c r="E74" s="2"/>
      <x:c r="F74" s="2"/>
      <x:c r="G74" s="2"/>
      <x:c r="H74" s="2"/>
      <x:c r="I74" s="2"/>
      <x:c r="J74" s="2"/>
      <x:c r="K74" s="2"/>
      <x:c r="L74" s="2"/>
      <x:c r="M74" s="2"/>
      <x:c r="N74" s="2"/>
    </x:row>
    <x:row r="75">
      <x:c r="A75" s="2"/>
      <x:c r="B75" s="2"/>
      <x:c r="C75" s="2"/>
      <x:c r="D75" s="2"/>
      <x:c r="E75" s="2"/>
      <x:c r="F75" s="2"/>
      <x:c r="G75" s="2"/>
      <x:c r="H75" s="2"/>
      <x:c r="I75" s="2"/>
      <x:c r="J75" s="2"/>
      <x:c r="K75" s="2"/>
      <x:c r="L75" s="2"/>
      <x:c r="M75" s="2"/>
      <x:c r="N75" s="2"/>
    </x:row>
    <x:row r="76">
      <x:c r="A76" s="2"/>
      <x:c r="B76" s="2"/>
      <x:c r="C76" s="2"/>
      <x:c r="D76" s="2"/>
      <x:c r="E76" s="2"/>
      <x:c r="F76" s="2"/>
      <x:c r="G76" s="2"/>
      <x:c r="H76" s="2"/>
      <x:c r="I76" s="2"/>
      <x:c r="J76" s="2"/>
      <x:c r="K76" s="2"/>
      <x:c r="L76" s="2"/>
      <x:c r="M76" s="2"/>
      <x:c r="N76" s="2"/>
    </x:row>
    <x:row r="77">
      <x:c r="A77" s="2"/>
      <x:c r="B77" s="2"/>
      <x:c r="C77" s="2"/>
      <x:c r="D77" s="2"/>
      <x:c r="E77" s="2"/>
      <x:c r="F77" s="2"/>
      <x:c r="G77" s="2"/>
      <x:c r="H77" s="2"/>
      <x:c r="I77" s="2"/>
      <x:c r="J77" s="2"/>
      <x:c r="K77" s="2"/>
      <x:c r="L77" s="2"/>
      <x:c r="M77" s="2"/>
      <x:c r="N77" s="2"/>
    </x:row>
    <x:row r="78">
      <x:c r="A78" s="2"/>
      <x:c r="B78" s="2"/>
      <x:c r="C78" s="2"/>
      <x:c r="D78" s="2"/>
      <x:c r="E78" s="2"/>
      <x:c r="F78" s="2"/>
      <x:c r="G78" s="2"/>
      <x:c r="H78" s="2"/>
      <x:c r="I78" s="2"/>
      <x:c r="J78" s="2"/>
      <x:c r="K78" s="2"/>
      <x:c r="L78" s="2"/>
      <x:c r="M78" s="2"/>
      <x:c r="N78" s="2"/>
    </x:row>
    <x:row r="79">
      <x:c r="A79" s="2"/>
      <x:c r="B79" s="2"/>
      <x:c r="C79" s="2"/>
      <x:c r="D79" s="2"/>
      <x:c r="E79" s="2"/>
      <x:c r="F79" s="2"/>
      <x:c r="G79" s="2"/>
      <x:c r="H79" s="2"/>
      <x:c r="I79" s="2"/>
      <x:c r="J79" s="2"/>
      <x:c r="K79" s="2"/>
      <x:c r="L79" s="2"/>
      <x:c r="M79" s="2"/>
      <x:c r="N79" s="2"/>
    </x:row>
    <x:row r="80">
      <x:c r="A80" s="2"/>
      <x:c r="B80" s="2"/>
      <x:c r="C80" s="2"/>
      <x:c r="D80" s="2"/>
      <x:c r="E80" s="2"/>
      <x:c r="F80" s="2"/>
      <x:c r="G80" s="2"/>
      <x:c r="H80" s="2"/>
      <x:c r="I80" s="2"/>
      <x:c r="J80" s="2"/>
      <x:c r="K80" s="2"/>
      <x:c r="L80" s="2"/>
      <x:c r="M80" s="2"/>
      <x:c r="N80" s="2"/>
    </x:row>
    <x:row r="81">
      <x:c r="A81" s="2"/>
      <x:c r="B81" s="2"/>
      <x:c r="C81" s="2"/>
      <x:c r="D81" s="2"/>
      <x:c r="E81" s="2"/>
      <x:c r="F81" s="2"/>
      <x:c r="G81" s="2"/>
      <x:c r="H81" s="2"/>
      <x:c r="I81" s="2"/>
      <x:c r="J81" s="2"/>
      <x:c r="K81" s="2"/>
      <x:c r="L81" s="2"/>
      <x:c r="M81" s="2"/>
      <x:c r="N81" s="2"/>
    </x:row>
    <x:row r="82">
      <x:c r="A82" s="2"/>
      <x:c r="B82" s="2"/>
      <x:c r="C82" s="2"/>
      <x:c r="D82" s="2"/>
      <x:c r="E82" s="2"/>
      <x:c r="F82" s="2"/>
      <x:c r="G82" s="2"/>
      <x:c r="H82" s="2"/>
      <x:c r="I82" s="2"/>
      <x:c r="J82" s="2"/>
      <x:c r="K82" s="2"/>
      <x:c r="L82" s="2"/>
      <x:c r="M82" s="2"/>
      <x:c r="N82" s="2"/>
    </x:row>
    <x:row r="83">
      <x:c r="A83" s="2"/>
      <x:c r="B83" s="2"/>
      <x:c r="C83" s="2"/>
      <x:c r="D83" s="2"/>
      <x:c r="E83" s="2"/>
      <x:c r="F83" s="2"/>
      <x:c r="G83" s="2"/>
      <x:c r="H83" s="2"/>
      <x:c r="I83" s="2"/>
      <x:c r="J83" s="2"/>
      <x:c r="K83" s="2"/>
      <x:c r="L83" s="2"/>
      <x:c r="M83" s="2"/>
      <x:c r="N83" s="2"/>
    </x:row>
    <x:row r="84">
      <x:c r="A84" s="2"/>
      <x:c r="B84" s="2"/>
      <x:c r="C84" s="2"/>
      <x:c r="D84" s="2"/>
      <x:c r="E84" s="2"/>
      <x:c r="F84" s="2"/>
      <x:c r="G84" s="2"/>
      <x:c r="H84" s="2"/>
      <x:c r="I84" s="2"/>
      <x:c r="J84" s="2"/>
      <x:c r="K84" s="2"/>
      <x:c r="L84" s="2"/>
      <x:c r="M84" s="2"/>
      <x:c r="N84" s="2"/>
    </x:row>
    <x:row r="85">
      <x:c r="A85" s="2"/>
      <x:c r="B85" s="2"/>
      <x:c r="C85" s="2"/>
      <x:c r="D85" s="2"/>
      <x:c r="E85" s="2"/>
      <x:c r="F85" s="2"/>
      <x:c r="G85" s="2"/>
      <x:c r="H85" s="2"/>
      <x:c r="I85" s="2"/>
      <x:c r="J85" s="2"/>
      <x:c r="K85" s="2"/>
      <x:c r="L85" s="2"/>
      <x:c r="M85" s="2"/>
      <x:c r="N85" s="2"/>
    </x:row>
    <x:row r="86">
      <x:c r="A86" s="2"/>
      <x:c r="B86" s="2"/>
      <x:c r="C86" s="2"/>
      <x:c r="D86" s="2"/>
      <x:c r="E86" s="2"/>
      <x:c r="F86" s="2"/>
      <x:c r="G86" s="2"/>
      <x:c r="H86" s="2"/>
      <x:c r="I86" s="2"/>
      <x:c r="J86" s="2"/>
      <x:c r="K86" s="2"/>
      <x:c r="L86" s="2"/>
      <x:c r="M86" s="2"/>
      <x:c r="N86" s="2"/>
    </x:row>
    <x:row r="87">
      <x:c r="A87" s="2"/>
      <x:c r="B87" s="2"/>
      <x:c r="C87" s="2"/>
      <x:c r="D87" s="2"/>
      <x:c r="E87" s="2"/>
      <x:c r="F87" s="2"/>
      <x:c r="G87" s="2"/>
      <x:c r="H87" s="2"/>
      <x:c r="I87" s="2"/>
      <x:c r="J87" s="2"/>
      <x:c r="K87" s="2"/>
      <x:c r="L87" s="2"/>
      <x:c r="M87" s="2"/>
      <x:c r="N87" s="2"/>
    </x:row>
    <x:row r="88">
      <x:c r="A88" s="2"/>
      <x:c r="B88" s="2"/>
      <x:c r="C88" s="2"/>
      <x:c r="D88" s="2"/>
      <x:c r="E88" s="2"/>
      <x:c r="F88" s="2"/>
      <x:c r="G88" s="2"/>
      <x:c r="H88" s="2"/>
      <x:c r="I88" s="2"/>
      <x:c r="J88" s="2"/>
      <x:c r="K88" s="2"/>
      <x:c r="L88" s="2"/>
      <x:c r="M88" s="2"/>
      <x:c r="N88" s="2"/>
    </x:row>
    <x:row r="89">
      <x:c r="A89" s="2"/>
      <x:c r="B89" s="2"/>
      <x:c r="C89" s="2"/>
      <x:c r="D89" s="2"/>
      <x:c r="E89" s="2"/>
      <x:c r="F89" s="2"/>
      <x:c r="G89" s="2"/>
      <x:c r="H89" s="2"/>
      <x:c r="I89" s="2"/>
      <x:c r="J89" s="2"/>
      <x:c r="K89" s="2"/>
      <x:c r="L89" s="2"/>
      <x:c r="M89" s="2"/>
      <x:c r="N89" s="2"/>
    </x:row>
    <x:row r="90">
      <x:c r="A90" s="2"/>
      <x:c r="B90" s="2"/>
      <x:c r="C90" s="2"/>
      <x:c r="D90" s="2"/>
      <x:c r="E90" s="2"/>
      <x:c r="F90" s="2"/>
      <x:c r="G90" s="2"/>
      <x:c r="H90" s="2"/>
      <x:c r="I90" s="2"/>
      <x:c r="J90" s="2"/>
      <x:c r="K90" s="2"/>
      <x:c r="L90" s="2"/>
      <x:c r="M90" s="2"/>
      <x:c r="N90" s="2"/>
    </x:row>
    <x:row r="91">
      <x:c r="A91" s="2"/>
      <x:c r="B91" s="2"/>
      <x:c r="C91" s="2"/>
      <x:c r="D91" s="2"/>
      <x:c r="E91" s="2"/>
      <x:c r="F91" s="2"/>
      <x:c r="G91" s="2"/>
      <x:c r="H91" s="2"/>
      <x:c r="I91" s="2"/>
      <x:c r="J91" s="2"/>
      <x:c r="K91" s="2"/>
      <x:c r="L91" s="2"/>
      <x:c r="M91" s="2"/>
      <x:c r="N91" s="2"/>
    </x:row>
    <x:row r="92">
      <x:c r="A92" s="2"/>
      <x:c r="B92" s="2"/>
      <x:c r="C92" s="2"/>
      <x:c r="D92" s="2"/>
      <x:c r="E92" s="2"/>
      <x:c r="F92" s="2"/>
      <x:c r="G92" s="2"/>
      <x:c r="H92" s="2"/>
      <x:c r="I92" s="2"/>
      <x:c r="J92" s="2"/>
      <x:c r="K92" s="2"/>
      <x:c r="L92" s="2"/>
      <x:c r="M92" s="2"/>
      <x:c r="N92" s="2"/>
    </x:row>
    <x:row r="93">
      <x:c r="A93" s="2"/>
      <x:c r="B93" s="2"/>
      <x:c r="C93" s="2"/>
      <x:c r="D93" s="2"/>
      <x:c r="E93" s="2"/>
      <x:c r="F93" s="2"/>
      <x:c r="G93" s="2"/>
      <x:c r="H93" s="2"/>
      <x:c r="I93" s="2"/>
      <x:c r="J93" s="2"/>
      <x:c r="K93" s="2"/>
      <x:c r="L93" s="2"/>
      <x:c r="M93" s="2"/>
      <x:c r="N93" s="2"/>
    </x:row>
    <x:row r="94">
      <x:c r="A94" s="2"/>
      <x:c r="B94" s="2"/>
      <x:c r="C94" s="2"/>
      <x:c r="D94" s="2"/>
      <x:c r="E94" s="2"/>
      <x:c r="F94" s="2"/>
      <x:c r="G94" s="2"/>
      <x:c r="H94" s="2"/>
      <x:c r="I94" s="2"/>
      <x:c r="J94" s="2"/>
      <x:c r="K94" s="2"/>
      <x:c r="L94" s="2"/>
      <x:c r="M94" s="2"/>
      <x:c r="N94" s="2"/>
    </x:row>
    <x:row r="95">
      <x:c r="A95" s="2"/>
      <x:c r="B95" s="2"/>
      <x:c r="C95" s="2"/>
      <x:c r="D95" s="2"/>
      <x:c r="E95" s="2"/>
      <x:c r="F95" s="2"/>
      <x:c r="G95" s="2"/>
      <x:c r="H95" s="2"/>
      <x:c r="I95" s="2"/>
      <x:c r="J95" s="2"/>
      <x:c r="K95" s="2"/>
      <x:c r="L95" s="2"/>
      <x:c r="M95" s="2"/>
      <x:c r="N95" s="2"/>
    </x:row>
    <x:row r="96">
      <x:c r="A96" s="2"/>
      <x:c r="B96" s="2"/>
      <x:c r="C96" s="2"/>
      <x:c r="D96" s="2"/>
      <x:c r="E96" s="2"/>
      <x:c r="F96" s="2"/>
      <x:c r="G96" s="2"/>
      <x:c r="H96" s="2"/>
      <x:c r="I96" s="2"/>
      <x:c r="J96" s="2"/>
      <x:c r="K96" s="2"/>
      <x:c r="L96" s="2"/>
      <x:c r="M96" s="2"/>
      <x:c r="N96" s="2"/>
    </x:row>
    <x:row r="97">
      <x:c r="A97" s="2"/>
      <x:c r="B97" s="2"/>
      <x:c r="C97" s="2"/>
      <x:c r="D97" s="2"/>
      <x:c r="E97" s="2"/>
      <x:c r="F97" s="2"/>
      <x:c r="G97" s="2"/>
      <x:c r="H97" s="2"/>
      <x:c r="I97" s="2"/>
      <x:c r="J97" s="2"/>
      <x:c r="K97" s="2"/>
      <x:c r="L97" s="2"/>
      <x:c r="M97" s="2"/>
      <x:c r="N97" s="2"/>
    </x:row>
    <x:row r="98">
      <x:c r="A98" s="2"/>
      <x:c r="B98" s="2"/>
      <x:c r="C98" s="2"/>
      <x:c r="D98" s="2"/>
      <x:c r="E98" s="2"/>
      <x:c r="F98" s="2"/>
      <x:c r="G98" s="2"/>
      <x:c r="H98" s="2"/>
      <x:c r="I98" s="2"/>
      <x:c r="J98" s="2"/>
      <x:c r="K98" s="2"/>
      <x:c r="L98" s="2"/>
      <x:c r="M98" s="2"/>
      <x:c r="N98" s="2"/>
    </x:row>
    <x:row r="99">
      <x:c r="A99" s="2"/>
      <x:c r="B99" s="2"/>
      <x:c r="C99" s="2"/>
      <x:c r="D99" s="2"/>
      <x:c r="E99" s="2"/>
      <x:c r="F99" s="2"/>
      <x:c r="G99" s="2"/>
      <x:c r="H99" s="2"/>
      <x:c r="I99" s="2"/>
      <x:c r="J99" s="2"/>
      <x:c r="K99" s="2"/>
      <x:c r="L99" s="2"/>
      <x:c r="M99" s="2"/>
      <x:c r="N99" s="2"/>
    </x:row>
    <x:row r="100">
      <x:c r="A100" s="2"/>
      <x:c r="B100" s="2"/>
      <x:c r="C100" s="2"/>
      <x:c r="D100" s="2"/>
      <x:c r="E100" s="2"/>
      <x:c r="F100" s="2"/>
      <x:c r="G100" s="2"/>
      <x:c r="H100" s="2"/>
      <x:c r="I100" s="2"/>
      <x:c r="J100" s="2"/>
      <x:c r="K100" s="2"/>
      <x:c r="L100" s="2"/>
      <x:c r="M100" s="2"/>
      <x:c r="N100" s="2"/>
    </x:row>
    <x:row r="101">
      <x:c r="A101" s="2"/>
      <x:c r="B101" s="2"/>
      <x:c r="C101" s="2"/>
      <x:c r="D101" s="2"/>
      <x:c r="E101" s="2"/>
      <x:c r="F101" s="2"/>
      <x:c r="G101" s="2"/>
      <x:c r="H101" s="2"/>
      <x:c r="I101" s="2"/>
      <x:c r="J101" s="2"/>
      <x:c r="K101" s="2"/>
      <x:c r="L101" s="2"/>
      <x:c r="M101" s="2"/>
      <x:c r="N101" s="2"/>
    </x:row>
    <x:row r="102">
      <x:c r="A102" s="2"/>
      <x:c r="B102" s="2"/>
      <x:c r="C102" s="2"/>
      <x:c r="D102" s="2"/>
      <x:c r="E102" s="2"/>
      <x:c r="F102" s="2"/>
      <x:c r="G102" s="2"/>
      <x:c r="H102" s="2"/>
      <x:c r="I102" s="2"/>
      <x:c r="J102" s="2"/>
      <x:c r="K102" s="2"/>
      <x:c r="L102" s="2"/>
      <x:c r="M102" s="2"/>
      <x:c r="N102" s="2"/>
    </x:row>
    <x:row r="103">
      <x:c r="A103" s="2"/>
      <x:c r="B103" s="2"/>
      <x:c r="C103" s="2"/>
      <x:c r="D103" s="2"/>
      <x:c r="E103" s="2"/>
      <x:c r="F103" s="2"/>
      <x:c r="G103" s="2"/>
      <x:c r="H103" s="2"/>
      <x:c r="I103" s="2"/>
      <x:c r="J103" s="2"/>
      <x:c r="K103" s="2"/>
      <x:c r="L103" s="2"/>
      <x:c r="M103" s="2"/>
      <x:c r="N103" s="2"/>
    </x:row>
    <x:row r="104">
      <x:c r="A104" s="2"/>
      <x:c r="B104" s="2"/>
      <x:c r="C104" s="2"/>
      <x:c r="D104" s="2"/>
      <x:c r="E104" s="2"/>
      <x:c r="F104" s="2"/>
      <x:c r="G104" s="2"/>
      <x:c r="H104" s="2"/>
      <x:c r="I104" s="2"/>
      <x:c r="J104" s="2"/>
      <x:c r="K104" s="2"/>
      <x:c r="L104" s="2"/>
      <x:c r="M104" s="2"/>
      <x:c r="N104" s="2"/>
    </x:row>
    <x:row r="105">
      <x:c r="A105" s="2"/>
      <x:c r="B105" s="2"/>
      <x:c r="C105" s="2"/>
      <x:c r="D105" s="2"/>
      <x:c r="E105" s="2"/>
      <x:c r="F105" s="2"/>
      <x:c r="G105" s="2"/>
      <x:c r="H105" s="2"/>
      <x:c r="I105" s="2"/>
      <x:c r="J105" s="2"/>
      <x:c r="K105" s="2"/>
      <x:c r="L105" s="2"/>
      <x:c r="M105" s="2"/>
      <x:c r="N105" s="2"/>
    </x:row>
    <x:row r="106">
      <x:c r="A106" s="2"/>
      <x:c r="B106" s="2"/>
      <x:c r="C106" s="2"/>
      <x:c r="D106" s="2"/>
      <x:c r="E106" s="2"/>
      <x:c r="F106" s="2"/>
      <x:c r="G106" s="2"/>
      <x:c r="H106" s="2"/>
      <x:c r="I106" s="2"/>
      <x:c r="J106" s="2"/>
      <x:c r="K106" s="2"/>
      <x:c r="L106" s="2"/>
      <x:c r="M106" s="2"/>
      <x:c r="N106" s="2"/>
    </x:row>
    <x:row r="107">
      <x:c r="A107" s="2"/>
      <x:c r="B107" s="2"/>
      <x:c r="C107" s="2"/>
      <x:c r="D107" s="2"/>
      <x:c r="E107" s="2"/>
      <x:c r="F107" s="2"/>
      <x:c r="G107" s="2"/>
      <x:c r="H107" s="2"/>
      <x:c r="I107" s="2"/>
      <x:c r="J107" s="2"/>
      <x:c r="K107" s="2"/>
      <x:c r="L107" s="2"/>
      <x:c r="M107" s="2"/>
      <x:c r="N107" s="2"/>
    </x:row>
    <x:row r="108">
      <x:c r="A108" s="2"/>
      <x:c r="B108" s="2"/>
      <x:c r="C108" s="2"/>
      <x:c r="D108" s="2"/>
      <x:c r="E108" s="2"/>
      <x:c r="F108" s="2"/>
      <x:c r="G108" s="2"/>
      <x:c r="H108" s="2"/>
      <x:c r="I108" s="2"/>
      <x:c r="J108" s="2"/>
      <x:c r="K108" s="2"/>
      <x:c r="L108" s="2"/>
      <x:c r="M108" s="2"/>
      <x:c r="N108" s="2"/>
    </x:row>
    <x:row r="109">
      <x:c r="A109" s="2"/>
      <x:c r="B109" s="2"/>
      <x:c r="C109" s="2"/>
      <x:c r="D109" s="2"/>
      <x:c r="E109" s="2"/>
      <x:c r="F109" s="2"/>
      <x:c r="G109" s="2"/>
      <x:c r="H109" s="2"/>
      <x:c r="I109" s="2"/>
      <x:c r="J109" s="2"/>
      <x:c r="K109" s="2"/>
      <x:c r="L109" s="2"/>
      <x:c r="M109" s="2"/>
      <x:c r="N109" s="2"/>
    </x:row>
    <x:row r="110">
      <x:c r="A110" s="2"/>
      <x:c r="B110" s="2"/>
      <x:c r="C110" s="2"/>
      <x:c r="D110" s="2"/>
      <x:c r="E110" s="2"/>
      <x:c r="F110" s="2"/>
      <x:c r="G110" s="2"/>
      <x:c r="H110" s="2"/>
      <x:c r="I110" s="2"/>
      <x:c r="J110" s="2"/>
      <x:c r="K110" s="2"/>
      <x:c r="L110" s="2"/>
      <x:c r="M110" s="2"/>
      <x:c r="N110" s="2"/>
    </x:row>
    <x:row r="111">
      <x:c r="A111" s="2"/>
      <x:c r="B111" s="2"/>
      <x:c r="C111" s="2"/>
      <x:c r="D111" s="2"/>
      <x:c r="E111" s="2"/>
      <x:c r="F111" s="2"/>
      <x:c r="G111" s="2"/>
      <x:c r="H111" s="2"/>
      <x:c r="I111" s="2"/>
      <x:c r="J111" s="2"/>
      <x:c r="K111" s="2"/>
      <x:c r="L111" s="2"/>
      <x:c r="M111" s="2"/>
      <x:c r="N111" s="2"/>
    </x:row>
    <x:row r="112">
      <x:c r="A112" s="2"/>
      <x:c r="B112" s="2"/>
      <x:c r="C112" s="2"/>
      <x:c r="D112" s="2"/>
      <x:c r="E112" s="2"/>
      <x:c r="F112" s="2"/>
      <x:c r="G112" s="2"/>
      <x:c r="H112" s="2"/>
      <x:c r="I112" s="2"/>
      <x:c r="J112" s="2"/>
      <x:c r="K112" s="2"/>
      <x:c r="L112" s="2"/>
      <x:c r="M112" s="2"/>
      <x:c r="N112" s="2"/>
    </x:row>
    <x:row r="113">
      <x:c r="A113" s="2"/>
      <x:c r="B113" s="2"/>
      <x:c r="C113" s="2"/>
      <x:c r="D113" s="2"/>
      <x:c r="E113" s="2"/>
      <x:c r="F113" s="2"/>
      <x:c r="G113" s="2"/>
      <x:c r="H113" s="2"/>
      <x:c r="I113" s="2"/>
      <x:c r="J113" s="2"/>
      <x:c r="K113" s="2"/>
      <x:c r="L113" s="2"/>
      <x:c r="M113" s="2"/>
      <x:c r="N113" s="2"/>
    </x:row>
    <x:row r="114">
      <x:c r="A114" s="2"/>
      <x:c r="B114" s="2"/>
      <x:c r="C114" s="2"/>
      <x:c r="D114" s="2"/>
      <x:c r="E114" s="2"/>
      <x:c r="F114" s="2"/>
      <x:c r="G114" s="2"/>
      <x:c r="H114" s="2"/>
      <x:c r="I114" s="2"/>
      <x:c r="J114" s="2"/>
      <x:c r="K114" s="2"/>
      <x:c r="L114" s="2"/>
      <x:c r="M114" s="2"/>
      <x:c r="N114" s="2"/>
    </x:row>
    <x:row r="115">
      <x:c r="A115" s="2"/>
      <x:c r="B115" s="2"/>
      <x:c r="C115" s="2"/>
      <x:c r="D115" s="2"/>
      <x:c r="E115" s="2"/>
      <x:c r="F115" s="2"/>
      <x:c r="G115" s="2"/>
      <x:c r="H115" s="2"/>
      <x:c r="I115" s="2"/>
      <x:c r="J115" s="2"/>
      <x:c r="K115" s="2"/>
      <x:c r="L115" s="2"/>
      <x:c r="M115" s="2"/>
      <x:c r="N115" s="2"/>
    </x:row>
    <x:row r="116">
      <x:c r="A116" s="2"/>
      <x:c r="B116" s="2"/>
      <x:c r="C116" s="2"/>
      <x:c r="D116" s="2"/>
      <x:c r="E116" s="2"/>
      <x:c r="F116" s="2"/>
      <x:c r="G116" s="2"/>
      <x:c r="H116" s="2"/>
      <x:c r="I116" s="2"/>
      <x:c r="J116" s="2"/>
      <x:c r="K116" s="2"/>
      <x:c r="L116" s="2"/>
      <x:c r="M116" s="2"/>
      <x:c r="N116" s="2"/>
    </x:row>
    <x:row r="117">
      <x:c r="A117" s="2"/>
      <x:c r="B117" s="2"/>
      <x:c r="C117" s="2"/>
      <x:c r="D117" s="2"/>
      <x:c r="E117" s="2"/>
      <x:c r="F117" s="2"/>
      <x:c r="G117" s="2"/>
      <x:c r="H117" s="2"/>
      <x:c r="I117" s="2"/>
      <x:c r="J117" s="2"/>
      <x:c r="K117" s="2"/>
      <x:c r="L117" s="2"/>
      <x:c r="M117" s="2"/>
      <x:c r="N117" s="2"/>
    </x:row>
    <x:row r="118">
      <x:c r="A118" s="2"/>
      <x:c r="B118" s="2"/>
      <x:c r="C118" s="2"/>
      <x:c r="D118" s="2"/>
      <x:c r="E118" s="2"/>
      <x:c r="F118" s="2"/>
      <x:c r="G118" s="2"/>
      <x:c r="H118" s="2"/>
      <x:c r="I118" s="2"/>
      <x:c r="J118" s="2"/>
      <x:c r="K118" s="2"/>
      <x:c r="L118" s="2"/>
      <x:c r="M118" s="2"/>
      <x:c r="N118" s="2"/>
    </x:row>
    <x:row r="119">
      <x:c r="A119" s="2"/>
      <x:c r="B119" s="2"/>
      <x:c r="C119" s="2"/>
      <x:c r="D119" s="2"/>
      <x:c r="E119" s="2"/>
      <x:c r="F119" s="2"/>
      <x:c r="G119" s="2"/>
      <x:c r="H119" s="2"/>
      <x:c r="I119" s="2"/>
      <x:c r="J119" s="2"/>
      <x:c r="K119" s="2"/>
      <x:c r="L119" s="2"/>
      <x:c r="M119" s="2"/>
      <x:c r="N119" s="2"/>
    </x:row>
    <x:row r="120">
      <x:c r="A120" s="2"/>
      <x:c r="B120" s="2"/>
      <x:c r="C120" s="2"/>
      <x:c r="D120" s="2"/>
      <x:c r="E120" s="2"/>
      <x:c r="F120" s="2"/>
      <x:c r="G120" s="2"/>
      <x:c r="H120" s="2"/>
      <x:c r="I120" s="2"/>
      <x:c r="J120" s="2"/>
      <x:c r="K120" s="2"/>
      <x:c r="L120" s="2"/>
      <x:c r="M120" s="2"/>
      <x:c r="N120" s="2"/>
    </x:row>
    <x:row r="121">
      <x:c r="A121" s="2"/>
      <x:c r="B121" s="2"/>
      <x:c r="C121" s="2"/>
      <x:c r="D121" s="2"/>
      <x:c r="E121" s="2"/>
      <x:c r="F121" s="2"/>
      <x:c r="G121" s="2"/>
      <x:c r="H121" s="2"/>
      <x:c r="I121" s="2"/>
      <x:c r="J121" s="2"/>
      <x:c r="K121" s="2"/>
      <x:c r="L121" s="2"/>
      <x:c r="M121" s="2"/>
      <x:c r="N121" s="2"/>
    </x:row>
    <x:row r="122">
      <x:c r="A122" s="2"/>
      <x:c r="B122" s="2"/>
      <x:c r="C122" s="2"/>
      <x:c r="D122" s="2"/>
      <x:c r="E122" s="2"/>
      <x:c r="F122" s="2"/>
      <x:c r="G122" s="2"/>
      <x:c r="H122" s="2"/>
      <x:c r="I122" s="2"/>
      <x:c r="J122" s="2"/>
      <x:c r="K122" s="2"/>
      <x:c r="L122" s="2"/>
      <x:c r="M122" s="2"/>
      <x:c r="N122" s="2"/>
    </x:row>
    <x:row r="123">
      <x:c r="A123" s="2"/>
      <x:c r="B123" s="2"/>
      <x:c r="C123" s="2"/>
      <x:c r="D123" s="2"/>
      <x:c r="E123" s="2"/>
      <x:c r="F123" s="2"/>
      <x:c r="G123" s="2"/>
      <x:c r="H123" s="2"/>
      <x:c r="I123" s="2"/>
      <x:c r="J123" s="2"/>
      <x:c r="K123" s="2"/>
      <x:c r="L123" s="2"/>
      <x:c r="M123" s="2"/>
      <x:c r="N123" s="2"/>
    </x:row>
    <x:row r="124">
      <x:c r="A124" s="2"/>
      <x:c r="B124" s="2"/>
      <x:c r="C124" s="2"/>
      <x:c r="D124" s="2"/>
      <x:c r="E124" s="2"/>
      <x:c r="F124" s="2"/>
      <x:c r="G124" s="2"/>
      <x:c r="H124" s="2"/>
      <x:c r="I124" s="2"/>
      <x:c r="J124" s="2"/>
      <x:c r="K124" s="2"/>
      <x:c r="L124" s="2"/>
      <x:c r="M124" s="2"/>
      <x:c r="N124" s="2"/>
    </x:row>
    <x:row r="125">
      <x:c r="A125" s="2"/>
      <x:c r="B125" s="2"/>
      <x:c r="C125" s="2"/>
      <x:c r="D125" s="2"/>
      <x:c r="E125" s="2"/>
      <x:c r="F125" s="2"/>
      <x:c r="G125" s="2"/>
      <x:c r="H125" s="2"/>
      <x:c r="I125" s="2"/>
      <x:c r="J125" s="2"/>
      <x:c r="K125" s="2"/>
      <x:c r="L125" s="2"/>
      <x:c r="M125" s="2"/>
      <x:c r="N125" s="2"/>
    </x:row>
    <x:row r="126">
      <x:c r="A126" s="2"/>
      <x:c r="B126" s="2"/>
      <x:c r="C126" s="2"/>
      <x:c r="D126" s="2"/>
      <x:c r="E126" s="2"/>
      <x:c r="F126" s="2"/>
      <x:c r="G126" s="2"/>
      <x:c r="H126" s="2"/>
      <x:c r="I126" s="2"/>
      <x:c r="J126" s="2"/>
      <x:c r="K126" s="2"/>
      <x:c r="L126" s="2"/>
      <x:c r="M126" s="2"/>
      <x:c r="N126" s="2"/>
    </x:row>
    <x:row r="127">
      <x:c r="A127" s="2"/>
      <x:c r="B127" s="2"/>
      <x:c r="C127" s="2"/>
      <x:c r="D127" s="2"/>
      <x:c r="E127" s="2"/>
      <x:c r="F127" s="2"/>
      <x:c r="G127" s="2"/>
      <x:c r="H127" s="2"/>
      <x:c r="I127" s="2"/>
      <x:c r="J127" s="2"/>
      <x:c r="K127" s="2"/>
      <x:c r="L127" s="2"/>
      <x:c r="M127" s="2"/>
      <x:c r="N127" s="2"/>
    </x:row>
    <x:row r="128">
      <x:c r="A128" s="2"/>
      <x:c r="B128" s="2"/>
      <x:c r="C128" s="2"/>
      <x:c r="D128" s="2"/>
      <x:c r="E128" s="2"/>
      <x:c r="F128" s="2"/>
      <x:c r="G128" s="2"/>
      <x:c r="H128" s="2"/>
      <x:c r="I128" s="2"/>
      <x:c r="J128" s="2"/>
      <x:c r="K128" s="2"/>
      <x:c r="L128" s="2"/>
      <x:c r="M128" s="2"/>
      <x:c r="N128" s="2"/>
    </x:row>
    <x:row r="129">
      <x:c r="A129" s="2"/>
      <x:c r="B129" s="2"/>
      <x:c r="C129" s="2"/>
      <x:c r="D129" s="2"/>
      <x:c r="E129" s="2"/>
      <x:c r="F129" s="2"/>
      <x:c r="G129" s="2"/>
      <x:c r="H129" s="2"/>
      <x:c r="I129" s="2"/>
      <x:c r="J129" s="2"/>
      <x:c r="K129" s="2"/>
      <x:c r="L129" s="2"/>
      <x:c r="M129" s="2"/>
      <x:c r="N129" s="2"/>
    </x:row>
    <x:row r="130">
      <x:c r="A130" s="2"/>
      <x:c r="B130" s="2"/>
      <x:c r="C130" s="2"/>
      <x:c r="D130" s="2"/>
      <x:c r="E130" s="2"/>
      <x:c r="F130" s="2"/>
      <x:c r="G130" s="2"/>
      <x:c r="H130" s="2"/>
      <x:c r="I130" s="2"/>
      <x:c r="J130" s="2"/>
      <x:c r="K130" s="2"/>
      <x:c r="L130" s="2"/>
      <x:c r="M130" s="2"/>
      <x:c r="N130" s="2"/>
    </x:row>
    <x:row r="131">
      <x:c r="A131" s="2"/>
      <x:c r="B131" s="2"/>
      <x:c r="C131" s="2"/>
      <x:c r="D131" s="2"/>
      <x:c r="E131" s="2"/>
      <x:c r="F131" s="2"/>
      <x:c r="G131" s="2"/>
      <x:c r="H131" s="2"/>
      <x:c r="I131" s="2"/>
      <x:c r="J131" s="2"/>
      <x:c r="K131" s="2"/>
      <x:c r="L131" s="2"/>
      <x:c r="M131" s="2"/>
      <x:c r="N131" s="2"/>
    </x:row>
    <x:row r="132">
      <x:c r="A132" s="2"/>
      <x:c r="B132" s="2"/>
      <x:c r="C132" s="2"/>
      <x:c r="D132" s="2"/>
      <x:c r="E132" s="2"/>
      <x:c r="F132" s="2"/>
      <x:c r="G132" s="2"/>
      <x:c r="H132" s="2"/>
      <x:c r="I132" s="2"/>
      <x:c r="J132" s="2"/>
      <x:c r="K132" s="2"/>
      <x:c r="L132" s="2"/>
      <x:c r="M132" s="2"/>
      <x:c r="N132" s="2"/>
    </x:row>
    <x:row r="133">
      <x:c r="A133" s="2"/>
      <x:c r="B133" s="2"/>
      <x:c r="C133" s="2"/>
      <x:c r="D133" s="2"/>
      <x:c r="E133" s="2"/>
      <x:c r="F133" s="2"/>
      <x:c r="G133" s="2"/>
      <x:c r="H133" s="2"/>
      <x:c r="I133" s="2"/>
      <x:c r="J133" s="2"/>
      <x:c r="K133" s="2"/>
      <x:c r="L133" s="2"/>
      <x:c r="M133" s="2"/>
      <x:c r="N133" s="2"/>
    </x:row>
    <x:row r="134">
      <x:c r="A134" s="2"/>
      <x:c r="B134" s="2"/>
      <x:c r="C134" s="2"/>
      <x:c r="D134" s="2"/>
      <x:c r="E134" s="2"/>
      <x:c r="F134" s="2"/>
      <x:c r="G134" s="2"/>
      <x:c r="H134" s="2"/>
      <x:c r="I134" s="2"/>
      <x:c r="J134" s="2"/>
      <x:c r="K134" s="2"/>
      <x:c r="L134" s="2"/>
      <x:c r="M134" s="2"/>
      <x:c r="N134" s="2"/>
    </x:row>
    <x:row r="135">
      <x:c r="A135" s="2"/>
      <x:c r="B135" s="2"/>
      <x:c r="C135" s="2"/>
      <x:c r="D135" s="2"/>
      <x:c r="E135" s="2"/>
      <x:c r="F135" s="2"/>
      <x:c r="G135" s="2"/>
      <x:c r="H135" s="2"/>
      <x:c r="I135" s="2"/>
      <x:c r="J135" s="2"/>
      <x:c r="K135" s="2"/>
      <x:c r="L135" s="2"/>
      <x:c r="M135" s="2"/>
      <x:c r="N135" s="2"/>
    </x:row>
    <x:row r="136">
      <x:c r="A136" s="2"/>
      <x:c r="B136" s="2"/>
      <x:c r="C136" s="2"/>
      <x:c r="D136" s="2"/>
      <x:c r="E136" s="2"/>
      <x:c r="F136" s="2"/>
      <x:c r="G136" s="2"/>
      <x:c r="H136" s="2"/>
      <x:c r="I136" s="2"/>
      <x:c r="J136" s="2"/>
      <x:c r="K136" s="2"/>
      <x:c r="L136" s="2"/>
      <x:c r="M136" s="2"/>
      <x:c r="N136" s="2"/>
    </x:row>
    <x:row r="137">
      <x:c r="A137" s="2"/>
      <x:c r="B137" s="2"/>
      <x:c r="C137" s="2"/>
      <x:c r="D137" s="2"/>
      <x:c r="E137" s="2"/>
      <x:c r="F137" s="2"/>
      <x:c r="G137" s="2"/>
      <x:c r="H137" s="2"/>
      <x:c r="I137" s="2"/>
      <x:c r="J137" s="2"/>
      <x:c r="K137" s="2"/>
      <x:c r="L137" s="2"/>
      <x:c r="M137" s="2"/>
      <x:c r="N137" s="2"/>
    </x:row>
    <x:row r="138">
      <x:c r="A138" s="2"/>
      <x:c r="B138" s="2"/>
      <x:c r="C138" s="2"/>
      <x:c r="D138" s="2"/>
      <x:c r="E138" s="2"/>
      <x:c r="F138" s="2"/>
      <x:c r="G138" s="2"/>
      <x:c r="H138" s="2"/>
      <x:c r="I138" s="2"/>
      <x:c r="J138" s="2"/>
      <x:c r="K138" s="2"/>
      <x:c r="L138" s="2"/>
      <x:c r="M138" s="2"/>
      <x:c r="N138" s="2"/>
    </x:row>
    <x:row r="139">
      <x:c r="A139" s="2"/>
      <x:c r="B139" s="2"/>
      <x:c r="C139" s="2"/>
      <x:c r="D139" s="2"/>
      <x:c r="E139" s="2"/>
      <x:c r="F139" s="2"/>
      <x:c r="G139" s="2"/>
      <x:c r="H139" s="2"/>
      <x:c r="I139" s="2"/>
      <x:c r="J139" s="2"/>
      <x:c r="K139" s="2"/>
      <x:c r="L139" s="2"/>
      <x:c r="M139" s="2"/>
      <x:c r="N139" s="2"/>
    </x:row>
    <x:row r="140">
      <x:c r="A140" s="2"/>
      <x:c r="B140" s="2"/>
      <x:c r="C140" s="2"/>
      <x:c r="D140" s="2"/>
      <x:c r="E140" s="2"/>
      <x:c r="F140" s="2"/>
      <x:c r="G140" s="2"/>
      <x:c r="H140" s="2"/>
      <x:c r="I140" s="2"/>
      <x:c r="J140" s="2"/>
      <x:c r="K140" s="2"/>
      <x:c r="L140" s="2"/>
      <x:c r="M140" s="2"/>
      <x:c r="N140" s="2"/>
    </x:row>
    <x:row r="141">
      <x:c r="A141" s="2"/>
      <x:c r="B141" s="2"/>
      <x:c r="C141" s="2"/>
      <x:c r="D141" s="2"/>
      <x:c r="E141" s="2"/>
      <x:c r="F141" s="2"/>
      <x:c r="G141" s="2"/>
      <x:c r="H141" s="2"/>
      <x:c r="I141" s="2"/>
      <x:c r="J141" s="2"/>
      <x:c r="K141" s="2"/>
      <x:c r="L141" s="2"/>
      <x:c r="M141" s="2"/>
      <x:c r="N141" s="2"/>
    </x:row>
    <x:row r="142">
      <x:c r="A142" s="2"/>
      <x:c r="B142" s="2"/>
      <x:c r="C142" s="2"/>
      <x:c r="D142" s="2"/>
      <x:c r="E142" s="2"/>
      <x:c r="F142" s="2"/>
      <x:c r="G142" s="2"/>
      <x:c r="H142" s="2"/>
      <x:c r="I142" s="2"/>
      <x:c r="J142" s="2"/>
      <x:c r="K142" s="2"/>
      <x:c r="L142" s="2"/>
      <x:c r="M142" s="2"/>
      <x:c r="N142" s="2"/>
    </x:row>
    <x:row r="143">
      <x:c r="A143" s="2"/>
      <x:c r="B143" s="2"/>
      <x:c r="C143" s="2"/>
      <x:c r="D143" s="2"/>
      <x:c r="E143" s="2"/>
      <x:c r="F143" s="2"/>
      <x:c r="G143" s="2"/>
      <x:c r="H143" s="2"/>
      <x:c r="I143" s="2"/>
      <x:c r="J143" s="2"/>
      <x:c r="K143" s="2"/>
      <x:c r="L143" s="2"/>
      <x:c r="M143" s="2"/>
      <x:c r="N143" s="2"/>
    </x:row>
    <x:row r="144">
      <x:c r="A144" s="2"/>
      <x:c r="B144" s="2"/>
      <x:c r="C144" s="2"/>
      <x:c r="D144" s="2"/>
      <x:c r="E144" s="2"/>
      <x:c r="F144" s="2"/>
      <x:c r="G144" s="2"/>
      <x:c r="H144" s="2"/>
      <x:c r="I144" s="2"/>
      <x:c r="J144" s="2"/>
      <x:c r="K144" s="2"/>
      <x:c r="L144" s="2"/>
      <x:c r="M144" s="2"/>
      <x:c r="N144" s="2"/>
    </x:row>
    <x:row r="145">
      <x:c r="A145" s="2"/>
      <x:c r="B145" s="2"/>
      <x:c r="C145" s="2"/>
      <x:c r="D145" s="2"/>
      <x:c r="E145" s="2"/>
      <x:c r="F145" s="2"/>
      <x:c r="G145" s="2"/>
      <x:c r="H145" s="2"/>
      <x:c r="I145" s="2"/>
      <x:c r="J145" s="2"/>
      <x:c r="K145" s="2"/>
      <x:c r="L145" s="2"/>
      <x:c r="M145" s="2"/>
      <x:c r="N145" s="2"/>
    </x:row>
    <x:row r="146">
      <x:c r="A146" s="2"/>
      <x:c r="B146" s="2"/>
      <x:c r="C146" s="2"/>
      <x:c r="D146" s="2"/>
      <x:c r="E146" s="2"/>
      <x:c r="F146" s="2"/>
      <x:c r="G146" s="2"/>
      <x:c r="H146" s="2"/>
      <x:c r="I146" s="2"/>
      <x:c r="J146" s="2"/>
      <x:c r="K146" s="2"/>
      <x:c r="L146" s="2"/>
      <x:c r="M146" s="2"/>
      <x:c r="N146" s="2"/>
    </x:row>
    <x:row r="147">
      <x:c r="A147" s="2"/>
      <x:c r="B147" s="2"/>
      <x:c r="C147" s="2"/>
      <x:c r="D147" s="2"/>
      <x:c r="E147" s="2"/>
      <x:c r="F147" s="2"/>
      <x:c r="G147" s="2"/>
      <x:c r="H147" s="2"/>
      <x:c r="I147" s="2"/>
      <x:c r="J147" s="2"/>
      <x:c r="K147" s="2"/>
      <x:c r="L147" s="2"/>
      <x:c r="M147" s="2"/>
      <x:c r="N147" s="2"/>
    </x:row>
    <x:row r="148">
      <x:c r="A148" s="2"/>
      <x:c r="B148" s="2"/>
      <x:c r="C148" s="2"/>
      <x:c r="D148" s="2"/>
      <x:c r="E148" s="2"/>
      <x:c r="F148" s="2"/>
      <x:c r="G148" s="2"/>
      <x:c r="H148" s="2"/>
      <x:c r="I148" s="2"/>
      <x:c r="J148" s="2"/>
      <x:c r="K148" s="2"/>
      <x:c r="L148" s="2"/>
      <x:c r="M148" s="2"/>
      <x:c r="N148" s="2"/>
    </x:row>
    <x:row r="149">
      <x:c r="A149" s="2"/>
      <x:c r="B149" s="2"/>
      <x:c r="C149" s="2"/>
      <x:c r="D149" s="2"/>
      <x:c r="E149" s="2"/>
      <x:c r="F149" s="2"/>
      <x:c r="G149" s="2"/>
      <x:c r="H149" s="2"/>
      <x:c r="I149" s="2"/>
      <x:c r="J149" s="2"/>
      <x:c r="K149" s="2"/>
      <x:c r="L149" s="2"/>
      <x:c r="M149" s="2"/>
      <x:c r="N149" s="2"/>
    </x:row>
    <x:row r="150">
      <x:c r="A150" s="2"/>
      <x:c r="B150" s="2"/>
      <x:c r="C150" s="2"/>
      <x:c r="D150" s="2"/>
      <x:c r="E150" s="2"/>
      <x:c r="F150" s="2"/>
      <x:c r="G150" s="2"/>
      <x:c r="H150" s="2"/>
      <x:c r="I150" s="2"/>
      <x:c r="J150" s="2"/>
      <x:c r="K150" s="2"/>
      <x:c r="L150" s="2"/>
      <x:c r="M150" s="2"/>
      <x:c r="N150" s="2"/>
    </x:row>
    <x:row r="151">
      <x:c r="A151" s="2"/>
      <x:c r="B151" s="2"/>
      <x:c r="C151" s="2"/>
      <x:c r="D151" s="2"/>
      <x:c r="E151" s="2"/>
      <x:c r="F151" s="2"/>
      <x:c r="G151" s="2"/>
      <x:c r="H151" s="2"/>
      <x:c r="I151" s="2"/>
      <x:c r="J151" s="2"/>
      <x:c r="K151" s="2"/>
      <x:c r="L151" s="2"/>
      <x:c r="M151" s="2"/>
      <x:c r="N151" s="2"/>
    </x:row>
    <x:row r="152">
      <x:c r="A152" s="2"/>
      <x:c r="B152" s="2"/>
      <x:c r="C152" s="2"/>
      <x:c r="D152" s="2"/>
      <x:c r="E152" s="2"/>
      <x:c r="F152" s="2"/>
      <x:c r="G152" s="2"/>
      <x:c r="H152" s="2"/>
      <x:c r="I152" s="2"/>
      <x:c r="J152" s="2"/>
      <x:c r="K152" s="2"/>
      <x:c r="L152" s="2"/>
      <x:c r="M152" s="2"/>
      <x:c r="N152" s="2"/>
    </x:row>
    <x:row r="153">
      <x:c r="A153" s="2"/>
      <x:c r="B153" s="2"/>
      <x:c r="C153" s="2"/>
      <x:c r="D153" s="2"/>
      <x:c r="E153" s="2"/>
      <x:c r="F153" s="2"/>
      <x:c r="G153" s="2"/>
      <x:c r="H153" s="2"/>
      <x:c r="I153" s="2"/>
      <x:c r="J153" s="2"/>
      <x:c r="K153" s="2"/>
      <x:c r="L153" s="2"/>
      <x:c r="M153" s="2"/>
      <x:c r="N153" s="2"/>
    </x:row>
    <x:row r="154">
      <x:c r="A154" s="2"/>
      <x:c r="B154" s="2"/>
      <x:c r="C154" s="2"/>
      <x:c r="D154" s="2"/>
      <x:c r="E154" s="2"/>
      <x:c r="F154" s="2"/>
      <x:c r="G154" s="2"/>
      <x:c r="H154" s="2"/>
      <x:c r="I154" s="2"/>
      <x:c r="J154" s="2"/>
      <x:c r="K154" s="2"/>
      <x:c r="L154" s="2"/>
      <x:c r="M154" s="2"/>
      <x:c r="N154" s="2"/>
    </x:row>
    <x:row r="155">
      <x:c r="A155" s="2"/>
      <x:c r="B155" s="2"/>
      <x:c r="C155" s="2"/>
      <x:c r="D155" s="2"/>
      <x:c r="E155" s="2"/>
      <x:c r="F155" s="2"/>
      <x:c r="G155" s="2"/>
      <x:c r="H155" s="2"/>
      <x:c r="I155" s="2"/>
      <x:c r="J155" s="2"/>
      <x:c r="K155" s="2"/>
      <x:c r="L155" s="2"/>
      <x:c r="M155" s="2"/>
      <x:c r="N155" s="2"/>
    </x:row>
    <x:row r="156">
      <x:c r="A156" s="2"/>
      <x:c r="B156" s="2"/>
      <x:c r="C156" s="2"/>
      <x:c r="D156" s="2"/>
      <x:c r="E156" s="2"/>
      <x:c r="F156" s="2"/>
      <x:c r="G156" s="2"/>
      <x:c r="H156" s="2"/>
      <x:c r="I156" s="2"/>
      <x:c r="J156" s="2"/>
      <x:c r="K156" s="2"/>
      <x:c r="L156" s="2"/>
      <x:c r="M156" s="2"/>
      <x:c r="N156" s="2"/>
    </x:row>
    <x:row r="157">
      <x:c r="A157" s="2"/>
      <x:c r="B157" s="2"/>
      <x:c r="C157" s="2"/>
      <x:c r="D157" s="2"/>
      <x:c r="E157" s="2"/>
      <x:c r="F157" s="2"/>
      <x:c r="G157" s="2"/>
      <x:c r="H157" s="2"/>
      <x:c r="I157" s="2"/>
      <x:c r="J157" s="2"/>
      <x:c r="K157" s="2"/>
      <x:c r="L157" s="2"/>
      <x:c r="M157" s="2"/>
      <x:c r="N157" s="2"/>
    </x:row>
    <x:row r="158">
      <x:c r="A158" s="2"/>
      <x:c r="B158" s="2"/>
      <x:c r="C158" s="2"/>
      <x:c r="D158" s="2"/>
      <x:c r="E158" s="2"/>
      <x:c r="F158" s="2"/>
      <x:c r="G158" s="2"/>
      <x:c r="H158" s="2"/>
      <x:c r="I158" s="2"/>
      <x:c r="J158" s="2"/>
      <x:c r="K158" s="2"/>
      <x:c r="L158" s="2"/>
      <x:c r="M158" s="2"/>
      <x:c r="N158" s="2"/>
    </x:row>
    <x:row r="159">
      <x:c r="A159" s="2"/>
      <x:c r="B159" s="2"/>
      <x:c r="C159" s="2"/>
      <x:c r="D159" s="2"/>
      <x:c r="E159" s="2"/>
      <x:c r="F159" s="2"/>
      <x:c r="G159" s="2"/>
      <x:c r="H159" s="2"/>
      <x:c r="I159" s="2"/>
      <x:c r="J159" s="2"/>
      <x:c r="K159" s="2"/>
      <x:c r="L159" s="2"/>
      <x:c r="M159" s="2"/>
      <x:c r="N159" s="2"/>
    </x:row>
    <x:row r="160">
      <x:c r="A160" s="2"/>
      <x:c r="B160" s="2"/>
      <x:c r="C160" s="2"/>
      <x:c r="D160" s="2"/>
      <x:c r="E160" s="2"/>
      <x:c r="F160" s="2"/>
      <x:c r="G160" s="2"/>
      <x:c r="H160" s="2"/>
      <x:c r="I160" s="2"/>
      <x:c r="J160" s="2"/>
      <x:c r="K160" s="2"/>
      <x:c r="L160" s="2"/>
      <x:c r="M160" s="2"/>
      <x:c r="N160" s="2"/>
    </x:row>
    <x:row r="161">
      <x:c r="A161" s="2"/>
      <x:c r="B161" s="2"/>
      <x:c r="C161" s="2"/>
      <x:c r="D161" s="2"/>
      <x:c r="E161" s="2"/>
      <x:c r="F161" s="2"/>
      <x:c r="G161" s="2"/>
      <x:c r="H161" s="2"/>
      <x:c r="I161" s="2"/>
      <x:c r="J161" s="2"/>
      <x:c r="K161" s="2"/>
      <x:c r="L161" s="2"/>
      <x:c r="M161" s="2"/>
      <x:c r="N161" s="2"/>
    </x:row>
    <x:row r="162">
      <x:c r="A162" s="2"/>
      <x:c r="B162" s="2"/>
      <x:c r="C162" s="2"/>
      <x:c r="D162" s="2"/>
      <x:c r="E162" s="2"/>
      <x:c r="F162" s="2"/>
      <x:c r="G162" s="2"/>
      <x:c r="H162" s="2"/>
      <x:c r="I162" s="2"/>
      <x:c r="J162" s="2"/>
      <x:c r="K162" s="2"/>
      <x:c r="L162" s="2"/>
      <x:c r="M162" s="2"/>
      <x:c r="N162" s="2"/>
    </x:row>
    <x:row r="163">
      <x:c r="A163" s="2"/>
      <x:c r="B163" s="2"/>
      <x:c r="C163" s="2"/>
      <x:c r="D163" s="2"/>
      <x:c r="E163" s="2"/>
      <x:c r="F163" s="2"/>
      <x:c r="G163" s="2"/>
      <x:c r="H163" s="2"/>
      <x:c r="I163" s="2"/>
      <x:c r="J163" s="2"/>
      <x:c r="K163" s="2"/>
      <x:c r="L163" s="2"/>
      <x:c r="M163" s="2"/>
      <x:c r="N163" s="2"/>
    </x:row>
    <x:row r="164">
      <x:c r="A164" s="2"/>
      <x:c r="B164" s="2"/>
      <x:c r="C164" s="2"/>
      <x:c r="D164" s="2"/>
      <x:c r="E164" s="2"/>
      <x:c r="F164" s="2"/>
      <x:c r="G164" s="2"/>
      <x:c r="H164" s="2"/>
      <x:c r="I164" s="2"/>
      <x:c r="J164" s="2"/>
      <x:c r="K164" s="2"/>
      <x:c r="L164" s="2"/>
      <x:c r="M164" s="2"/>
      <x:c r="N164" s="2"/>
    </x:row>
    <x:row r="165">
      <x:c r="A165" s="2"/>
      <x:c r="B165" s="2"/>
      <x:c r="C165" s="2"/>
      <x:c r="D165" s="2"/>
      <x:c r="E165" s="2"/>
      <x:c r="F165" s="2"/>
      <x:c r="G165" s="2"/>
      <x:c r="H165" s="2"/>
      <x:c r="I165" s="2"/>
      <x:c r="J165" s="2"/>
      <x:c r="K165" s="2"/>
      <x:c r="L165" s="2"/>
      <x:c r="M165" s="2"/>
      <x:c r="N165" s="2"/>
    </x:row>
    <x:row r="166">
      <x:c r="A166" s="2"/>
      <x:c r="B166" s="2"/>
      <x:c r="C166" s="2"/>
      <x:c r="D166" s="2"/>
      <x:c r="E166" s="2"/>
      <x:c r="F166" s="2"/>
      <x:c r="G166" s="2"/>
      <x:c r="H166" s="2"/>
      <x:c r="I166" s="2"/>
      <x:c r="J166" s="2"/>
      <x:c r="K166" s="2"/>
      <x:c r="L166" s="2"/>
      <x:c r="M166" s="2"/>
      <x:c r="N166" s="2"/>
    </x:row>
    <x:row r="167">
      <x:c r="A167" s="2"/>
      <x:c r="B167" s="2"/>
      <x:c r="C167" s="2"/>
      <x:c r="D167" s="2"/>
      <x:c r="E167" s="2"/>
      <x:c r="F167" s="2"/>
      <x:c r="G167" s="2"/>
      <x:c r="H167" s="2"/>
      <x:c r="I167" s="2"/>
      <x:c r="J167" s="2"/>
      <x:c r="K167" s="2"/>
      <x:c r="L167" s="2"/>
      <x:c r="M167" s="2"/>
      <x:c r="N167" s="2"/>
    </x:row>
    <x:row r="168">
      <x:c r="A168" s="2"/>
      <x:c r="B168" s="2"/>
      <x:c r="C168" s="2"/>
      <x:c r="D168" s="2"/>
      <x:c r="E168" s="2"/>
      <x:c r="F168" s="2"/>
      <x:c r="G168" s="2"/>
      <x:c r="H168" s="2"/>
      <x:c r="I168" s="2"/>
      <x:c r="J168" s="2"/>
      <x:c r="K168" s="2"/>
      <x:c r="L168" s="2"/>
      <x:c r="M168" s="2"/>
      <x:c r="N168" s="2"/>
    </x:row>
    <x:row r="169">
      <x:c r="A169" s="2"/>
      <x:c r="B169" s="2"/>
      <x:c r="C169" s="2"/>
      <x:c r="D169" s="2"/>
      <x:c r="E169" s="2"/>
      <x:c r="F169" s="2"/>
      <x:c r="G169" s="2"/>
      <x:c r="H169" s="2"/>
      <x:c r="I169" s="2"/>
      <x:c r="J169" s="2"/>
      <x:c r="K169" s="2"/>
      <x:c r="L169" s="2"/>
      <x:c r="M169" s="2"/>
      <x:c r="N169" s="2"/>
    </x:row>
    <x:row r="170">
      <x:c r="A170" s="2"/>
      <x:c r="B170" s="2"/>
      <x:c r="C170" s="2"/>
      <x:c r="D170" s="2"/>
      <x:c r="E170" s="2"/>
      <x:c r="F170" s="2"/>
      <x:c r="G170" s="2"/>
      <x:c r="H170" s="2"/>
      <x:c r="I170" s="2"/>
      <x:c r="J170" s="2"/>
      <x:c r="K170" s="2"/>
      <x:c r="L170" s="2"/>
      <x:c r="M170" s="2"/>
      <x:c r="N170" s="2"/>
    </x:row>
    <x:row r="171">
      <x:c r="A171" s="2"/>
      <x:c r="B171" s="2"/>
      <x:c r="C171" s="2"/>
      <x:c r="D171" s="2"/>
      <x:c r="E171" s="2"/>
      <x:c r="F171" s="2"/>
      <x:c r="G171" s="2"/>
      <x:c r="H171" s="2"/>
      <x:c r="I171" s="2"/>
      <x:c r="J171" s="2"/>
      <x:c r="K171" s="2"/>
      <x:c r="L171" s="2"/>
      <x:c r="M171" s="2"/>
      <x:c r="N171" s="2"/>
    </x:row>
    <x:row r="172">
      <x:c r="A172" s="2"/>
      <x:c r="B172" s="2"/>
      <x:c r="C172" s="2"/>
      <x:c r="D172" s="2"/>
      <x:c r="E172" s="2"/>
      <x:c r="F172" s="2"/>
      <x:c r="G172" s="2"/>
      <x:c r="H172" s="2"/>
      <x:c r="I172" s="2"/>
      <x:c r="J172" s="2"/>
      <x:c r="K172" s="2"/>
      <x:c r="L172" s="2"/>
      <x:c r="M172" s="2"/>
      <x:c r="N172" s="2"/>
    </x:row>
    <x:row r="173">
      <x:c r="A173" s="2"/>
      <x:c r="B173" s="2"/>
      <x:c r="C173" s="2"/>
      <x:c r="D173" s="2"/>
      <x:c r="E173" s="2"/>
      <x:c r="F173" s="2"/>
      <x:c r="G173" s="2"/>
      <x:c r="H173" s="2"/>
      <x:c r="I173" s="2"/>
      <x:c r="J173" s="2"/>
      <x:c r="K173" s="2"/>
      <x:c r="L173" s="2"/>
      <x:c r="M173" s="2"/>
      <x:c r="N173" s="2"/>
    </x:row>
    <x:row r="174">
      <x:c r="A174" s="2"/>
      <x:c r="B174" s="2"/>
      <x:c r="C174" s="2"/>
      <x:c r="D174" s="2"/>
      <x:c r="E174" s="2"/>
      <x:c r="F174" s="2"/>
      <x:c r="G174" s="2"/>
      <x:c r="H174" s="2"/>
      <x:c r="I174" s="2"/>
      <x:c r="J174" s="2"/>
      <x:c r="K174" s="2"/>
      <x:c r="L174" s="2"/>
      <x:c r="M174" s="2"/>
      <x:c r="N174" s="2"/>
    </x:row>
    <x:row r="175">
      <x:c r="A175" s="2"/>
      <x:c r="B175" s="2"/>
      <x:c r="C175" s="2"/>
      <x:c r="D175" s="2"/>
      <x:c r="E175" s="2"/>
      <x:c r="F175" s="2"/>
      <x:c r="G175" s="2"/>
      <x:c r="H175" s="2"/>
      <x:c r="I175" s="2"/>
      <x:c r="J175" s="2"/>
      <x:c r="K175" s="2"/>
      <x:c r="L175" s="2"/>
      <x:c r="M175" s="2"/>
      <x:c r="N175" s="2"/>
    </x:row>
    <x:row r="176">
      <x:c r="A176" s="2"/>
      <x:c r="B176" s="2"/>
      <x:c r="C176" s="2"/>
      <x:c r="D176" s="2"/>
      <x:c r="E176" s="2"/>
      <x:c r="F176" s="2"/>
      <x:c r="G176" s="2"/>
      <x:c r="H176" s="2"/>
      <x:c r="I176" s="2"/>
      <x:c r="J176" s="2"/>
      <x:c r="K176" s="2"/>
      <x:c r="L176" s="2"/>
      <x:c r="M176" s="2"/>
      <x:c r="N176" s="2"/>
    </x:row>
    <x:row r="177">
      <x:c r="A177" s="2"/>
      <x:c r="B177" s="2"/>
      <x:c r="C177" s="2"/>
      <x:c r="D177" s="2"/>
      <x:c r="E177" s="2"/>
      <x:c r="F177" s="2"/>
      <x:c r="G177" s="2"/>
      <x:c r="H177" s="2"/>
      <x:c r="I177" s="2"/>
      <x:c r="J177" s="2"/>
      <x:c r="K177" s="2"/>
      <x:c r="L177" s="2"/>
      <x:c r="M177" s="2"/>
      <x:c r="N177" s="2"/>
    </x:row>
    <x:row r="178">
      <x:c r="A178" s="2"/>
      <x:c r="B178" s="2"/>
      <x:c r="C178" s="2"/>
      <x:c r="D178" s="2"/>
      <x:c r="E178" s="2"/>
      <x:c r="F178" s="2"/>
      <x:c r="G178" s="2"/>
      <x:c r="H178" s="2"/>
      <x:c r="I178" s="2"/>
      <x:c r="J178" s="2"/>
      <x:c r="K178" s="2"/>
      <x:c r="L178" s="2"/>
      <x:c r="M178" s="2"/>
      <x:c r="N178" s="2"/>
    </x:row>
    <x:row r="179">
      <x:c r="A179" s="2"/>
      <x:c r="B179" s="2"/>
      <x:c r="C179" s="2"/>
      <x:c r="D179" s="2"/>
      <x:c r="E179" s="2"/>
      <x:c r="F179" s="2"/>
      <x:c r="G179" s="2"/>
      <x:c r="H179" s="2"/>
      <x:c r="I179" s="2"/>
      <x:c r="J179" s="2"/>
      <x:c r="K179" s="2"/>
      <x:c r="L179" s="2"/>
      <x:c r="M179" s="2"/>
      <x:c r="N179" s="2"/>
    </x:row>
    <x:row r="180">
      <x:c r="A180" s="2"/>
      <x:c r="B180" s="2"/>
      <x:c r="C180" s="2"/>
      <x:c r="D180" s="2"/>
      <x:c r="E180" s="2"/>
      <x:c r="F180" s="2"/>
      <x:c r="G180" s="2"/>
      <x:c r="H180" s="2"/>
      <x:c r="I180" s="2"/>
      <x:c r="J180" s="2"/>
      <x:c r="K180" s="2"/>
      <x:c r="L180" s="2"/>
      <x:c r="M180" s="2"/>
      <x:c r="N180" s="2"/>
    </x:row>
    <x:row r="181">
      <x:c r="A181" s="2"/>
      <x:c r="B181" s="2"/>
      <x:c r="C181" s="2"/>
      <x:c r="D181" s="2"/>
      <x:c r="E181" s="2"/>
      <x:c r="F181" s="2"/>
      <x:c r="G181" s="2"/>
      <x:c r="H181" s="2"/>
      <x:c r="I181" s="2"/>
      <x:c r="J181" s="2"/>
      <x:c r="K181" s="2"/>
      <x:c r="L181" s="2"/>
      <x:c r="M181" s="2"/>
      <x:c r="N181" s="2"/>
    </x:row>
    <x:row r="182">
      <x:c r="A182" s="2"/>
      <x:c r="B182" s="2"/>
      <x:c r="C182" s="2"/>
      <x:c r="D182" s="2"/>
      <x:c r="E182" s="2"/>
      <x:c r="F182" s="2"/>
      <x:c r="G182" s="2"/>
      <x:c r="H182" s="2"/>
      <x:c r="I182" s="2"/>
      <x:c r="J182" s="2"/>
      <x:c r="K182" s="2"/>
      <x:c r="L182" s="2"/>
      <x:c r="M182" s="2"/>
      <x:c r="N182" s="2"/>
    </x:row>
    <x:row r="183">
      <x:c r="A183" s="2"/>
      <x:c r="B183" s="2"/>
      <x:c r="C183" s="2"/>
      <x:c r="D183" s="2"/>
      <x:c r="E183" s="2"/>
      <x:c r="F183" s="2"/>
      <x:c r="G183" s="2"/>
      <x:c r="H183" s="2"/>
      <x:c r="I183" s="2"/>
      <x:c r="J183" s="2"/>
      <x:c r="K183" s="2"/>
      <x:c r="L183" s="2"/>
      <x:c r="M183" s="2"/>
      <x:c r="N183" s="2"/>
    </x:row>
    <x:row r="184">
      <x:c r="A184" s="2"/>
      <x:c r="B184" s="2"/>
      <x:c r="C184" s="2"/>
      <x:c r="D184" s="2"/>
      <x:c r="E184" s="2"/>
      <x:c r="F184" s="2"/>
      <x:c r="G184" s="2"/>
      <x:c r="H184" s="2"/>
      <x:c r="I184" s="2"/>
      <x:c r="J184" s="2"/>
      <x:c r="K184" s="2"/>
      <x:c r="L184" s="2"/>
      <x:c r="M184" s="2"/>
      <x:c r="N184" s="2"/>
    </x:row>
    <x:row r="185">
      <x:c r="A185" s="2"/>
      <x:c r="B185" s="2"/>
      <x:c r="C185" s="2"/>
      <x:c r="D185" s="2"/>
      <x:c r="E185" s="2"/>
      <x:c r="F185" s="2"/>
      <x:c r="G185" s="2"/>
      <x:c r="H185" s="2"/>
      <x:c r="I185" s="2"/>
      <x:c r="J185" s="2"/>
      <x:c r="K185" s="2"/>
      <x:c r="L185" s="2"/>
      <x:c r="M185" s="2"/>
      <x:c r="N185" s="2"/>
    </x:row>
    <x:row r="186">
      <x:c r="A186" s="2"/>
      <x:c r="B186" s="2"/>
      <x:c r="C186" s="2"/>
      <x:c r="D186" s="2"/>
      <x:c r="E186" s="2"/>
      <x:c r="F186" s="2"/>
      <x:c r="G186" s="2"/>
      <x:c r="H186" s="2"/>
      <x:c r="I186" s="2"/>
      <x:c r="J186" s="2"/>
      <x:c r="K186" s="2"/>
      <x:c r="L186" s="2"/>
      <x:c r="M186" s="2"/>
      <x:c r="N186" s="2"/>
    </x:row>
    <x:row r="187">
      <x:c r="A187" s="2"/>
      <x:c r="B187" s="2"/>
      <x:c r="C187" s="2"/>
      <x:c r="D187" s="2"/>
      <x:c r="E187" s="2"/>
      <x:c r="F187" s="2"/>
      <x:c r="G187" s="2"/>
      <x:c r="H187" s="2"/>
      <x:c r="I187" s="2"/>
      <x:c r="J187" s="2"/>
      <x:c r="K187" s="2"/>
      <x:c r="L187" s="2"/>
      <x:c r="M187" s="2"/>
      <x:c r="N187" s="2"/>
    </x:row>
    <x:row r="188">
      <x:c r="A188" s="2"/>
      <x:c r="B188" s="2"/>
      <x:c r="C188" s="2"/>
      <x:c r="D188" s="2"/>
      <x:c r="E188" s="2"/>
      <x:c r="F188" s="2"/>
      <x:c r="G188" s="2"/>
      <x:c r="H188" s="2"/>
      <x:c r="I188" s="2"/>
      <x:c r="J188" s="2"/>
      <x:c r="K188" s="2"/>
      <x:c r="L188" s="2"/>
      <x:c r="M188" s="2"/>
      <x:c r="N188" s="2"/>
    </x:row>
    <x:row r="189">
      <x:c r="A189" s="2"/>
      <x:c r="B189" s="2"/>
      <x:c r="C189" s="2"/>
      <x:c r="D189" s="2"/>
      <x:c r="E189" s="2"/>
      <x:c r="F189" s="2"/>
      <x:c r="G189" s="2"/>
      <x:c r="H189" s="2"/>
      <x:c r="I189" s="2"/>
      <x:c r="J189" s="2"/>
      <x:c r="K189" s="2"/>
      <x:c r="L189" s="2"/>
      <x:c r="M189" s="2"/>
      <x:c r="N189" s="2"/>
    </x:row>
    <x:row r="190">
      <x:c r="A190" s="2"/>
      <x:c r="B190" s="2"/>
      <x:c r="C190" s="2"/>
      <x:c r="D190" s="2"/>
      <x:c r="E190" s="2"/>
      <x:c r="F190" s="2"/>
      <x:c r="G190" s="2"/>
      <x:c r="H190" s="2"/>
      <x:c r="I190" s="2"/>
      <x:c r="J190" s="2"/>
      <x:c r="K190" s="2"/>
      <x:c r="L190" s="2"/>
      <x:c r="M190" s="2"/>
      <x:c r="N190" s="2"/>
    </x:row>
    <x:row r="191">
      <x:c r="A191" s="2"/>
      <x:c r="B191" s="2"/>
      <x:c r="C191" s="2"/>
      <x:c r="D191" s="2"/>
      <x:c r="E191" s="2"/>
      <x:c r="F191" s="2"/>
      <x:c r="G191" s="2"/>
      <x:c r="H191" s="2"/>
      <x:c r="I191" s="2"/>
      <x:c r="J191" s="2"/>
      <x:c r="K191" s="2"/>
      <x:c r="L191" s="2"/>
      <x:c r="M191" s="2"/>
      <x:c r="N191" s="2"/>
    </x:row>
    <x:row r="192">
      <x:c r="A192" s="2"/>
      <x:c r="B192" s="2"/>
      <x:c r="C192" s="2"/>
      <x:c r="D192" s="2"/>
      <x:c r="E192" s="2"/>
      <x:c r="F192" s="2"/>
      <x:c r="G192" s="2"/>
      <x:c r="H192" s="2"/>
      <x:c r="I192" s="2"/>
      <x:c r="J192" s="2"/>
      <x:c r="K192" s="2"/>
      <x:c r="L192" s="2"/>
      <x:c r="M192" s="2"/>
      <x:c r="N192" s="2"/>
    </x:row>
    <x:row r="193">
      <x:c r="A193" s="2"/>
      <x:c r="B193" s="2"/>
      <x:c r="C193" s="2"/>
      <x:c r="D193" s="2"/>
      <x:c r="E193" s="2"/>
      <x:c r="F193" s="2"/>
      <x:c r="G193" s="2"/>
      <x:c r="H193" s="2"/>
      <x:c r="I193" s="2"/>
      <x:c r="J193" s="2"/>
      <x:c r="K193" s="2"/>
      <x:c r="L193" s="2"/>
      <x:c r="M193" s="2"/>
      <x:c r="N193" s="2"/>
    </x:row>
    <x:row r="194">
      <x:c r="A194" s="2"/>
      <x:c r="B194" s="2"/>
      <x:c r="C194" s="2"/>
      <x:c r="D194" s="2"/>
      <x:c r="E194" s="2"/>
      <x:c r="F194" s="2"/>
      <x:c r="G194" s="2"/>
      <x:c r="H194" s="2"/>
      <x:c r="I194" s="2"/>
      <x:c r="J194" s="2"/>
      <x:c r="K194" s="2"/>
      <x:c r="L194" s="2"/>
      <x:c r="M194" s="2"/>
      <x:c r="N194" s="2"/>
    </x:row>
    <x:row r="195">
      <x:c r="A195" s="2"/>
      <x:c r="B195" s="2"/>
      <x:c r="C195" s="2"/>
      <x:c r="D195" s="2"/>
      <x:c r="E195" s="2"/>
      <x:c r="F195" s="2"/>
      <x:c r="G195" s="2"/>
      <x:c r="H195" s="2"/>
      <x:c r="I195" s="2"/>
      <x:c r="J195" s="2"/>
      <x:c r="K195" s="2"/>
      <x:c r="L195" s="2"/>
      <x:c r="M195" s="2"/>
      <x:c r="N195" s="2"/>
    </x:row>
    <x:row r="196">
      <x:c r="A196" s="2"/>
      <x:c r="B196" s="2"/>
      <x:c r="C196" s="2"/>
      <x:c r="D196" s="2"/>
      <x:c r="E196" s="2"/>
      <x:c r="F196" s="2"/>
      <x:c r="G196" s="2"/>
      <x:c r="H196" s="2"/>
      <x:c r="I196" s="2"/>
      <x:c r="J196" s="2"/>
      <x:c r="K196" s="2"/>
      <x:c r="L196" s="2"/>
      <x:c r="M196" s="2"/>
      <x:c r="N196" s="2"/>
    </x:row>
    <x:row r="197">
      <x:c r="A197" s="2"/>
      <x:c r="B197" s="2"/>
      <x:c r="C197" s="2"/>
      <x:c r="D197" s="2"/>
      <x:c r="E197" s="2"/>
      <x:c r="F197" s="2"/>
      <x:c r="G197" s="2"/>
      <x:c r="H197" s="2"/>
      <x:c r="I197" s="2"/>
      <x:c r="J197" s="2"/>
      <x:c r="K197" s="2"/>
      <x:c r="L197" s="2"/>
      <x:c r="M197" s="2"/>
      <x:c r="N197" s="2"/>
    </x:row>
    <x:row r="198">
      <x:c r="A198" s="2"/>
      <x:c r="B198" s="2"/>
      <x:c r="C198" s="2"/>
      <x:c r="D198" s="2"/>
      <x:c r="E198" s="2"/>
      <x:c r="F198" s="2"/>
      <x:c r="G198" s="2"/>
      <x:c r="H198" s="2"/>
      <x:c r="I198" s="2"/>
      <x:c r="J198" s="2"/>
      <x:c r="K198" s="2"/>
      <x:c r="L198" s="2"/>
      <x:c r="M198" s="2"/>
      <x:c r="N198" s="2"/>
    </x:row>
    <x:row r="199">
      <x:c r="A199" s="2"/>
      <x:c r="B199" s="2"/>
      <x:c r="C199" s="2"/>
      <x:c r="D199" s="2"/>
      <x:c r="E199" s="2"/>
      <x:c r="F199" s="2"/>
      <x:c r="G199" s="2"/>
      <x:c r="H199" s="2"/>
      <x:c r="I199" s="2"/>
      <x:c r="J199" s="2"/>
      <x:c r="K199" s="2"/>
      <x:c r="L199" s="2"/>
      <x:c r="M199" s="2"/>
      <x:c r="N199" s="2"/>
    </x:row>
    <x:row r="200">
      <x:c r="A200" s="2"/>
      <x:c r="B200" s="2"/>
      <x:c r="C200" s="2"/>
      <x:c r="D200" s="2"/>
      <x:c r="E200" s="2"/>
      <x:c r="F200" s="2"/>
      <x:c r="G200" s="2"/>
      <x:c r="H200" s="2"/>
      <x:c r="I200" s="2"/>
      <x:c r="J200" s="2"/>
      <x:c r="K200" s="2"/>
      <x:c r="L200" s="2"/>
      <x:c r="M200" s="2"/>
      <x:c r="N200" s="2"/>
    </x:row>
    <x:row r="201">
      <x:c r="A201" s="2"/>
      <x:c r="B201" s="2"/>
      <x:c r="C201" s="2"/>
      <x:c r="D201" s="2"/>
      <x:c r="E201" s="2"/>
      <x:c r="F201" s="2"/>
      <x:c r="G201" s="2"/>
      <x:c r="H201" s="2"/>
      <x:c r="I201" s="2"/>
      <x:c r="J201" s="2"/>
      <x:c r="K201" s="2"/>
      <x:c r="L201" s="2"/>
      <x:c r="M201" s="2"/>
      <x:c r="N201" s="2"/>
    </x:row>
    <x:row r="202">
      <x:c r="A202" s="2"/>
      <x:c r="B202" s="2"/>
      <x:c r="C202" s="2"/>
      <x:c r="D202" s="2"/>
      <x:c r="E202" s="2"/>
      <x:c r="F202" s="2"/>
      <x:c r="G202" s="2"/>
      <x:c r="H202" s="2"/>
      <x:c r="I202" s="2"/>
      <x:c r="J202" s="2"/>
      <x:c r="K202" s="2"/>
      <x:c r="L202" s="2"/>
      <x:c r="M202" s="2"/>
      <x:c r="N202" s="2"/>
    </x:row>
    <x:row r="203">
      <x:c r="A203" s="2"/>
      <x:c r="B203" s="2"/>
      <x:c r="C203" s="2"/>
      <x:c r="D203" s="2"/>
      <x:c r="E203" s="2"/>
      <x:c r="F203" s="2"/>
      <x:c r="G203" s="2"/>
      <x:c r="H203" s="2"/>
      <x:c r="I203" s="2"/>
      <x:c r="J203" s="2"/>
      <x:c r="K203" s="2"/>
      <x:c r="L203" s="2"/>
      <x:c r="M203" s="2"/>
      <x:c r="N203" s="2"/>
    </x:row>
    <x:row r="204">
      <x:c r="A204" s="2"/>
      <x:c r="B204" s="2"/>
      <x:c r="C204" s="2"/>
      <x:c r="D204" s="2"/>
      <x:c r="E204" s="2"/>
      <x:c r="F204" s="2"/>
      <x:c r="G204" s="2"/>
      <x:c r="H204" s="2"/>
      <x:c r="I204" s="2"/>
      <x:c r="J204" s="2"/>
      <x:c r="K204" s="2"/>
      <x:c r="L204" s="2"/>
      <x:c r="M204" s="2"/>
      <x:c r="N204" s="2"/>
    </x:row>
    <x:row r="205">
      <x:c r="A205" s="2"/>
      <x:c r="B205" s="2"/>
      <x:c r="C205" s="2"/>
      <x:c r="D205" s="2"/>
      <x:c r="E205" s="2"/>
      <x:c r="F205" s="2"/>
      <x:c r="G205" s="2"/>
      <x:c r="H205" s="2"/>
      <x:c r="I205" s="2"/>
      <x:c r="J205" s="2"/>
      <x:c r="K205" s="2"/>
      <x:c r="L205" s="2"/>
      <x:c r="M205" s="2"/>
      <x:c r="N205" s="2"/>
    </x:row>
    <x:row r="206">
      <x:c r="A206" s="2"/>
      <x:c r="B206" s="2"/>
      <x:c r="C206" s="2"/>
      <x:c r="D206" s="2"/>
      <x:c r="E206" s="2"/>
      <x:c r="F206" s="2"/>
      <x:c r="G206" s="2"/>
      <x:c r="H206" s="2"/>
      <x:c r="I206" s="2"/>
      <x:c r="J206" s="2"/>
      <x:c r="K206" s="2"/>
      <x:c r="L206" s="2"/>
      <x:c r="M206" s="2"/>
      <x:c r="N206" s="2"/>
    </x:row>
    <x:row r="207">
      <x:c r="A207" s="2"/>
      <x:c r="B207" s="2"/>
      <x:c r="C207" s="2"/>
      <x:c r="D207" s="2"/>
      <x:c r="E207" s="2"/>
      <x:c r="F207" s="2"/>
      <x:c r="G207" s="2"/>
      <x:c r="H207" s="2"/>
      <x:c r="I207" s="2"/>
      <x:c r="J207" s="2"/>
      <x:c r="K207" s="2"/>
      <x:c r="L207" s="2"/>
      <x:c r="M207" s="2"/>
      <x:c r="N207" s="2"/>
    </x:row>
    <x:row r="208">
      <x:c r="A208" s="2"/>
      <x:c r="B208" s="2"/>
      <x:c r="C208" s="2"/>
      <x:c r="D208" s="2"/>
      <x:c r="E208" s="2"/>
      <x:c r="F208" s="2"/>
      <x:c r="G208" s="2"/>
      <x:c r="H208" s="2"/>
      <x:c r="I208" s="2"/>
      <x:c r="J208" s="2"/>
      <x:c r="K208" s="2"/>
      <x:c r="L208" s="2"/>
      <x:c r="M208" s="2"/>
      <x:c r="N208" s="2"/>
    </x:row>
    <x:row r="209">
      <x:c r="A209" s="2"/>
      <x:c r="B209" s="2"/>
      <x:c r="C209" s="2"/>
      <x:c r="D209" s="2"/>
      <x:c r="E209" s="2"/>
      <x:c r="F209" s="2"/>
      <x:c r="G209" s="2"/>
      <x:c r="H209" s="2"/>
      <x:c r="I209" s="2"/>
      <x:c r="J209" s="2"/>
      <x:c r="K209" s="2"/>
      <x:c r="L209" s="2"/>
      <x:c r="M209" s="2"/>
      <x:c r="N209" s="2"/>
    </x:row>
    <x:row r="210">
      <x:c r="A210" s="2"/>
      <x:c r="B210" s="2"/>
      <x:c r="C210" s="2"/>
      <x:c r="D210" s="2"/>
      <x:c r="E210" s="2"/>
      <x:c r="F210" s="2"/>
      <x:c r="G210" s="2"/>
      <x:c r="H210" s="2"/>
      <x:c r="I210" s="2"/>
      <x:c r="J210" s="2"/>
      <x:c r="K210" s="2"/>
      <x:c r="L210" s="2"/>
      <x:c r="M210" s="2"/>
      <x:c r="N210" s="2"/>
    </x:row>
    <x:row r="211">
      <x:c r="A211" s="2"/>
      <x:c r="B211" s="2"/>
      <x:c r="C211" s="2"/>
      <x:c r="D211" s="2"/>
      <x:c r="E211" s="2"/>
      <x:c r="F211" s="2"/>
      <x:c r="G211" s="2"/>
      <x:c r="H211" s="2"/>
      <x:c r="I211" s="2"/>
      <x:c r="J211" s="2"/>
      <x:c r="K211" s="2"/>
      <x:c r="L211" s="2"/>
      <x:c r="M211" s="2"/>
      <x:c r="N211" s="2"/>
    </x:row>
    <x:row r="212">
      <x:c r="A212" s="2"/>
      <x:c r="B212" s="2"/>
      <x:c r="C212" s="2"/>
      <x:c r="D212" s="2"/>
      <x:c r="E212" s="2"/>
      <x:c r="F212" s="2"/>
      <x:c r="G212" s="2"/>
      <x:c r="H212" s="2"/>
      <x:c r="I212" s="2"/>
      <x:c r="J212" s="2"/>
      <x:c r="K212" s="2"/>
      <x:c r="L212" s="2"/>
      <x:c r="M212" s="2"/>
      <x:c r="N212" s="2"/>
    </x:row>
    <x:row r="213">
      <x:c r="A213" s="2"/>
      <x:c r="B213" s="2"/>
      <x:c r="C213" s="2"/>
      <x:c r="D213" s="2"/>
      <x:c r="E213" s="2"/>
      <x:c r="F213" s="2"/>
      <x:c r="G213" s="2"/>
      <x:c r="H213" s="2"/>
      <x:c r="I213" s="2"/>
      <x:c r="J213" s="2"/>
      <x:c r="K213" s="2"/>
      <x:c r="L213" s="2"/>
      <x:c r="M213" s="2"/>
      <x:c r="N213" s="2"/>
    </x:row>
    <x:row r="214">
      <x:c r="A214" s="2"/>
      <x:c r="B214" s="2"/>
      <x:c r="C214" s="2"/>
      <x:c r="D214" s="2"/>
      <x:c r="E214" s="2"/>
      <x:c r="F214" s="2"/>
      <x:c r="G214" s="2"/>
      <x:c r="H214" s="2"/>
      <x:c r="I214" s="2"/>
      <x:c r="J214" s="2"/>
      <x:c r="K214" s="2"/>
      <x:c r="L214" s="2"/>
      <x:c r="M214" s="2"/>
      <x:c r="N214" s="2"/>
    </x:row>
    <x:row r="215">
      <x:c r="A215" s="2"/>
      <x:c r="B215" s="2"/>
      <x:c r="C215" s="2"/>
      <x:c r="D215" s="2"/>
      <x:c r="E215" s="2"/>
      <x:c r="F215" s="2"/>
      <x:c r="G215" s="2"/>
      <x:c r="H215" s="2"/>
      <x:c r="I215" s="2"/>
      <x:c r="J215" s="2"/>
      <x:c r="K215" s="2"/>
      <x:c r="L215" s="2"/>
      <x:c r="M215" s="2"/>
      <x:c r="N215" s="2"/>
    </x:row>
    <x:row r="216">
      <x:c r="A216" s="2"/>
      <x:c r="B216" s="2"/>
      <x:c r="C216" s="2"/>
      <x:c r="D216" s="2"/>
      <x:c r="E216" s="2"/>
      <x:c r="F216" s="2"/>
      <x:c r="G216" s="2"/>
      <x:c r="H216" s="2"/>
      <x:c r="I216" s="2"/>
      <x:c r="J216" s="2"/>
      <x:c r="K216" s="2"/>
      <x:c r="L216" s="2"/>
      <x:c r="M216" s="2"/>
      <x:c r="N216" s="2"/>
    </x:row>
    <x:row r="217">
      <x:c r="A217" s="2"/>
      <x:c r="B217" s="2"/>
      <x:c r="C217" s="2"/>
      <x:c r="D217" s="2"/>
      <x:c r="E217" s="2"/>
      <x:c r="F217" s="2"/>
      <x:c r="G217" s="2"/>
      <x:c r="H217" s="2"/>
      <x:c r="I217" s="2"/>
      <x:c r="J217" s="2"/>
      <x:c r="K217" s="2"/>
      <x:c r="L217" s="2"/>
      <x:c r="M217" s="2"/>
      <x:c r="N217" s="2"/>
    </x:row>
    <x:row r="218">
      <x:c r="A218" s="2"/>
      <x:c r="B218" s="2"/>
      <x:c r="C218" s="2"/>
      <x:c r="D218" s="2"/>
      <x:c r="E218" s="2"/>
      <x:c r="F218" s="2"/>
      <x:c r="G218" s="2"/>
      <x:c r="H218" s="2"/>
      <x:c r="I218" s="2"/>
      <x:c r="J218" s="2"/>
      <x:c r="K218" s="2"/>
      <x:c r="L218" s="2"/>
      <x:c r="M218" s="2"/>
      <x:c r="N218" s="2"/>
    </x:row>
    <x:row r="219">
      <x:c r="A219" s="2"/>
      <x:c r="B219" s="2"/>
      <x:c r="C219" s="2"/>
      <x:c r="D219" s="2"/>
      <x:c r="E219" s="2"/>
      <x:c r="F219" s="2"/>
      <x:c r="G219" s="2"/>
      <x:c r="H219" s="2"/>
      <x:c r="I219" s="2"/>
      <x:c r="J219" s="2"/>
      <x:c r="K219" s="2"/>
      <x:c r="L219" s="2"/>
      <x:c r="M219" s="2"/>
      <x:c r="N219" s="2"/>
    </x:row>
    <x:row r="220">
      <x:c r="A220" s="2"/>
      <x:c r="B220" s="2"/>
      <x:c r="C220" s="2"/>
      <x:c r="D220" s="2"/>
      <x:c r="E220" s="2"/>
      <x:c r="F220" s="2"/>
      <x:c r="G220" s="2"/>
      <x:c r="H220" s="2"/>
      <x:c r="I220" s="2"/>
      <x:c r="J220" s="2"/>
      <x:c r="K220" s="2"/>
      <x:c r="L220" s="2"/>
      <x:c r="M220" s="2"/>
      <x:c r="N220" s="2"/>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65" hidden="0" customWidth="1"/>
    <x:col min="3" max="3" width="23" hidden="0" customWidth="1"/>
    <x:col min="4" max="4" width="120" hidden="0" customWidth="1"/>
  </x:cols>
  <x:sheetData>
    <x:row r="1">
      <x:c r="A1" s="15" t="str">
        <x:v>Company</x:v>
      </x:c>
      <x:c r="B1" s="15" t="str">
        <x:v>Sponsor query</x:v>
      </x:c>
      <x:c r="C1" s="15" t="str">
        <x:v>Returned records before local filters</x:v>
      </x:c>
      <x:c r="D1" s="15" t="str">
        <x:v>Exact API request URL(s)</x:v>
      </x:c>
      <x:c r="E1" s="2"/>
      <x:c r="F1" s="2"/>
      <x:c r="G1" s="2"/>
      <x:c r="H1" s="2"/>
      <x:c r="I1" s="2"/>
      <x:c r="J1" s="2"/>
      <x:c r="K1" s="2"/>
      <x:c r="L1" s="2"/>
      <x:c r="M1" s="2"/>
      <x:c r="N1" s="2"/>
    </x:row>
    <x:row r="2" ht="60" customHeight="1">
      <x:c r="A2" s="6" t="str">
        <x:v>GSK</x:v>
      </x:c>
      <x:c r="B2" s="6" t="str">
        <x:v>GlaxoSmithKline OR GSK OR ViiV</x:v>
      </x:c>
      <x:c r="C2" s="6" t="n">
        <x:v>6</x:v>
      </x:c>
      <x:c r="D2" s="6" t="str">
        <x:v>https://clinicaltrials.gov/api/v2/studies?query.spons=GlaxoSmithKline+OR+GSK+OR+ViiV&amp;query.locn=India&amp;filter.overallStatus=RECRUITING%2CACTIVE_NOT_RECRUITING%2CNOT_YET_RECRUITING%2CENROLLING_BY_INVITATION&amp;filter.advanced=AREA%5BPhase%5DPHASE3&amp;format=json&amp;pageSize=100&amp;countTotal=true&amp;fields=NCTId%2CBriefTitle%2COverallStatus%2CLeadSponsorName%2CLeadSponsorClass%2CStudyType%2CPhase%2CCondition%2CInterventionType%2CInterventionName%2CLocationCountry%2CStudyFirstPostDate%2CLastUpdatePostDate</x:v>
      </x:c>
      <x:c r="E2" s="2"/>
      <x:c r="F2" s="2"/>
      <x:c r="G2" s="2"/>
      <x:c r="H2" s="2"/>
      <x:c r="I2" s="2"/>
      <x:c r="J2" s="2"/>
      <x:c r="K2" s="2"/>
      <x:c r="L2" s="2"/>
      <x:c r="M2" s="2"/>
      <x:c r="N2" s="2"/>
    </x:row>
    <x:row r="3" ht="60" customHeight="1">
      <x:c r="A3" s="6" t="str">
        <x:v>Pfizer</x:v>
      </x:c>
      <x:c r="B3" s="6" t="str">
        <x:v>Pfizer OR Seagen OR "Seattle Genetics" OR Wyeth</x:v>
      </x:c>
      <x:c r="C3" s="6" t="n">
        <x:v>22</x:v>
      </x:c>
      <x:c r="D3" s="6" t="str">
        <x:v>https://clinicaltrials.gov/api/v2/studies?query.spons=Pfizer+OR+Seagen+OR+%22Seattle+Genetics%22+OR+Wyeth&amp;query.locn=India&amp;filter.overallStatus=RECRUITING%2CACTIVE_NOT_RECRUITING%2CNOT_YET_RECRUITING%2CENROLLING_BY_INVITATION&amp;filter.advanced=AREA%5BPhase%5DPHASE3&amp;format=json&amp;pageSize=100&amp;countTotal=true&amp;fields=NCTId%2CBriefTitle%2COverallStatus%2CLeadSponsorName%2CLeadSponsorClass%2CStudyType%2CPhase%2CCondition%2CInterventionType%2CInterventionName%2CLocationCountry%2CStudyFirstPostDate%2CLastUpdatePostDate</x:v>
      </x:c>
      <x:c r="E3" s="2"/>
      <x:c r="F3" s="2"/>
      <x:c r="G3" s="2"/>
      <x:c r="H3" s="2"/>
      <x:c r="I3" s="2"/>
      <x:c r="J3" s="2"/>
      <x:c r="K3" s="2"/>
      <x:c r="L3" s="2"/>
      <x:c r="M3" s="2"/>
      <x:c r="N3" s="2"/>
    </x:row>
    <x:row r="4" ht="60" customHeight="1">
      <x:c r="A4" s="6" t="str">
        <x:v>Abbott</x:v>
      </x:c>
      <x:c r="B4" s="6" t="str">
        <x:v>Abbott</x:v>
      </x:c>
      <x:c r="C4" s="6" t="n">
        <x:v>0</x:v>
      </x:c>
      <x:c r="D4" s="6" t="str">
        <x:v>https://clinicaltrials.gov/api/v2/studies?query.spons=Abbott&amp;query.locn=India&amp;filter.overallStatus=RECRUITING%2CACTIVE_NOT_RECRUITING%2CNOT_YET_RECRUITING%2CENROLLING_BY_INVITATION&amp;filter.advanced=AREA%5BPhase%5DPHASE3&amp;format=json&amp;pageSize=100&amp;countTotal=true&amp;fields=NCTId%2CBriefTitle%2COverallStatus%2CLeadSponsorName%2CLeadSponsorClass%2CStudyType%2CPhase%2CCondition%2CInterventionType%2CInterventionName%2CLocationCountry%2CStudyFirstPostDate%2CLastUpdatePostDate</x:v>
      </x:c>
      <x:c r="E4" s="2"/>
      <x:c r="F4" s="2"/>
      <x:c r="G4" s="2"/>
      <x:c r="H4" s="2"/>
      <x:c r="I4" s="2"/>
      <x:c r="J4" s="2"/>
      <x:c r="K4" s="2"/>
      <x:c r="L4" s="2"/>
      <x:c r="M4" s="2"/>
      <x:c r="N4" s="2"/>
    </x:row>
    <x:row r="5" ht="60" customHeight="1">
      <x:c r="A5" s="6" t="str">
        <x:v>AstraZeneca</x:v>
      </x:c>
      <x:c r="B5" s="6" t="str">
        <x:v>AstraZeneca OR MedImmune OR Alexion</x:v>
      </x:c>
      <x:c r="C5" s="6" t="n">
        <x:v>91</x:v>
      </x:c>
      <x:c r="D5" s="6" t="str">
        <x:v>https://clinicaltrials.gov/api/v2/studies?query.spons=AstraZeneca+OR+MedImmune+OR+Alexion&amp;query.locn=India&amp;filter.overallStatus=RECRUITING%2CACTIVE_NOT_RECRUITING%2CNOT_YET_RECRUITING%2CENROLLING_BY_INVITATION&amp;filter.advanced=AREA%5BPhase%5DPHASE3&amp;format=json&amp;pageSize=100&amp;countTotal=true&amp;fields=NCTId%2CBriefTitle%2COverallStatus%2CLeadSponsorName%2CLeadSponsorClass%2CStudyType%2CPhase%2CCondition%2CInterventionType%2CInterventionName%2CLocationCountry%2CStudyFirstPostDate%2CLastUpdatePostDate</x:v>
      </x:c>
      <x:c r="E5" s="2"/>
      <x:c r="F5" s="2"/>
      <x:c r="G5" s="2"/>
      <x:c r="H5" s="2"/>
      <x:c r="I5" s="2"/>
      <x:c r="J5" s="2"/>
      <x:c r="K5" s="2"/>
      <x:c r="L5" s="2"/>
      <x:c r="M5" s="2"/>
      <x:c r="N5" s="2"/>
    </x:row>
    <x:row r="6" ht="60" customHeight="1">
      <x:c r="A6" s="6" t="str">
        <x:v>Sanofi</x:v>
      </x:c>
      <x:c r="B6" s="6" t="str">
        <x:v>Sanofi OR Genzyme</x:v>
      </x:c>
      <x:c r="C6" s="6" t="n">
        <x:v>7</x:v>
      </x:c>
      <x:c r="D6" s="6" t="str">
        <x:v>https://clinicaltrials.gov/api/v2/studies?query.spons=Sanofi+OR+Genzyme&amp;query.locn=India&amp;filter.overallStatus=RECRUITING%2CACTIVE_NOT_RECRUITING%2CNOT_YET_RECRUITING%2CENROLLING_BY_INVITATION&amp;filter.advanced=AREA%5BPhase%5DPHASE3&amp;format=json&amp;pageSize=100&amp;countTotal=true&amp;fields=NCTId%2CBriefTitle%2COverallStatus%2CLeadSponsorName%2CLeadSponsorClass%2CStudyType%2CPhase%2CCondition%2CInterventionType%2CInterventionName%2CLocationCountry%2CStudyFirstPostDate%2CLastUpdatePostDate</x:v>
      </x:c>
      <x:c r="E6" s="2"/>
      <x:c r="F6" s="2"/>
      <x:c r="G6" s="2"/>
      <x:c r="H6" s="2"/>
      <x:c r="I6" s="2"/>
      <x:c r="J6" s="2"/>
      <x:c r="K6" s="2"/>
      <x:c r="L6" s="2"/>
      <x:c r="M6" s="2"/>
      <x:c r="N6" s="2"/>
    </x:row>
    <x:row r="7" ht="60" customHeight="1">
      <x:c r="A7" s="6" t="str">
        <x:v>Novartis</x:v>
      </x:c>
      <x:c r="B7" s="6" t="str">
        <x:v>Novartis</x:v>
      </x:c>
      <x:c r="C7" s="6" t="n">
        <x:v>38</x:v>
      </x:c>
      <x:c r="D7" s="6" t="str">
        <x:v>https://clinicaltrials.gov/api/v2/studies?query.spons=Novartis&amp;query.locn=India&amp;filter.overallStatus=RECRUITING%2CACTIVE_NOT_RECRUITING%2CNOT_YET_RECRUITING%2CENROLLING_BY_INVITATION&amp;filter.advanced=AREA%5BPhase%5DPHASE3&amp;format=json&amp;pageSize=100&amp;countTotal=true&amp;fields=NCTId%2CBriefTitle%2COverallStatus%2CLeadSponsorName%2CLeadSponsorClass%2CStudyType%2CPhase%2CCondition%2CInterventionType%2CInterventionName%2CLocationCountry%2CStudyFirstPostDate%2CLastUpdatePostDate</x:v>
      </x:c>
      <x:c r="E7" s="2"/>
      <x:c r="F7" s="2"/>
      <x:c r="G7" s="2"/>
      <x:c r="H7" s="2"/>
      <x:c r="I7" s="2"/>
      <x:c r="J7" s="2"/>
      <x:c r="K7" s="2"/>
      <x:c r="L7" s="2"/>
      <x:c r="M7" s="2"/>
      <x:c r="N7" s="2"/>
    </x:row>
    <x:row r="8" ht="60" customHeight="1">
      <x:c r="A8" s="6"/>
      <x:c r="B8" s="6"/>
      <x:c r="C8" s="6"/>
      <x:c r="D8" s="6"/>
      <x:c r="E8" s="2"/>
      <x:c r="F8" s="2"/>
      <x:c r="G8" s="2"/>
      <x:c r="H8" s="2"/>
      <x:c r="I8" s="2"/>
      <x:c r="J8" s="2"/>
      <x:c r="K8" s="2"/>
      <x:c r="L8" s="2"/>
      <x:c r="M8" s="2"/>
      <x:c r="N8" s="2"/>
    </x:row>
    <x:row r="9">
      <x:c r="A9" s="2"/>
      <x:c r="B9" s="2"/>
      <x:c r="C9" s="2"/>
      <x:c r="D9" s="2"/>
      <x:c r="E9" s="2"/>
      <x:c r="F9" s="2"/>
      <x:c r="G9" s="2"/>
      <x:c r="H9" s="2"/>
      <x:c r="I9" s="2"/>
      <x:c r="J9" s="2"/>
      <x:c r="K9" s="2"/>
      <x:c r="L9" s="2"/>
      <x:c r="M9" s="2"/>
      <x:c r="N9" s="2"/>
    </x:row>
    <x:row r="10">
      <x:c r="A10" s="2"/>
      <x:c r="B10" s="2"/>
      <x:c r="C10" s="2"/>
      <x:c r="D10" s="2"/>
      <x:c r="E10" s="2"/>
      <x:c r="F10" s="2"/>
      <x:c r="G10" s="2"/>
      <x:c r="H10" s="2"/>
      <x:c r="I10" s="2"/>
      <x:c r="J10" s="2"/>
      <x:c r="K10" s="2"/>
      <x:c r="L10" s="2"/>
      <x:c r="M10" s="2"/>
      <x:c r="N10" s="2"/>
    </x:row>
    <x:row r="11">
      <x:c r="A11" s="2"/>
      <x:c r="B11" s="2"/>
      <x:c r="C11" s="2"/>
      <x:c r="D11" s="2"/>
      <x:c r="E11" s="2"/>
      <x:c r="F11" s="2"/>
      <x:c r="G11" s="2"/>
      <x:c r="H11" s="2"/>
      <x:c r="I11" s="2"/>
      <x:c r="J11" s="2"/>
      <x:c r="K11" s="2"/>
      <x:c r="L11" s="2"/>
      <x:c r="M11" s="2"/>
      <x:c r="N11" s="2"/>
    </x:row>
    <x:row r="12">
      <x:c r="A12" s="2"/>
      <x:c r="B12" s="2"/>
      <x:c r="C12" s="2"/>
      <x:c r="D12" s="2"/>
      <x:c r="E12" s="2"/>
      <x:c r="F12" s="2"/>
      <x:c r="G12" s="2"/>
      <x:c r="H12" s="2"/>
      <x:c r="I12" s="2"/>
      <x:c r="J12" s="2"/>
      <x:c r="K12" s="2"/>
      <x:c r="L12" s="2"/>
      <x:c r="M12" s="2"/>
      <x:c r="N12" s="2"/>
    </x:row>
    <x:row r="13">
      <x:c r="A13" s="2"/>
      <x:c r="B13" s="2"/>
      <x:c r="C13" s="2"/>
      <x:c r="D13" s="2"/>
      <x:c r="E13" s="2"/>
      <x:c r="F13" s="2"/>
      <x:c r="G13" s="2"/>
      <x:c r="H13" s="2"/>
      <x:c r="I13" s="2"/>
      <x:c r="J13" s="2"/>
      <x:c r="K13" s="2"/>
      <x:c r="L13" s="2"/>
      <x:c r="M13" s="2"/>
      <x:c r="N13" s="2"/>
    </x:row>
    <x:row r="14">
      <x:c r="A14" s="2"/>
      <x:c r="B14" s="2"/>
      <x:c r="C14" s="2"/>
      <x:c r="D14" s="2"/>
      <x:c r="E14" s="2"/>
      <x:c r="F14" s="2"/>
      <x:c r="G14" s="2"/>
      <x:c r="H14" s="2"/>
      <x:c r="I14" s="2"/>
      <x:c r="J14" s="2"/>
      <x:c r="K14" s="2"/>
      <x:c r="L14" s="2"/>
      <x:c r="M14" s="2"/>
      <x:c r="N14" s="2"/>
    </x:row>
    <x:row r="15">
      <x:c r="A15" s="2"/>
      <x:c r="B15" s="2"/>
      <x:c r="C15" s="2"/>
      <x:c r="D15" s="2"/>
      <x:c r="E15" s="2"/>
      <x:c r="F15" s="2"/>
      <x:c r="G15" s="2"/>
      <x:c r="H15" s="2"/>
      <x:c r="I15" s="2"/>
      <x:c r="J15" s="2"/>
      <x:c r="K15" s="2"/>
      <x:c r="L15" s="2"/>
      <x:c r="M15" s="2"/>
      <x:c r="N15" s="2"/>
    </x:row>
    <x:row r="16">
      <x:c r="A16" s="2"/>
      <x:c r="B16" s="2"/>
      <x:c r="C16" s="2"/>
      <x:c r="D16" s="2"/>
      <x:c r="E16" s="2"/>
      <x:c r="F16" s="2"/>
      <x:c r="G16" s="2"/>
      <x:c r="H16" s="2"/>
      <x:c r="I16" s="2"/>
      <x:c r="J16" s="2"/>
      <x:c r="K16" s="2"/>
      <x:c r="L16" s="2"/>
      <x:c r="M16" s="2"/>
      <x:c r="N16" s="2"/>
    </x:row>
    <x:row r="17">
      <x:c r="A17" s="2"/>
      <x:c r="B17" s="2"/>
      <x:c r="C17" s="2"/>
      <x:c r="D17" s="2"/>
      <x:c r="E17" s="2"/>
      <x:c r="F17" s="2"/>
      <x:c r="G17" s="2"/>
      <x:c r="H17" s="2"/>
      <x:c r="I17" s="2"/>
      <x:c r="J17" s="2"/>
      <x:c r="K17" s="2"/>
      <x:c r="L17" s="2"/>
      <x:c r="M17" s="2"/>
      <x:c r="N17" s="2"/>
    </x:row>
    <x:row r="18">
      <x:c r="A18" s="2"/>
      <x:c r="B18" s="2"/>
      <x:c r="C18" s="2"/>
      <x:c r="D18" s="2"/>
      <x:c r="E18" s="2"/>
      <x:c r="F18" s="2"/>
      <x:c r="G18" s="2"/>
      <x:c r="H18" s="2"/>
      <x:c r="I18" s="2"/>
      <x:c r="J18" s="2"/>
      <x:c r="K18" s="2"/>
      <x:c r="L18" s="2"/>
      <x:c r="M18" s="2"/>
      <x:c r="N18" s="2"/>
    </x:row>
    <x:row r="19">
      <x:c r="A19" s="2"/>
      <x:c r="B19" s="2"/>
      <x:c r="C19" s="2"/>
      <x:c r="D19" s="2"/>
      <x:c r="E19" s="2"/>
      <x:c r="F19" s="2"/>
      <x:c r="G19" s="2"/>
      <x:c r="H19" s="2"/>
      <x:c r="I19" s="2"/>
      <x:c r="J19" s="2"/>
      <x:c r="K19" s="2"/>
      <x:c r="L19" s="2"/>
      <x:c r="M19" s="2"/>
      <x:c r="N19" s="2"/>
    </x:row>
    <x:row r="20">
      <x:c r="A20" s="2"/>
      <x:c r="B20" s="2"/>
      <x:c r="C20" s="2"/>
      <x:c r="D20" s="2"/>
      <x:c r="E20" s="2"/>
      <x:c r="F20" s="2"/>
      <x:c r="G20" s="2"/>
      <x:c r="H20" s="2"/>
      <x:c r="I20" s="2"/>
      <x:c r="J20" s="2"/>
      <x:c r="K20" s="2"/>
      <x:c r="L20" s="2"/>
      <x:c r="M20" s="2"/>
      <x:c r="N20" s="2"/>
    </x:row>
    <x:row r="21">
      <x:c r="A21" s="2"/>
      <x:c r="B21" s="2"/>
      <x:c r="C21" s="2"/>
      <x:c r="D21" s="2"/>
      <x:c r="E21" s="2"/>
      <x:c r="F21" s="2"/>
      <x:c r="G21" s="2"/>
      <x:c r="H21" s="2"/>
      <x:c r="I21" s="2"/>
      <x:c r="J21" s="2"/>
      <x:c r="K21" s="2"/>
      <x:c r="L21" s="2"/>
      <x:c r="M21" s="2"/>
      <x:c r="N21" s="2"/>
    </x:row>
    <x:row r="22">
      <x:c r="A22" s="2"/>
      <x:c r="B22" s="2"/>
      <x:c r="C22" s="2"/>
      <x:c r="D22" s="2"/>
      <x:c r="E22" s="2"/>
      <x:c r="F22" s="2"/>
      <x:c r="G22" s="2"/>
      <x:c r="H22" s="2"/>
      <x:c r="I22" s="2"/>
      <x:c r="J22" s="2"/>
      <x:c r="K22" s="2"/>
      <x:c r="L22" s="2"/>
      <x:c r="M22" s="2"/>
      <x:c r="N22" s="2"/>
    </x:row>
    <x:row r="23">
      <x:c r="A23" s="2"/>
      <x:c r="B23" s="2"/>
      <x:c r="C23" s="2"/>
      <x:c r="D23" s="2"/>
      <x:c r="E23" s="2"/>
      <x:c r="F23" s="2"/>
      <x:c r="G23" s="2"/>
      <x:c r="H23" s="2"/>
      <x:c r="I23" s="2"/>
      <x:c r="J23" s="2"/>
      <x:c r="K23" s="2"/>
      <x:c r="L23" s="2"/>
      <x:c r="M23" s="2"/>
      <x:c r="N23" s="2"/>
    </x:row>
    <x:row r="24">
      <x:c r="A24" s="2"/>
      <x:c r="B24" s="2"/>
      <x:c r="C24" s="2"/>
      <x:c r="D24" s="2"/>
      <x:c r="E24" s="2"/>
      <x:c r="F24" s="2"/>
      <x:c r="G24" s="2"/>
      <x:c r="H24" s="2"/>
      <x:c r="I24" s="2"/>
      <x:c r="J24" s="2"/>
      <x:c r="K24" s="2"/>
      <x:c r="L24" s="2"/>
      <x:c r="M24" s="2"/>
      <x:c r="N24" s="2"/>
    </x:row>
    <x:row r="25">
      <x:c r="A25" s="2"/>
      <x:c r="B25" s="2"/>
      <x:c r="C25" s="2"/>
      <x:c r="D25" s="2"/>
      <x:c r="E25" s="2"/>
      <x:c r="F25" s="2"/>
      <x:c r="G25" s="2"/>
      <x:c r="H25" s="2"/>
      <x:c r="I25" s="2"/>
      <x:c r="J25" s="2"/>
      <x:c r="K25" s="2"/>
      <x:c r="L25" s="2"/>
      <x:c r="M25" s="2"/>
      <x:c r="N25" s="2"/>
    </x:row>
    <x:row r="26">
      <x:c r="A26" s="2"/>
      <x:c r="B26" s="2"/>
      <x:c r="C26" s="2"/>
      <x:c r="D26" s="2"/>
      <x:c r="E26" s="2"/>
      <x:c r="F26" s="2"/>
      <x:c r="G26" s="2"/>
      <x:c r="H26" s="2"/>
      <x:c r="I26" s="2"/>
      <x:c r="J26" s="2"/>
      <x:c r="K26" s="2"/>
      <x:c r="L26" s="2"/>
      <x:c r="M26" s="2"/>
      <x:c r="N26" s="2"/>
    </x:row>
    <x:row r="27">
      <x:c r="A27" s="2"/>
      <x:c r="B27" s="2"/>
      <x:c r="C27" s="2"/>
      <x:c r="D27" s="2"/>
      <x:c r="E27" s="2"/>
      <x:c r="F27" s="2"/>
      <x:c r="G27" s="2"/>
      <x:c r="H27" s="2"/>
      <x:c r="I27" s="2"/>
      <x:c r="J27" s="2"/>
      <x:c r="K27" s="2"/>
      <x:c r="L27" s="2"/>
      <x:c r="M27" s="2"/>
      <x:c r="N27" s="2"/>
    </x:row>
    <x:row r="28">
      <x:c r="A28" s="2"/>
      <x:c r="B28" s="2"/>
      <x:c r="C28" s="2"/>
      <x:c r="D28" s="2"/>
      <x:c r="E28" s="2"/>
      <x:c r="F28" s="2"/>
      <x:c r="G28" s="2"/>
      <x:c r="H28" s="2"/>
      <x:c r="I28" s="2"/>
      <x:c r="J28" s="2"/>
      <x:c r="K28" s="2"/>
      <x:c r="L28" s="2"/>
      <x:c r="M28" s="2"/>
      <x:c r="N28" s="2"/>
    </x:row>
    <x:row r="29">
      <x:c r="A29" s="2"/>
      <x:c r="B29" s="2"/>
      <x:c r="C29" s="2"/>
      <x:c r="D29" s="2"/>
      <x:c r="E29" s="2"/>
      <x:c r="F29" s="2"/>
      <x:c r="G29" s="2"/>
      <x:c r="H29" s="2"/>
      <x:c r="I29" s="2"/>
      <x:c r="J29" s="2"/>
      <x:c r="K29" s="2"/>
      <x:c r="L29" s="2"/>
      <x:c r="M29" s="2"/>
      <x:c r="N29" s="2"/>
    </x:row>
    <x:row r="30">
      <x:c r="A30" s="2"/>
      <x:c r="B30" s="2"/>
      <x:c r="C30" s="2"/>
      <x:c r="D30" s="2"/>
      <x:c r="E30" s="2"/>
      <x:c r="F30" s="2"/>
      <x:c r="G30" s="2"/>
      <x:c r="H30" s="2"/>
      <x:c r="I30" s="2"/>
      <x:c r="J30" s="2"/>
      <x:c r="K30" s="2"/>
      <x:c r="L30" s="2"/>
      <x:c r="M30" s="2"/>
      <x:c r="N30" s="2"/>
    </x:row>
    <x:row r="31">
      <x:c r="A31" s="2"/>
      <x:c r="B31" s="2"/>
      <x:c r="C31" s="2"/>
      <x:c r="D31" s="2"/>
      <x:c r="E31" s="2"/>
      <x:c r="F31" s="2"/>
      <x:c r="G31" s="2"/>
      <x:c r="H31" s="2"/>
      <x:c r="I31" s="2"/>
      <x:c r="J31" s="2"/>
      <x:c r="K31" s="2"/>
      <x:c r="L31" s="2"/>
      <x:c r="M31" s="2"/>
      <x:c r="N31" s="2"/>
    </x:row>
    <x:row r="32">
      <x:c r="A32" s="2"/>
      <x:c r="B32" s="2"/>
      <x:c r="C32" s="2"/>
      <x:c r="D32" s="2"/>
      <x:c r="E32" s="2"/>
      <x:c r="F32" s="2"/>
      <x:c r="G32" s="2"/>
      <x:c r="H32" s="2"/>
      <x:c r="I32" s="2"/>
      <x:c r="J32" s="2"/>
      <x:c r="K32" s="2"/>
      <x:c r="L32" s="2"/>
      <x:c r="M32" s="2"/>
      <x:c r="N32" s="2"/>
    </x:row>
    <x:row r="33">
      <x:c r="A33" s="2"/>
      <x:c r="B33" s="2"/>
      <x:c r="C33" s="2"/>
      <x:c r="D33" s="2"/>
      <x:c r="E33" s="2"/>
      <x:c r="F33" s="2"/>
      <x:c r="G33" s="2"/>
      <x:c r="H33" s="2"/>
      <x:c r="I33" s="2"/>
      <x:c r="J33" s="2"/>
      <x:c r="K33" s="2"/>
      <x:c r="L33" s="2"/>
      <x:c r="M33" s="2"/>
      <x:c r="N33" s="2"/>
    </x:row>
    <x:row r="34">
      <x:c r="A34" s="2"/>
      <x:c r="B34" s="2"/>
      <x:c r="C34" s="2"/>
      <x:c r="D34" s="2"/>
      <x:c r="E34" s="2"/>
      <x:c r="F34" s="2"/>
      <x:c r="G34" s="2"/>
      <x:c r="H34" s="2"/>
      <x:c r="I34" s="2"/>
      <x:c r="J34" s="2"/>
      <x:c r="K34" s="2"/>
      <x:c r="L34" s="2"/>
      <x:c r="M34" s="2"/>
      <x:c r="N34" s="2"/>
    </x:row>
    <x:row r="35">
      <x:c r="A35" s="2"/>
      <x:c r="B35" s="2"/>
      <x:c r="C35" s="2"/>
      <x:c r="D35" s="2"/>
      <x:c r="E35" s="2"/>
      <x:c r="F35" s="2"/>
      <x:c r="G35" s="2"/>
      <x:c r="H35" s="2"/>
      <x:c r="I35" s="2"/>
      <x:c r="J35" s="2"/>
      <x:c r="K35" s="2"/>
      <x:c r="L35" s="2"/>
      <x:c r="M35" s="2"/>
      <x:c r="N35" s="2"/>
    </x:row>
    <x:row r="36">
      <x:c r="A36" s="2"/>
      <x:c r="B36" s="2"/>
      <x:c r="C36" s="2"/>
      <x:c r="D36" s="2"/>
      <x:c r="E36" s="2"/>
      <x:c r="F36" s="2"/>
      <x:c r="G36" s="2"/>
      <x:c r="H36" s="2"/>
      <x:c r="I36" s="2"/>
      <x:c r="J36" s="2"/>
      <x:c r="K36" s="2"/>
      <x:c r="L36" s="2"/>
      <x:c r="M36" s="2"/>
      <x:c r="N36" s="2"/>
    </x:row>
    <x:row r="37">
      <x:c r="A37" s="2"/>
      <x:c r="B37" s="2"/>
      <x:c r="C37" s="2"/>
      <x:c r="D37" s="2"/>
      <x:c r="E37" s="2"/>
      <x:c r="F37" s="2"/>
      <x:c r="G37" s="2"/>
      <x:c r="H37" s="2"/>
      <x:c r="I37" s="2"/>
      <x:c r="J37" s="2"/>
      <x:c r="K37" s="2"/>
      <x:c r="L37" s="2"/>
      <x:c r="M37" s="2"/>
      <x:c r="N37" s="2"/>
    </x:row>
    <x:row r="38">
      <x:c r="A38" s="2"/>
      <x:c r="B38" s="2"/>
      <x:c r="C38" s="2"/>
      <x:c r="D38" s="2"/>
      <x:c r="E38" s="2"/>
      <x:c r="F38" s="2"/>
      <x:c r="G38" s="2"/>
      <x:c r="H38" s="2"/>
      <x:c r="I38" s="2"/>
      <x:c r="J38" s="2"/>
      <x:c r="K38" s="2"/>
      <x:c r="L38" s="2"/>
      <x:c r="M38" s="2"/>
      <x:c r="N38" s="2"/>
    </x:row>
    <x:row r="39">
      <x:c r="A39" s="2"/>
      <x:c r="B39" s="2"/>
      <x:c r="C39" s="2"/>
      <x:c r="D39" s="2"/>
      <x:c r="E39" s="2"/>
      <x:c r="F39" s="2"/>
      <x:c r="G39" s="2"/>
      <x:c r="H39" s="2"/>
      <x:c r="I39" s="2"/>
      <x:c r="J39" s="2"/>
      <x:c r="K39" s="2"/>
      <x:c r="L39" s="2"/>
      <x:c r="M39" s="2"/>
      <x:c r="N39" s="2"/>
    </x:row>
    <x:row r="40">
      <x:c r="A40" s="2"/>
      <x:c r="B40" s="2"/>
      <x:c r="C40" s="2"/>
      <x:c r="D40" s="2"/>
      <x:c r="E40" s="2"/>
      <x:c r="F40" s="2"/>
      <x:c r="G40" s="2"/>
      <x:c r="H40" s="2"/>
      <x:c r="I40" s="2"/>
      <x:c r="J40" s="2"/>
      <x:c r="K40" s="2"/>
      <x:c r="L40" s="2"/>
      <x:c r="M40" s="2"/>
      <x:c r="N40" s="2"/>
    </x:row>
    <x:row r="41">
      <x:c r="A41" s="2"/>
      <x:c r="B41" s="2"/>
      <x:c r="C41" s="2"/>
      <x:c r="D41" s="2"/>
      <x:c r="E41" s="2"/>
      <x:c r="F41" s="2"/>
      <x:c r="G41" s="2"/>
      <x:c r="H41" s="2"/>
      <x:c r="I41" s="2"/>
      <x:c r="J41" s="2"/>
      <x:c r="K41" s="2"/>
      <x:c r="L41" s="2"/>
      <x:c r="M41" s="2"/>
      <x:c r="N41" s="2"/>
    </x:row>
    <x:row r="42">
      <x:c r="A42" s="2"/>
      <x:c r="B42" s="2"/>
      <x:c r="C42" s="2"/>
      <x:c r="D42" s="2"/>
      <x:c r="E42" s="2"/>
      <x:c r="F42" s="2"/>
      <x:c r="G42" s="2"/>
      <x:c r="H42" s="2"/>
      <x:c r="I42" s="2"/>
      <x:c r="J42" s="2"/>
      <x:c r="K42" s="2"/>
      <x:c r="L42" s="2"/>
      <x:c r="M42" s="2"/>
      <x:c r="N42" s="2"/>
    </x:row>
    <x:row r="43">
      <x:c r="A43" s="2"/>
      <x:c r="B43" s="2"/>
      <x:c r="C43" s="2"/>
      <x:c r="D43" s="2"/>
      <x:c r="E43" s="2"/>
      <x:c r="F43" s="2"/>
      <x:c r="G43" s="2"/>
      <x:c r="H43" s="2"/>
      <x:c r="I43" s="2"/>
      <x:c r="J43" s="2"/>
      <x:c r="K43" s="2"/>
      <x:c r="L43" s="2"/>
      <x:c r="M43" s="2"/>
      <x:c r="N43" s="2"/>
    </x:row>
    <x:row r="44">
      <x:c r="A44" s="2"/>
      <x:c r="B44" s="2"/>
      <x:c r="C44" s="2"/>
      <x:c r="D44" s="2"/>
      <x:c r="E44" s="2"/>
      <x:c r="F44" s="2"/>
      <x:c r="G44" s="2"/>
      <x:c r="H44" s="2"/>
      <x:c r="I44" s="2"/>
      <x:c r="J44" s="2"/>
      <x:c r="K44" s="2"/>
      <x:c r="L44" s="2"/>
      <x:c r="M44" s="2"/>
      <x:c r="N44" s="2"/>
    </x:row>
    <x:row r="45">
      <x:c r="A45" s="2"/>
      <x:c r="B45" s="2"/>
      <x:c r="C45" s="2"/>
      <x:c r="D45" s="2"/>
      <x:c r="E45" s="2"/>
      <x:c r="F45" s="2"/>
      <x:c r="G45" s="2"/>
      <x:c r="H45" s="2"/>
      <x:c r="I45" s="2"/>
      <x:c r="J45" s="2"/>
      <x:c r="K45" s="2"/>
      <x:c r="L45" s="2"/>
      <x:c r="M45" s="2"/>
      <x:c r="N45" s="2"/>
    </x:row>
    <x:row r="46">
      <x:c r="A46" s="2"/>
      <x:c r="B46" s="2"/>
      <x:c r="C46" s="2"/>
      <x:c r="D46" s="2"/>
      <x:c r="E46" s="2"/>
      <x:c r="F46" s="2"/>
      <x:c r="G46" s="2"/>
      <x:c r="H46" s="2"/>
      <x:c r="I46" s="2"/>
      <x:c r="J46" s="2"/>
      <x:c r="K46" s="2"/>
      <x:c r="L46" s="2"/>
      <x:c r="M46" s="2"/>
      <x:c r="N46" s="2"/>
    </x:row>
    <x:row r="47">
      <x:c r="A47" s="2"/>
      <x:c r="B47" s="2"/>
      <x:c r="C47" s="2"/>
      <x:c r="D47" s="2"/>
      <x:c r="E47" s="2"/>
      <x:c r="F47" s="2"/>
      <x:c r="G47" s="2"/>
      <x:c r="H47" s="2"/>
      <x:c r="I47" s="2"/>
      <x:c r="J47" s="2"/>
      <x:c r="K47" s="2"/>
      <x:c r="L47" s="2"/>
      <x:c r="M47" s="2"/>
      <x:c r="N47" s="2"/>
    </x:row>
    <x:row r="48">
      <x:c r="A48" s="2"/>
      <x:c r="B48" s="2"/>
      <x:c r="C48" s="2"/>
      <x:c r="D48" s="2"/>
      <x:c r="E48" s="2"/>
      <x:c r="F48" s="2"/>
      <x:c r="G48" s="2"/>
      <x:c r="H48" s="2"/>
      <x:c r="I48" s="2"/>
      <x:c r="J48" s="2"/>
      <x:c r="K48" s="2"/>
      <x:c r="L48" s="2"/>
      <x:c r="M48" s="2"/>
      <x:c r="N48" s="2"/>
    </x:row>
    <x:row r="49">
      <x:c r="A49" s="2"/>
      <x:c r="B49" s="2"/>
      <x:c r="C49" s="2"/>
      <x:c r="D49" s="2"/>
      <x:c r="E49" s="2"/>
      <x:c r="F49" s="2"/>
      <x:c r="G49" s="2"/>
      <x:c r="H49" s="2"/>
      <x:c r="I49" s="2"/>
      <x:c r="J49" s="2"/>
      <x:c r="K49" s="2"/>
      <x:c r="L49" s="2"/>
      <x:c r="M49" s="2"/>
      <x:c r="N49" s="2"/>
    </x:row>
    <x:row r="50">
      <x:c r="A50" s="2"/>
      <x:c r="B50" s="2"/>
      <x:c r="C50" s="2"/>
      <x:c r="D50" s="2"/>
      <x:c r="E50" s="2"/>
      <x:c r="F50" s="2"/>
      <x:c r="G50" s="2"/>
      <x:c r="H50" s="2"/>
      <x:c r="I50" s="2"/>
      <x:c r="J50" s="2"/>
      <x:c r="K50" s="2"/>
      <x:c r="L50" s="2"/>
      <x:c r="M50" s="2"/>
      <x:c r="N50" s="2"/>
    </x:row>
    <x:row r="51">
      <x:c r="A51" s="2"/>
      <x:c r="B51" s="2"/>
      <x:c r="C51" s="2"/>
      <x:c r="D51" s="2"/>
      <x:c r="E51" s="2"/>
      <x:c r="F51" s="2"/>
      <x:c r="G51" s="2"/>
      <x:c r="H51" s="2"/>
      <x:c r="I51" s="2"/>
      <x:c r="J51" s="2"/>
      <x:c r="K51" s="2"/>
      <x:c r="L51" s="2"/>
      <x:c r="M51" s="2"/>
      <x:c r="N51" s="2"/>
    </x:row>
    <x:row r="52">
      <x:c r="A52" s="2"/>
      <x:c r="B52" s="2"/>
      <x:c r="C52" s="2"/>
      <x:c r="D52" s="2"/>
      <x:c r="E52" s="2"/>
      <x:c r="F52" s="2"/>
      <x:c r="G52" s="2"/>
      <x:c r="H52" s="2"/>
      <x:c r="I52" s="2"/>
      <x:c r="J52" s="2"/>
      <x:c r="K52" s="2"/>
      <x:c r="L52" s="2"/>
      <x:c r="M52" s="2"/>
      <x:c r="N52" s="2"/>
    </x:row>
    <x:row r="53">
      <x:c r="A53" s="2"/>
      <x:c r="B53" s="2"/>
      <x:c r="C53" s="2"/>
      <x:c r="D53" s="2"/>
      <x:c r="E53" s="2"/>
      <x:c r="F53" s="2"/>
      <x:c r="G53" s="2"/>
      <x:c r="H53" s="2"/>
      <x:c r="I53" s="2"/>
      <x:c r="J53" s="2"/>
      <x:c r="K53" s="2"/>
      <x:c r="L53" s="2"/>
      <x:c r="M53" s="2"/>
      <x:c r="N53" s="2"/>
    </x:row>
    <x:row r="54">
      <x:c r="A54" s="2"/>
      <x:c r="B54" s="2"/>
      <x:c r="C54" s="2"/>
      <x:c r="D54" s="2"/>
      <x:c r="E54" s="2"/>
      <x:c r="F54" s="2"/>
      <x:c r="G54" s="2"/>
      <x:c r="H54" s="2"/>
      <x:c r="I54" s="2"/>
      <x:c r="J54" s="2"/>
      <x:c r="K54" s="2"/>
      <x:c r="L54" s="2"/>
      <x:c r="M54" s="2"/>
      <x:c r="N54" s="2"/>
    </x:row>
    <x:row r="55">
      <x:c r="A55" s="2"/>
      <x:c r="B55" s="2"/>
      <x:c r="C55" s="2"/>
      <x:c r="D55" s="2"/>
      <x:c r="E55" s="2"/>
      <x:c r="F55" s="2"/>
      <x:c r="G55" s="2"/>
      <x:c r="H55" s="2"/>
      <x:c r="I55" s="2"/>
      <x:c r="J55" s="2"/>
      <x:c r="K55" s="2"/>
      <x:c r="L55" s="2"/>
      <x:c r="M55" s="2"/>
      <x:c r="N55" s="2"/>
    </x:row>
    <x:row r="56">
      <x:c r="A56" s="2"/>
      <x:c r="B56" s="2"/>
      <x:c r="C56" s="2"/>
      <x:c r="D56" s="2"/>
      <x:c r="E56" s="2"/>
      <x:c r="F56" s="2"/>
      <x:c r="G56" s="2"/>
      <x:c r="H56" s="2"/>
      <x:c r="I56" s="2"/>
      <x:c r="J56" s="2"/>
      <x:c r="K56" s="2"/>
      <x:c r="L56" s="2"/>
      <x:c r="M56" s="2"/>
      <x:c r="N56" s="2"/>
    </x:row>
    <x:row r="57">
      <x:c r="A57" s="2"/>
      <x:c r="B57" s="2"/>
      <x:c r="C57" s="2"/>
      <x:c r="D57" s="2"/>
      <x:c r="E57" s="2"/>
      <x:c r="F57" s="2"/>
      <x:c r="G57" s="2"/>
      <x:c r="H57" s="2"/>
      <x:c r="I57" s="2"/>
      <x:c r="J57" s="2"/>
      <x:c r="K57" s="2"/>
      <x:c r="L57" s="2"/>
      <x:c r="M57" s="2"/>
      <x:c r="N57" s="2"/>
    </x:row>
    <x:row r="58">
      <x:c r="A58" s="2"/>
      <x:c r="B58" s="2"/>
      <x:c r="C58" s="2"/>
      <x:c r="D58" s="2"/>
      <x:c r="E58" s="2"/>
      <x:c r="F58" s="2"/>
      <x:c r="G58" s="2"/>
      <x:c r="H58" s="2"/>
      <x:c r="I58" s="2"/>
      <x:c r="J58" s="2"/>
      <x:c r="K58" s="2"/>
      <x:c r="L58" s="2"/>
      <x:c r="M58" s="2"/>
      <x:c r="N58" s="2"/>
    </x:row>
    <x:row r="59">
      <x:c r="A59" s="2"/>
      <x:c r="B59" s="2"/>
      <x:c r="C59" s="2"/>
      <x:c r="D59" s="2"/>
      <x:c r="E59" s="2"/>
      <x:c r="F59" s="2"/>
      <x:c r="G59" s="2"/>
      <x:c r="H59" s="2"/>
      <x:c r="I59" s="2"/>
      <x:c r="J59" s="2"/>
      <x:c r="K59" s="2"/>
      <x:c r="L59" s="2"/>
      <x:c r="M59" s="2"/>
      <x:c r="N59" s="2"/>
    </x:row>
    <x:row r="60">
      <x:c r="A60" s="2"/>
      <x:c r="B60" s="2"/>
      <x:c r="C60" s="2"/>
      <x:c r="D60" s="2"/>
      <x:c r="E60" s="2"/>
      <x:c r="F60" s="2"/>
      <x:c r="G60" s="2"/>
      <x:c r="H60" s="2"/>
      <x:c r="I60" s="2"/>
      <x:c r="J60" s="2"/>
      <x:c r="K60" s="2"/>
      <x:c r="L60" s="2"/>
      <x:c r="M60" s="2"/>
      <x:c r="N60" s="2"/>
    </x:row>
    <x:row r="61">
      <x:c r="A61" s="2"/>
      <x:c r="B61" s="2"/>
      <x:c r="C61" s="2"/>
      <x:c r="D61" s="2"/>
      <x:c r="E61" s="2"/>
      <x:c r="F61" s="2"/>
      <x:c r="G61" s="2"/>
      <x:c r="H61" s="2"/>
      <x:c r="I61" s="2"/>
      <x:c r="J61" s="2"/>
      <x:c r="K61" s="2"/>
      <x:c r="L61" s="2"/>
      <x:c r="M61" s="2"/>
      <x:c r="N61" s="2"/>
    </x:row>
    <x:row r="62">
      <x:c r="A62" s="2"/>
      <x:c r="B62" s="2"/>
      <x:c r="C62" s="2"/>
      <x:c r="D62" s="2"/>
      <x:c r="E62" s="2"/>
      <x:c r="F62" s="2"/>
      <x:c r="G62" s="2"/>
      <x:c r="H62" s="2"/>
      <x:c r="I62" s="2"/>
      <x:c r="J62" s="2"/>
      <x:c r="K62" s="2"/>
      <x:c r="L62" s="2"/>
      <x:c r="M62" s="2"/>
      <x:c r="N62" s="2"/>
    </x:row>
    <x:row r="63">
      <x:c r="A63" s="2"/>
      <x:c r="B63" s="2"/>
      <x:c r="C63" s="2"/>
      <x:c r="D63" s="2"/>
      <x:c r="E63" s="2"/>
      <x:c r="F63" s="2"/>
      <x:c r="G63" s="2"/>
      <x:c r="H63" s="2"/>
      <x:c r="I63" s="2"/>
      <x:c r="J63" s="2"/>
      <x:c r="K63" s="2"/>
      <x:c r="L63" s="2"/>
      <x:c r="M63" s="2"/>
      <x:c r="N63" s="2"/>
    </x:row>
    <x:row r="64">
      <x:c r="A64" s="2"/>
      <x:c r="B64" s="2"/>
      <x:c r="C64" s="2"/>
      <x:c r="D64" s="2"/>
      <x:c r="E64" s="2"/>
      <x:c r="F64" s="2"/>
      <x:c r="G64" s="2"/>
      <x:c r="H64" s="2"/>
      <x:c r="I64" s="2"/>
      <x:c r="J64" s="2"/>
      <x:c r="K64" s="2"/>
      <x:c r="L64" s="2"/>
      <x:c r="M64" s="2"/>
      <x:c r="N64" s="2"/>
    </x:row>
    <x:row r="65">
      <x:c r="A65" s="2"/>
      <x:c r="B65" s="2"/>
      <x:c r="C65" s="2"/>
      <x:c r="D65" s="2"/>
      <x:c r="E65" s="2"/>
      <x:c r="F65" s="2"/>
      <x:c r="G65" s="2"/>
      <x:c r="H65" s="2"/>
      <x:c r="I65" s="2"/>
      <x:c r="J65" s="2"/>
      <x:c r="K65" s="2"/>
      <x:c r="L65" s="2"/>
      <x:c r="M65" s="2"/>
      <x:c r="N65" s="2"/>
    </x:row>
    <x:row r="66">
      <x:c r="A66" s="2"/>
      <x:c r="B66" s="2"/>
      <x:c r="C66" s="2"/>
      <x:c r="D66" s="2"/>
      <x:c r="E66" s="2"/>
      <x:c r="F66" s="2"/>
      <x:c r="G66" s="2"/>
      <x:c r="H66" s="2"/>
      <x:c r="I66" s="2"/>
      <x:c r="J66" s="2"/>
      <x:c r="K66" s="2"/>
      <x:c r="L66" s="2"/>
      <x:c r="M66" s="2"/>
      <x:c r="N66" s="2"/>
    </x:row>
    <x:row r="67">
      <x:c r="A67" s="2"/>
      <x:c r="B67" s="2"/>
      <x:c r="C67" s="2"/>
      <x:c r="D67" s="2"/>
      <x:c r="E67" s="2"/>
      <x:c r="F67" s="2"/>
      <x:c r="G67" s="2"/>
      <x:c r="H67" s="2"/>
      <x:c r="I67" s="2"/>
      <x:c r="J67" s="2"/>
      <x:c r="K67" s="2"/>
      <x:c r="L67" s="2"/>
      <x:c r="M67" s="2"/>
      <x:c r="N67" s="2"/>
    </x:row>
    <x:row r="68">
      <x:c r="A68" s="2"/>
      <x:c r="B68" s="2"/>
      <x:c r="C68" s="2"/>
      <x:c r="D68" s="2"/>
      <x:c r="E68" s="2"/>
      <x:c r="F68" s="2"/>
      <x:c r="G68" s="2"/>
      <x:c r="H68" s="2"/>
      <x:c r="I68" s="2"/>
      <x:c r="J68" s="2"/>
      <x:c r="K68" s="2"/>
      <x:c r="L68" s="2"/>
      <x:c r="M68" s="2"/>
      <x:c r="N68" s="2"/>
    </x:row>
    <x:row r="69">
      <x:c r="A69" s="2"/>
      <x:c r="B69" s="2"/>
      <x:c r="C69" s="2"/>
      <x:c r="D69" s="2"/>
      <x:c r="E69" s="2"/>
      <x:c r="F69" s="2"/>
      <x:c r="G69" s="2"/>
      <x:c r="H69" s="2"/>
      <x:c r="I69" s="2"/>
      <x:c r="J69" s="2"/>
      <x:c r="K69" s="2"/>
      <x:c r="L69" s="2"/>
      <x:c r="M69" s="2"/>
      <x:c r="N69" s="2"/>
    </x:row>
    <x:row r="70">
      <x:c r="A70" s="2"/>
      <x:c r="B70" s="2"/>
      <x:c r="C70" s="2"/>
      <x:c r="D70" s="2"/>
      <x:c r="E70" s="2"/>
      <x:c r="F70" s="2"/>
      <x:c r="G70" s="2"/>
      <x:c r="H70" s="2"/>
      <x:c r="I70" s="2"/>
      <x:c r="J70" s="2"/>
      <x:c r="K70" s="2"/>
      <x:c r="L70" s="2"/>
      <x:c r="M70" s="2"/>
      <x:c r="N70" s="2"/>
    </x:row>
    <x:row r="71">
      <x:c r="A71" s="2"/>
      <x:c r="B71" s="2"/>
      <x:c r="C71" s="2"/>
      <x:c r="D71" s="2"/>
      <x:c r="E71" s="2"/>
      <x:c r="F71" s="2"/>
      <x:c r="G71" s="2"/>
      <x:c r="H71" s="2"/>
      <x:c r="I71" s="2"/>
      <x:c r="J71" s="2"/>
      <x:c r="K71" s="2"/>
      <x:c r="L71" s="2"/>
      <x:c r="M71" s="2"/>
      <x:c r="N71" s="2"/>
    </x:row>
    <x:row r="72">
      <x:c r="A72" s="2"/>
      <x:c r="B72" s="2"/>
      <x:c r="C72" s="2"/>
      <x:c r="D72" s="2"/>
      <x:c r="E72" s="2"/>
      <x:c r="F72" s="2"/>
      <x:c r="G72" s="2"/>
      <x:c r="H72" s="2"/>
      <x:c r="I72" s="2"/>
      <x:c r="J72" s="2"/>
      <x:c r="K72" s="2"/>
      <x:c r="L72" s="2"/>
      <x:c r="M72" s="2"/>
      <x:c r="N72" s="2"/>
    </x:row>
    <x:row r="73">
      <x:c r="A73" s="2"/>
      <x:c r="B73" s="2"/>
      <x:c r="C73" s="2"/>
      <x:c r="D73" s="2"/>
      <x:c r="E73" s="2"/>
      <x:c r="F73" s="2"/>
      <x:c r="G73" s="2"/>
      <x:c r="H73" s="2"/>
      <x:c r="I73" s="2"/>
      <x:c r="J73" s="2"/>
      <x:c r="K73" s="2"/>
      <x:c r="L73" s="2"/>
      <x:c r="M73" s="2"/>
      <x:c r="N73" s="2"/>
    </x:row>
    <x:row r="74">
      <x:c r="A74" s="2"/>
      <x:c r="B74" s="2"/>
      <x:c r="C74" s="2"/>
      <x:c r="D74" s="2"/>
      <x:c r="E74" s="2"/>
      <x:c r="F74" s="2"/>
      <x:c r="G74" s="2"/>
      <x:c r="H74" s="2"/>
      <x:c r="I74" s="2"/>
      <x:c r="J74" s="2"/>
      <x:c r="K74" s="2"/>
      <x:c r="L74" s="2"/>
      <x:c r="M74" s="2"/>
      <x:c r="N74" s="2"/>
    </x:row>
    <x:row r="75">
      <x:c r="A75" s="2"/>
      <x:c r="B75" s="2"/>
      <x:c r="C75" s="2"/>
      <x:c r="D75" s="2"/>
      <x:c r="E75" s="2"/>
      <x:c r="F75" s="2"/>
      <x:c r="G75" s="2"/>
      <x:c r="H75" s="2"/>
      <x:c r="I75" s="2"/>
      <x:c r="J75" s="2"/>
      <x:c r="K75" s="2"/>
      <x:c r="L75" s="2"/>
      <x:c r="M75" s="2"/>
      <x:c r="N75" s="2"/>
    </x:row>
    <x:row r="76">
      <x:c r="A76" s="2"/>
      <x:c r="B76" s="2"/>
      <x:c r="C76" s="2"/>
      <x:c r="D76" s="2"/>
      <x:c r="E76" s="2"/>
      <x:c r="F76" s="2"/>
      <x:c r="G76" s="2"/>
      <x:c r="H76" s="2"/>
      <x:c r="I76" s="2"/>
      <x:c r="J76" s="2"/>
      <x:c r="K76" s="2"/>
      <x:c r="L76" s="2"/>
      <x:c r="M76" s="2"/>
      <x:c r="N76" s="2"/>
    </x:row>
    <x:row r="77">
      <x:c r="A77" s="2"/>
      <x:c r="B77" s="2"/>
      <x:c r="C77" s="2"/>
      <x:c r="D77" s="2"/>
      <x:c r="E77" s="2"/>
      <x:c r="F77" s="2"/>
      <x:c r="G77" s="2"/>
      <x:c r="H77" s="2"/>
      <x:c r="I77" s="2"/>
      <x:c r="J77" s="2"/>
      <x:c r="K77" s="2"/>
      <x:c r="L77" s="2"/>
      <x:c r="M77" s="2"/>
      <x:c r="N77" s="2"/>
    </x:row>
    <x:row r="78">
      <x:c r="A78" s="2"/>
      <x:c r="B78" s="2"/>
      <x:c r="C78" s="2"/>
      <x:c r="D78" s="2"/>
      <x:c r="E78" s="2"/>
      <x:c r="F78" s="2"/>
      <x:c r="G78" s="2"/>
      <x:c r="H78" s="2"/>
      <x:c r="I78" s="2"/>
      <x:c r="J78" s="2"/>
      <x:c r="K78" s="2"/>
      <x:c r="L78" s="2"/>
      <x:c r="M78" s="2"/>
      <x:c r="N78" s="2"/>
    </x:row>
    <x:row r="79">
      <x:c r="A79" s="2"/>
      <x:c r="B79" s="2"/>
      <x:c r="C79" s="2"/>
      <x:c r="D79" s="2"/>
      <x:c r="E79" s="2"/>
      <x:c r="F79" s="2"/>
      <x:c r="G79" s="2"/>
      <x:c r="H79" s="2"/>
      <x:c r="I79" s="2"/>
      <x:c r="J79" s="2"/>
      <x:c r="K79" s="2"/>
      <x:c r="L79" s="2"/>
      <x:c r="M79" s="2"/>
      <x:c r="N79" s="2"/>
    </x:row>
    <x:row r="80">
      <x:c r="A80" s="2"/>
      <x:c r="B80" s="2"/>
      <x:c r="C80" s="2"/>
      <x:c r="D80" s="2"/>
      <x:c r="E80" s="2"/>
      <x:c r="F80" s="2"/>
      <x:c r="G80" s="2"/>
      <x:c r="H80" s="2"/>
      <x:c r="I80" s="2"/>
      <x:c r="J80" s="2"/>
      <x:c r="K80" s="2"/>
      <x:c r="L80" s="2"/>
      <x:c r="M80" s="2"/>
      <x:c r="N80" s="2"/>
    </x:row>
    <x:row r="81">
      <x:c r="A81" s="2"/>
      <x:c r="B81" s="2"/>
      <x:c r="C81" s="2"/>
      <x:c r="D81" s="2"/>
      <x:c r="E81" s="2"/>
      <x:c r="F81" s="2"/>
      <x:c r="G81" s="2"/>
      <x:c r="H81" s="2"/>
      <x:c r="I81" s="2"/>
      <x:c r="J81" s="2"/>
      <x:c r="K81" s="2"/>
      <x:c r="L81" s="2"/>
      <x:c r="M81" s="2"/>
      <x:c r="N81" s="2"/>
    </x:row>
    <x:row r="82">
      <x:c r="A82" s="2"/>
      <x:c r="B82" s="2"/>
      <x:c r="C82" s="2"/>
      <x:c r="D82" s="2"/>
      <x:c r="E82" s="2"/>
      <x:c r="F82" s="2"/>
      <x:c r="G82" s="2"/>
      <x:c r="H82" s="2"/>
      <x:c r="I82" s="2"/>
      <x:c r="J82" s="2"/>
      <x:c r="K82" s="2"/>
      <x:c r="L82" s="2"/>
      <x:c r="M82" s="2"/>
      <x:c r="N82" s="2"/>
    </x:row>
    <x:row r="83">
      <x:c r="A83" s="2"/>
      <x:c r="B83" s="2"/>
      <x:c r="C83" s="2"/>
      <x:c r="D83" s="2"/>
      <x:c r="E83" s="2"/>
      <x:c r="F83" s="2"/>
      <x:c r="G83" s="2"/>
      <x:c r="H83" s="2"/>
      <x:c r="I83" s="2"/>
      <x:c r="J83" s="2"/>
      <x:c r="K83" s="2"/>
      <x:c r="L83" s="2"/>
      <x:c r="M83" s="2"/>
      <x:c r="N83" s="2"/>
    </x:row>
    <x:row r="84">
      <x:c r="A84" s="2"/>
      <x:c r="B84" s="2"/>
      <x:c r="C84" s="2"/>
      <x:c r="D84" s="2"/>
      <x:c r="E84" s="2"/>
      <x:c r="F84" s="2"/>
      <x:c r="G84" s="2"/>
      <x:c r="H84" s="2"/>
      <x:c r="I84" s="2"/>
      <x:c r="J84" s="2"/>
      <x:c r="K84" s="2"/>
      <x:c r="L84" s="2"/>
      <x:c r="M84" s="2"/>
      <x:c r="N84" s="2"/>
    </x:row>
    <x:row r="85">
      <x:c r="A85" s="2"/>
      <x:c r="B85" s="2"/>
      <x:c r="C85" s="2"/>
      <x:c r="D85" s="2"/>
      <x:c r="E85" s="2"/>
      <x:c r="F85" s="2"/>
      <x:c r="G85" s="2"/>
      <x:c r="H85" s="2"/>
      <x:c r="I85" s="2"/>
      <x:c r="J85" s="2"/>
      <x:c r="K85" s="2"/>
      <x:c r="L85" s="2"/>
      <x:c r="M85" s="2"/>
      <x:c r="N85" s="2"/>
    </x:row>
    <x:row r="86">
      <x:c r="A86" s="2"/>
      <x:c r="B86" s="2"/>
      <x:c r="C86" s="2"/>
      <x:c r="D86" s="2"/>
      <x:c r="E86" s="2"/>
      <x:c r="F86" s="2"/>
      <x:c r="G86" s="2"/>
      <x:c r="H86" s="2"/>
      <x:c r="I86" s="2"/>
      <x:c r="J86" s="2"/>
      <x:c r="K86" s="2"/>
      <x:c r="L86" s="2"/>
      <x:c r="M86" s="2"/>
      <x:c r="N86" s="2"/>
    </x:row>
    <x:row r="87">
      <x:c r="A87" s="2"/>
      <x:c r="B87" s="2"/>
      <x:c r="C87" s="2"/>
      <x:c r="D87" s="2"/>
      <x:c r="E87" s="2"/>
      <x:c r="F87" s="2"/>
      <x:c r="G87" s="2"/>
      <x:c r="H87" s="2"/>
      <x:c r="I87" s="2"/>
      <x:c r="J87" s="2"/>
      <x:c r="K87" s="2"/>
      <x:c r="L87" s="2"/>
      <x:c r="M87" s="2"/>
      <x:c r="N87" s="2"/>
    </x:row>
    <x:row r="88">
      <x:c r="A88" s="2"/>
      <x:c r="B88" s="2"/>
      <x:c r="C88" s="2"/>
      <x:c r="D88" s="2"/>
      <x:c r="E88" s="2"/>
      <x:c r="F88" s="2"/>
      <x:c r="G88" s="2"/>
      <x:c r="H88" s="2"/>
      <x:c r="I88" s="2"/>
      <x:c r="J88" s="2"/>
      <x:c r="K88" s="2"/>
      <x:c r="L88" s="2"/>
      <x:c r="M88" s="2"/>
      <x:c r="N88" s="2"/>
    </x:row>
    <x:row r="89">
      <x:c r="A89" s="2"/>
      <x:c r="B89" s="2"/>
      <x:c r="C89" s="2"/>
      <x:c r="D89" s="2"/>
      <x:c r="E89" s="2"/>
      <x:c r="F89" s="2"/>
      <x:c r="G89" s="2"/>
      <x:c r="H89" s="2"/>
      <x:c r="I89" s="2"/>
      <x:c r="J89" s="2"/>
      <x:c r="K89" s="2"/>
      <x:c r="L89" s="2"/>
      <x:c r="M89" s="2"/>
      <x:c r="N89" s="2"/>
    </x:row>
    <x:row r="90">
      <x:c r="A90" s="2"/>
      <x:c r="B90" s="2"/>
      <x:c r="C90" s="2"/>
      <x:c r="D90" s="2"/>
      <x:c r="E90" s="2"/>
      <x:c r="F90" s="2"/>
      <x:c r="G90" s="2"/>
      <x:c r="H90" s="2"/>
      <x:c r="I90" s="2"/>
      <x:c r="J90" s="2"/>
      <x:c r="K90" s="2"/>
      <x:c r="L90" s="2"/>
      <x:c r="M90" s="2"/>
      <x:c r="N90" s="2"/>
    </x:row>
    <x:row r="91">
      <x:c r="A91" s="2"/>
      <x:c r="B91" s="2"/>
      <x:c r="C91" s="2"/>
      <x:c r="D91" s="2"/>
      <x:c r="E91" s="2"/>
      <x:c r="F91" s="2"/>
      <x:c r="G91" s="2"/>
      <x:c r="H91" s="2"/>
      <x:c r="I91" s="2"/>
      <x:c r="J91" s="2"/>
      <x:c r="K91" s="2"/>
      <x:c r="L91" s="2"/>
      <x:c r="M91" s="2"/>
      <x:c r="N91" s="2"/>
    </x:row>
    <x:row r="92">
      <x:c r="A92" s="2"/>
      <x:c r="B92" s="2"/>
      <x:c r="C92" s="2"/>
      <x:c r="D92" s="2"/>
      <x:c r="E92" s="2"/>
      <x:c r="F92" s="2"/>
      <x:c r="G92" s="2"/>
      <x:c r="H92" s="2"/>
      <x:c r="I92" s="2"/>
      <x:c r="J92" s="2"/>
      <x:c r="K92" s="2"/>
      <x:c r="L92" s="2"/>
      <x:c r="M92" s="2"/>
      <x:c r="N92" s="2"/>
    </x:row>
    <x:row r="93">
      <x:c r="A93" s="2"/>
      <x:c r="B93" s="2"/>
      <x:c r="C93" s="2"/>
      <x:c r="D93" s="2"/>
      <x:c r="E93" s="2"/>
      <x:c r="F93" s="2"/>
      <x:c r="G93" s="2"/>
      <x:c r="H93" s="2"/>
      <x:c r="I93" s="2"/>
      <x:c r="J93" s="2"/>
      <x:c r="K93" s="2"/>
      <x:c r="L93" s="2"/>
      <x:c r="M93" s="2"/>
      <x:c r="N93" s="2"/>
    </x:row>
    <x:row r="94">
      <x:c r="A94" s="2"/>
      <x:c r="B94" s="2"/>
      <x:c r="C94" s="2"/>
      <x:c r="D94" s="2"/>
      <x:c r="E94" s="2"/>
      <x:c r="F94" s="2"/>
      <x:c r="G94" s="2"/>
      <x:c r="H94" s="2"/>
      <x:c r="I94" s="2"/>
      <x:c r="J94" s="2"/>
      <x:c r="K94" s="2"/>
      <x:c r="L94" s="2"/>
      <x:c r="M94" s="2"/>
      <x:c r="N94" s="2"/>
    </x:row>
    <x:row r="95">
      <x:c r="A95" s="2"/>
      <x:c r="B95" s="2"/>
      <x:c r="C95" s="2"/>
      <x:c r="D95" s="2"/>
      <x:c r="E95" s="2"/>
      <x:c r="F95" s="2"/>
      <x:c r="G95" s="2"/>
      <x:c r="H95" s="2"/>
      <x:c r="I95" s="2"/>
      <x:c r="J95" s="2"/>
      <x:c r="K95" s="2"/>
      <x:c r="L95" s="2"/>
      <x:c r="M95" s="2"/>
      <x:c r="N95" s="2"/>
    </x:row>
    <x:row r="96">
      <x:c r="A96" s="2"/>
      <x:c r="B96" s="2"/>
      <x:c r="C96" s="2"/>
      <x:c r="D96" s="2"/>
      <x:c r="E96" s="2"/>
      <x:c r="F96" s="2"/>
      <x:c r="G96" s="2"/>
      <x:c r="H96" s="2"/>
      <x:c r="I96" s="2"/>
      <x:c r="J96" s="2"/>
      <x:c r="K96" s="2"/>
      <x:c r="L96" s="2"/>
      <x:c r="M96" s="2"/>
      <x:c r="N96" s="2"/>
    </x:row>
    <x:row r="97">
      <x:c r="A97" s="2"/>
      <x:c r="B97" s="2"/>
      <x:c r="C97" s="2"/>
      <x:c r="D97" s="2"/>
      <x:c r="E97" s="2"/>
      <x:c r="F97" s="2"/>
      <x:c r="G97" s="2"/>
      <x:c r="H97" s="2"/>
      <x:c r="I97" s="2"/>
      <x:c r="J97" s="2"/>
      <x:c r="K97" s="2"/>
      <x:c r="L97" s="2"/>
      <x:c r="M97" s="2"/>
      <x:c r="N97" s="2"/>
    </x:row>
    <x:row r="98">
      <x:c r="A98" s="2"/>
      <x:c r="B98" s="2"/>
      <x:c r="C98" s="2"/>
      <x:c r="D98" s="2"/>
      <x:c r="E98" s="2"/>
      <x:c r="F98" s="2"/>
      <x:c r="G98" s="2"/>
      <x:c r="H98" s="2"/>
      <x:c r="I98" s="2"/>
      <x:c r="J98" s="2"/>
      <x:c r="K98" s="2"/>
      <x:c r="L98" s="2"/>
      <x:c r="M98" s="2"/>
      <x:c r="N98" s="2"/>
    </x:row>
    <x:row r="99">
      <x:c r="A99" s="2"/>
      <x:c r="B99" s="2"/>
      <x:c r="C99" s="2"/>
      <x:c r="D99" s="2"/>
      <x:c r="E99" s="2"/>
      <x:c r="F99" s="2"/>
      <x:c r="G99" s="2"/>
      <x:c r="H99" s="2"/>
      <x:c r="I99" s="2"/>
      <x:c r="J99" s="2"/>
      <x:c r="K99" s="2"/>
      <x:c r="L99" s="2"/>
      <x:c r="M99" s="2"/>
      <x:c r="N99" s="2"/>
    </x:row>
    <x:row r="100">
      <x:c r="A100" s="2"/>
      <x:c r="B100" s="2"/>
      <x:c r="C100" s="2"/>
      <x:c r="D100" s="2"/>
      <x:c r="E100" s="2"/>
      <x:c r="F100" s="2"/>
      <x:c r="G100" s="2"/>
      <x:c r="H100" s="2"/>
      <x:c r="I100" s="2"/>
      <x:c r="J100" s="2"/>
      <x:c r="K100" s="2"/>
      <x:c r="L100" s="2"/>
      <x:c r="M100" s="2"/>
      <x:c r="N100" s="2"/>
    </x:row>
    <x:row r="101">
      <x:c r="A101" s="2"/>
      <x:c r="B101" s="2"/>
      <x:c r="C101" s="2"/>
      <x:c r="D101" s="2"/>
      <x:c r="E101" s="2"/>
      <x:c r="F101" s="2"/>
      <x:c r="G101" s="2"/>
      <x:c r="H101" s="2"/>
      <x:c r="I101" s="2"/>
      <x:c r="J101" s="2"/>
      <x:c r="K101" s="2"/>
      <x:c r="L101" s="2"/>
      <x:c r="M101" s="2"/>
      <x:c r="N101" s="2"/>
    </x:row>
    <x:row r="102">
      <x:c r="A102" s="2"/>
      <x:c r="B102" s="2"/>
      <x:c r="C102" s="2"/>
      <x:c r="D102" s="2"/>
      <x:c r="E102" s="2"/>
      <x:c r="F102" s="2"/>
      <x:c r="G102" s="2"/>
      <x:c r="H102" s="2"/>
      <x:c r="I102" s="2"/>
      <x:c r="J102" s="2"/>
      <x:c r="K102" s="2"/>
      <x:c r="L102" s="2"/>
      <x:c r="M102" s="2"/>
      <x:c r="N102" s="2"/>
    </x:row>
    <x:row r="103">
      <x:c r="A103" s="2"/>
      <x:c r="B103" s="2"/>
      <x:c r="C103" s="2"/>
      <x:c r="D103" s="2"/>
      <x:c r="E103" s="2"/>
      <x:c r="F103" s="2"/>
      <x:c r="G103" s="2"/>
      <x:c r="H103" s="2"/>
      <x:c r="I103" s="2"/>
      <x:c r="J103" s="2"/>
      <x:c r="K103" s="2"/>
      <x:c r="L103" s="2"/>
      <x:c r="M103" s="2"/>
      <x:c r="N103" s="2"/>
    </x:row>
    <x:row r="104">
      <x:c r="A104" s="2"/>
      <x:c r="B104" s="2"/>
      <x:c r="C104" s="2"/>
      <x:c r="D104" s="2"/>
      <x:c r="E104" s="2"/>
      <x:c r="F104" s="2"/>
      <x:c r="G104" s="2"/>
      <x:c r="H104" s="2"/>
      <x:c r="I104" s="2"/>
      <x:c r="J104" s="2"/>
      <x:c r="K104" s="2"/>
      <x:c r="L104" s="2"/>
      <x:c r="M104" s="2"/>
      <x:c r="N104" s="2"/>
    </x:row>
    <x:row r="105">
      <x:c r="A105" s="2"/>
      <x:c r="B105" s="2"/>
      <x:c r="C105" s="2"/>
      <x:c r="D105" s="2"/>
      <x:c r="E105" s="2"/>
      <x:c r="F105" s="2"/>
      <x:c r="G105" s="2"/>
      <x:c r="H105" s="2"/>
      <x:c r="I105" s="2"/>
      <x:c r="J105" s="2"/>
      <x:c r="K105" s="2"/>
      <x:c r="L105" s="2"/>
      <x:c r="M105" s="2"/>
      <x:c r="N105" s="2"/>
    </x:row>
    <x:row r="106">
      <x:c r="A106" s="2"/>
      <x:c r="B106" s="2"/>
      <x:c r="C106" s="2"/>
      <x:c r="D106" s="2"/>
      <x:c r="E106" s="2"/>
      <x:c r="F106" s="2"/>
      <x:c r="G106" s="2"/>
      <x:c r="H106" s="2"/>
      <x:c r="I106" s="2"/>
      <x:c r="J106" s="2"/>
      <x:c r="K106" s="2"/>
      <x:c r="L106" s="2"/>
      <x:c r="M106" s="2"/>
      <x:c r="N106" s="2"/>
    </x:row>
    <x:row r="107">
      <x:c r="A107" s="2"/>
      <x:c r="B107" s="2"/>
      <x:c r="C107" s="2"/>
      <x:c r="D107" s="2"/>
      <x:c r="E107" s="2"/>
      <x:c r="F107" s="2"/>
      <x:c r="G107" s="2"/>
      <x:c r="H107" s="2"/>
      <x:c r="I107" s="2"/>
      <x:c r="J107" s="2"/>
      <x:c r="K107" s="2"/>
      <x:c r="L107" s="2"/>
      <x:c r="M107" s="2"/>
      <x:c r="N107" s="2"/>
    </x:row>
    <x:row r="108">
      <x:c r="A108" s="2"/>
      <x:c r="B108" s="2"/>
      <x:c r="C108" s="2"/>
      <x:c r="D108" s="2"/>
      <x:c r="E108" s="2"/>
      <x:c r="F108" s="2"/>
      <x:c r="G108" s="2"/>
      <x:c r="H108" s="2"/>
      <x:c r="I108" s="2"/>
      <x:c r="J108" s="2"/>
      <x:c r="K108" s="2"/>
      <x:c r="L108" s="2"/>
      <x:c r="M108" s="2"/>
      <x:c r="N108" s="2"/>
    </x:row>
    <x:row r="109">
      <x:c r="A109" s="2"/>
      <x:c r="B109" s="2"/>
      <x:c r="C109" s="2"/>
      <x:c r="D109" s="2"/>
      <x:c r="E109" s="2"/>
      <x:c r="F109" s="2"/>
      <x:c r="G109" s="2"/>
      <x:c r="H109" s="2"/>
      <x:c r="I109" s="2"/>
      <x:c r="J109" s="2"/>
      <x:c r="K109" s="2"/>
      <x:c r="L109" s="2"/>
      <x:c r="M109" s="2"/>
      <x:c r="N109" s="2"/>
    </x:row>
    <x:row r="110">
      <x:c r="A110" s="2"/>
      <x:c r="B110" s="2"/>
      <x:c r="C110" s="2"/>
      <x:c r="D110" s="2"/>
      <x:c r="E110" s="2"/>
      <x:c r="F110" s="2"/>
      <x:c r="G110" s="2"/>
      <x:c r="H110" s="2"/>
      <x:c r="I110" s="2"/>
      <x:c r="J110" s="2"/>
      <x:c r="K110" s="2"/>
      <x:c r="L110" s="2"/>
      <x:c r="M110" s="2"/>
      <x:c r="N110" s="2"/>
    </x:row>
    <x:row r="111">
      <x:c r="A111" s="2"/>
      <x:c r="B111" s="2"/>
      <x:c r="C111" s="2"/>
      <x:c r="D111" s="2"/>
      <x:c r="E111" s="2"/>
      <x:c r="F111" s="2"/>
      <x:c r="G111" s="2"/>
      <x:c r="H111" s="2"/>
      <x:c r="I111" s="2"/>
      <x:c r="J111" s="2"/>
      <x:c r="K111" s="2"/>
      <x:c r="L111" s="2"/>
      <x:c r="M111" s="2"/>
      <x:c r="N111" s="2"/>
    </x:row>
    <x:row r="112">
      <x:c r="A112" s="2"/>
      <x:c r="B112" s="2"/>
      <x:c r="C112" s="2"/>
      <x:c r="D112" s="2"/>
      <x:c r="E112" s="2"/>
      <x:c r="F112" s="2"/>
      <x:c r="G112" s="2"/>
      <x:c r="H112" s="2"/>
      <x:c r="I112" s="2"/>
      <x:c r="J112" s="2"/>
      <x:c r="K112" s="2"/>
      <x:c r="L112" s="2"/>
      <x:c r="M112" s="2"/>
      <x:c r="N112" s="2"/>
    </x:row>
    <x:row r="113">
      <x:c r="A113" s="2"/>
      <x:c r="B113" s="2"/>
      <x:c r="C113" s="2"/>
      <x:c r="D113" s="2"/>
      <x:c r="E113" s="2"/>
      <x:c r="F113" s="2"/>
      <x:c r="G113" s="2"/>
      <x:c r="H113" s="2"/>
      <x:c r="I113" s="2"/>
      <x:c r="J113" s="2"/>
      <x:c r="K113" s="2"/>
      <x:c r="L113" s="2"/>
      <x:c r="M113" s="2"/>
      <x:c r="N113" s="2"/>
    </x:row>
    <x:row r="114">
      <x:c r="A114" s="2"/>
      <x:c r="B114" s="2"/>
      <x:c r="C114" s="2"/>
      <x:c r="D114" s="2"/>
      <x:c r="E114" s="2"/>
      <x:c r="F114" s="2"/>
      <x:c r="G114" s="2"/>
      <x:c r="H114" s="2"/>
      <x:c r="I114" s="2"/>
      <x:c r="J114" s="2"/>
      <x:c r="K114" s="2"/>
      <x:c r="L114" s="2"/>
      <x:c r="M114" s="2"/>
      <x:c r="N114" s="2"/>
    </x:row>
    <x:row r="115">
      <x:c r="A115" s="2"/>
      <x:c r="B115" s="2"/>
      <x:c r="C115" s="2"/>
      <x:c r="D115" s="2"/>
      <x:c r="E115" s="2"/>
      <x:c r="F115" s="2"/>
      <x:c r="G115" s="2"/>
      <x:c r="H115" s="2"/>
      <x:c r="I115" s="2"/>
      <x:c r="J115" s="2"/>
      <x:c r="K115" s="2"/>
      <x:c r="L115" s="2"/>
      <x:c r="M115" s="2"/>
      <x:c r="N115" s="2"/>
    </x:row>
    <x:row r="116">
      <x:c r="A116" s="2"/>
      <x:c r="B116" s="2"/>
      <x:c r="C116" s="2"/>
      <x:c r="D116" s="2"/>
      <x:c r="E116" s="2"/>
      <x:c r="F116" s="2"/>
      <x:c r="G116" s="2"/>
      <x:c r="H116" s="2"/>
      <x:c r="I116" s="2"/>
      <x:c r="J116" s="2"/>
      <x:c r="K116" s="2"/>
      <x:c r="L116" s="2"/>
      <x:c r="M116" s="2"/>
      <x:c r="N116" s="2"/>
    </x:row>
    <x:row r="117">
      <x:c r="A117" s="2"/>
      <x:c r="B117" s="2"/>
      <x:c r="C117" s="2"/>
      <x:c r="D117" s="2"/>
      <x:c r="E117" s="2"/>
      <x:c r="F117" s="2"/>
      <x:c r="G117" s="2"/>
      <x:c r="H117" s="2"/>
      <x:c r="I117" s="2"/>
      <x:c r="J117" s="2"/>
      <x:c r="K117" s="2"/>
      <x:c r="L117" s="2"/>
      <x:c r="M117" s="2"/>
      <x:c r="N117" s="2"/>
    </x:row>
    <x:row r="118">
      <x:c r="A118" s="2"/>
      <x:c r="B118" s="2"/>
      <x:c r="C118" s="2"/>
      <x:c r="D118" s="2"/>
      <x:c r="E118" s="2"/>
      <x:c r="F118" s="2"/>
      <x:c r="G118" s="2"/>
      <x:c r="H118" s="2"/>
      <x:c r="I118" s="2"/>
      <x:c r="J118" s="2"/>
      <x:c r="K118" s="2"/>
      <x:c r="L118" s="2"/>
      <x:c r="M118" s="2"/>
      <x:c r="N118" s="2"/>
    </x:row>
    <x:row r="119">
      <x:c r="A119" s="2"/>
      <x:c r="B119" s="2"/>
      <x:c r="C119" s="2"/>
      <x:c r="D119" s="2"/>
      <x:c r="E119" s="2"/>
      <x:c r="F119" s="2"/>
      <x:c r="G119" s="2"/>
      <x:c r="H119" s="2"/>
      <x:c r="I119" s="2"/>
      <x:c r="J119" s="2"/>
      <x:c r="K119" s="2"/>
      <x:c r="L119" s="2"/>
      <x:c r="M119" s="2"/>
      <x:c r="N119" s="2"/>
    </x:row>
    <x:row r="120">
      <x:c r="A120" s="2"/>
      <x:c r="B120" s="2"/>
      <x:c r="C120" s="2"/>
      <x:c r="D120" s="2"/>
      <x:c r="E120" s="2"/>
      <x:c r="F120" s="2"/>
      <x:c r="G120" s="2"/>
      <x:c r="H120" s="2"/>
      <x:c r="I120" s="2"/>
      <x:c r="J120" s="2"/>
      <x:c r="K120" s="2"/>
      <x:c r="L120" s="2"/>
      <x:c r="M120" s="2"/>
      <x:c r="N120" s="2"/>
    </x:row>
    <x:row r="121">
      <x:c r="A121" s="2"/>
      <x:c r="B121" s="2"/>
      <x:c r="C121" s="2"/>
      <x:c r="D121" s="2"/>
      <x:c r="E121" s="2"/>
      <x:c r="F121" s="2"/>
      <x:c r="G121" s="2"/>
      <x:c r="H121" s="2"/>
      <x:c r="I121" s="2"/>
      <x:c r="J121" s="2"/>
      <x:c r="K121" s="2"/>
      <x:c r="L121" s="2"/>
      <x:c r="M121" s="2"/>
      <x:c r="N121" s="2"/>
    </x:row>
    <x:row r="122">
      <x:c r="A122" s="2"/>
      <x:c r="B122" s="2"/>
      <x:c r="C122" s="2"/>
      <x:c r="D122" s="2"/>
      <x:c r="E122" s="2"/>
      <x:c r="F122" s="2"/>
      <x:c r="G122" s="2"/>
      <x:c r="H122" s="2"/>
      <x:c r="I122" s="2"/>
      <x:c r="J122" s="2"/>
      <x:c r="K122" s="2"/>
      <x:c r="L122" s="2"/>
      <x:c r="M122" s="2"/>
      <x:c r="N122" s="2"/>
    </x:row>
    <x:row r="123">
      <x:c r="A123" s="2"/>
      <x:c r="B123" s="2"/>
      <x:c r="C123" s="2"/>
      <x:c r="D123" s="2"/>
      <x:c r="E123" s="2"/>
      <x:c r="F123" s="2"/>
      <x:c r="G123" s="2"/>
      <x:c r="H123" s="2"/>
      <x:c r="I123" s="2"/>
      <x:c r="J123" s="2"/>
      <x:c r="K123" s="2"/>
      <x:c r="L123" s="2"/>
      <x:c r="M123" s="2"/>
      <x:c r="N123" s="2"/>
    </x:row>
    <x:row r="124">
      <x:c r="A124" s="2"/>
      <x:c r="B124" s="2"/>
      <x:c r="C124" s="2"/>
      <x:c r="D124" s="2"/>
      <x:c r="E124" s="2"/>
      <x:c r="F124" s="2"/>
      <x:c r="G124" s="2"/>
      <x:c r="H124" s="2"/>
      <x:c r="I124" s="2"/>
      <x:c r="J124" s="2"/>
      <x:c r="K124" s="2"/>
      <x:c r="L124" s="2"/>
      <x:c r="M124" s="2"/>
      <x:c r="N124" s="2"/>
    </x:row>
    <x:row r="125">
      <x:c r="A125" s="2"/>
      <x:c r="B125" s="2"/>
      <x:c r="C125" s="2"/>
      <x:c r="D125" s="2"/>
      <x:c r="E125" s="2"/>
      <x:c r="F125" s="2"/>
      <x:c r="G125" s="2"/>
      <x:c r="H125" s="2"/>
      <x:c r="I125" s="2"/>
      <x:c r="J125" s="2"/>
      <x:c r="K125" s="2"/>
      <x:c r="L125" s="2"/>
      <x:c r="M125" s="2"/>
      <x:c r="N125" s="2"/>
    </x:row>
    <x:row r="126">
      <x:c r="A126" s="2"/>
      <x:c r="B126" s="2"/>
      <x:c r="C126" s="2"/>
      <x:c r="D126" s="2"/>
      <x:c r="E126" s="2"/>
      <x:c r="F126" s="2"/>
      <x:c r="G126" s="2"/>
      <x:c r="H126" s="2"/>
      <x:c r="I126" s="2"/>
      <x:c r="J126" s="2"/>
      <x:c r="K126" s="2"/>
      <x:c r="L126" s="2"/>
      <x:c r="M126" s="2"/>
      <x:c r="N126" s="2"/>
    </x:row>
    <x:row r="127">
      <x:c r="A127" s="2"/>
      <x:c r="B127" s="2"/>
      <x:c r="C127" s="2"/>
      <x:c r="D127" s="2"/>
      <x:c r="E127" s="2"/>
      <x:c r="F127" s="2"/>
      <x:c r="G127" s="2"/>
      <x:c r="H127" s="2"/>
      <x:c r="I127" s="2"/>
      <x:c r="J127" s="2"/>
      <x:c r="K127" s="2"/>
      <x:c r="L127" s="2"/>
      <x:c r="M127" s="2"/>
      <x:c r="N127" s="2"/>
    </x:row>
    <x:row r="128">
      <x:c r="A128" s="2"/>
      <x:c r="B128" s="2"/>
      <x:c r="C128" s="2"/>
      <x:c r="D128" s="2"/>
      <x:c r="E128" s="2"/>
      <x:c r="F128" s="2"/>
      <x:c r="G128" s="2"/>
      <x:c r="H128" s="2"/>
      <x:c r="I128" s="2"/>
      <x:c r="J128" s="2"/>
      <x:c r="K128" s="2"/>
      <x:c r="L128" s="2"/>
      <x:c r="M128" s="2"/>
      <x:c r="N128" s="2"/>
    </x:row>
    <x:row r="129">
      <x:c r="A129" s="2"/>
      <x:c r="B129" s="2"/>
      <x:c r="C129" s="2"/>
      <x:c r="D129" s="2"/>
      <x:c r="E129" s="2"/>
      <x:c r="F129" s="2"/>
      <x:c r="G129" s="2"/>
      <x:c r="H129" s="2"/>
      <x:c r="I129" s="2"/>
      <x:c r="J129" s="2"/>
      <x:c r="K129" s="2"/>
      <x:c r="L129" s="2"/>
      <x:c r="M129" s="2"/>
      <x:c r="N129" s="2"/>
    </x:row>
    <x:row r="130">
      <x:c r="A130" s="2"/>
      <x:c r="B130" s="2"/>
      <x:c r="C130" s="2"/>
      <x:c r="D130" s="2"/>
      <x:c r="E130" s="2"/>
      <x:c r="F130" s="2"/>
      <x:c r="G130" s="2"/>
      <x:c r="H130" s="2"/>
      <x:c r="I130" s="2"/>
      <x:c r="J130" s="2"/>
      <x:c r="K130" s="2"/>
      <x:c r="L130" s="2"/>
      <x:c r="M130" s="2"/>
      <x:c r="N130" s="2"/>
    </x:row>
    <x:row r="131">
      <x:c r="A131" s="2"/>
      <x:c r="B131" s="2"/>
      <x:c r="C131" s="2"/>
      <x:c r="D131" s="2"/>
      <x:c r="E131" s="2"/>
      <x:c r="F131" s="2"/>
      <x:c r="G131" s="2"/>
      <x:c r="H131" s="2"/>
      <x:c r="I131" s="2"/>
      <x:c r="J131" s="2"/>
      <x:c r="K131" s="2"/>
      <x:c r="L131" s="2"/>
      <x:c r="M131" s="2"/>
      <x:c r="N131" s="2"/>
    </x:row>
    <x:row r="132">
      <x:c r="A132" s="2"/>
      <x:c r="B132" s="2"/>
      <x:c r="C132" s="2"/>
      <x:c r="D132" s="2"/>
      <x:c r="E132" s="2"/>
      <x:c r="F132" s="2"/>
      <x:c r="G132" s="2"/>
      <x:c r="H132" s="2"/>
      <x:c r="I132" s="2"/>
      <x:c r="J132" s="2"/>
      <x:c r="K132" s="2"/>
      <x:c r="L132" s="2"/>
      <x:c r="M132" s="2"/>
      <x:c r="N132" s="2"/>
    </x:row>
    <x:row r="133">
      <x:c r="A133" s="2"/>
      <x:c r="B133" s="2"/>
      <x:c r="C133" s="2"/>
      <x:c r="D133" s="2"/>
      <x:c r="E133" s="2"/>
      <x:c r="F133" s="2"/>
      <x:c r="G133" s="2"/>
      <x:c r="H133" s="2"/>
      <x:c r="I133" s="2"/>
      <x:c r="J133" s="2"/>
      <x:c r="K133" s="2"/>
      <x:c r="L133" s="2"/>
      <x:c r="M133" s="2"/>
      <x:c r="N133" s="2"/>
    </x:row>
    <x:row r="134">
      <x:c r="A134" s="2"/>
      <x:c r="B134" s="2"/>
      <x:c r="C134" s="2"/>
      <x:c r="D134" s="2"/>
      <x:c r="E134" s="2"/>
      <x:c r="F134" s="2"/>
      <x:c r="G134" s="2"/>
      <x:c r="H134" s="2"/>
      <x:c r="I134" s="2"/>
      <x:c r="J134" s="2"/>
      <x:c r="K134" s="2"/>
      <x:c r="L134" s="2"/>
      <x:c r="M134" s="2"/>
      <x:c r="N134" s="2"/>
    </x:row>
    <x:row r="135">
      <x:c r="A135" s="2"/>
      <x:c r="B135" s="2"/>
      <x:c r="C135" s="2"/>
      <x:c r="D135" s="2"/>
      <x:c r="E135" s="2"/>
      <x:c r="F135" s="2"/>
      <x:c r="G135" s="2"/>
      <x:c r="H135" s="2"/>
      <x:c r="I135" s="2"/>
      <x:c r="J135" s="2"/>
      <x:c r="K135" s="2"/>
      <x:c r="L135" s="2"/>
      <x:c r="M135" s="2"/>
      <x:c r="N135" s="2"/>
    </x:row>
    <x:row r="136">
      <x:c r="A136" s="2"/>
      <x:c r="B136" s="2"/>
      <x:c r="C136" s="2"/>
      <x:c r="D136" s="2"/>
      <x:c r="E136" s="2"/>
      <x:c r="F136" s="2"/>
      <x:c r="G136" s="2"/>
      <x:c r="H136" s="2"/>
      <x:c r="I136" s="2"/>
      <x:c r="J136" s="2"/>
      <x:c r="K136" s="2"/>
      <x:c r="L136" s="2"/>
      <x:c r="M136" s="2"/>
      <x:c r="N136" s="2"/>
    </x:row>
    <x:row r="137">
      <x:c r="A137" s="2"/>
      <x:c r="B137" s="2"/>
      <x:c r="C137" s="2"/>
      <x:c r="D137" s="2"/>
      <x:c r="E137" s="2"/>
      <x:c r="F137" s="2"/>
      <x:c r="G137" s="2"/>
      <x:c r="H137" s="2"/>
      <x:c r="I137" s="2"/>
      <x:c r="J137" s="2"/>
      <x:c r="K137" s="2"/>
      <x:c r="L137" s="2"/>
      <x:c r="M137" s="2"/>
      <x:c r="N137" s="2"/>
    </x:row>
    <x:row r="138">
      <x:c r="A138" s="2"/>
      <x:c r="B138" s="2"/>
      <x:c r="C138" s="2"/>
      <x:c r="D138" s="2"/>
      <x:c r="E138" s="2"/>
      <x:c r="F138" s="2"/>
      <x:c r="G138" s="2"/>
      <x:c r="H138" s="2"/>
      <x:c r="I138" s="2"/>
      <x:c r="J138" s="2"/>
      <x:c r="K138" s="2"/>
      <x:c r="L138" s="2"/>
      <x:c r="M138" s="2"/>
      <x:c r="N138" s="2"/>
    </x:row>
    <x:row r="139">
      <x:c r="A139" s="2"/>
      <x:c r="B139" s="2"/>
      <x:c r="C139" s="2"/>
      <x:c r="D139" s="2"/>
      <x:c r="E139" s="2"/>
      <x:c r="F139" s="2"/>
      <x:c r="G139" s="2"/>
      <x:c r="H139" s="2"/>
      <x:c r="I139" s="2"/>
      <x:c r="J139" s="2"/>
      <x:c r="K139" s="2"/>
      <x:c r="L139" s="2"/>
      <x:c r="M139" s="2"/>
      <x:c r="N139" s="2"/>
    </x:row>
    <x:row r="140">
      <x:c r="A140" s="2"/>
      <x:c r="B140" s="2"/>
      <x:c r="C140" s="2"/>
      <x:c r="D140" s="2"/>
      <x:c r="E140" s="2"/>
      <x:c r="F140" s="2"/>
      <x:c r="G140" s="2"/>
      <x:c r="H140" s="2"/>
      <x:c r="I140" s="2"/>
      <x:c r="J140" s="2"/>
      <x:c r="K140" s="2"/>
      <x:c r="L140" s="2"/>
      <x:c r="M140" s="2"/>
      <x:c r="N140" s="2"/>
    </x:row>
    <x:row r="141">
      <x:c r="A141" s="2"/>
      <x:c r="B141" s="2"/>
      <x:c r="C141" s="2"/>
      <x:c r="D141" s="2"/>
      <x:c r="E141" s="2"/>
      <x:c r="F141" s="2"/>
      <x:c r="G141" s="2"/>
      <x:c r="H141" s="2"/>
      <x:c r="I141" s="2"/>
      <x:c r="J141" s="2"/>
      <x:c r="K141" s="2"/>
      <x:c r="L141" s="2"/>
      <x:c r="M141" s="2"/>
      <x:c r="N141" s="2"/>
    </x:row>
    <x:row r="142">
      <x:c r="A142" s="2"/>
      <x:c r="B142" s="2"/>
      <x:c r="C142" s="2"/>
      <x:c r="D142" s="2"/>
      <x:c r="E142" s="2"/>
      <x:c r="F142" s="2"/>
      <x:c r="G142" s="2"/>
      <x:c r="H142" s="2"/>
      <x:c r="I142" s="2"/>
      <x:c r="J142" s="2"/>
      <x:c r="K142" s="2"/>
      <x:c r="L142" s="2"/>
      <x:c r="M142" s="2"/>
      <x:c r="N142" s="2"/>
    </x:row>
    <x:row r="143">
      <x:c r="A143" s="2"/>
      <x:c r="B143" s="2"/>
      <x:c r="C143" s="2"/>
      <x:c r="D143" s="2"/>
      <x:c r="E143" s="2"/>
      <x:c r="F143" s="2"/>
      <x:c r="G143" s="2"/>
      <x:c r="H143" s="2"/>
      <x:c r="I143" s="2"/>
      <x:c r="J143" s="2"/>
      <x:c r="K143" s="2"/>
      <x:c r="L143" s="2"/>
      <x:c r="M143" s="2"/>
      <x:c r="N143" s="2"/>
    </x:row>
    <x:row r="144">
      <x:c r="A144" s="2"/>
      <x:c r="B144" s="2"/>
      <x:c r="C144" s="2"/>
      <x:c r="D144" s="2"/>
      <x:c r="E144" s="2"/>
      <x:c r="F144" s="2"/>
      <x:c r="G144" s="2"/>
      <x:c r="H144" s="2"/>
      <x:c r="I144" s="2"/>
      <x:c r="J144" s="2"/>
      <x:c r="K144" s="2"/>
      <x:c r="L144" s="2"/>
      <x:c r="M144" s="2"/>
      <x:c r="N144" s="2"/>
    </x:row>
    <x:row r="145">
      <x:c r="A145" s="2"/>
      <x:c r="B145" s="2"/>
      <x:c r="C145" s="2"/>
      <x:c r="D145" s="2"/>
      <x:c r="E145" s="2"/>
      <x:c r="F145" s="2"/>
      <x:c r="G145" s="2"/>
      <x:c r="H145" s="2"/>
      <x:c r="I145" s="2"/>
      <x:c r="J145" s="2"/>
      <x:c r="K145" s="2"/>
      <x:c r="L145" s="2"/>
      <x:c r="M145" s="2"/>
      <x:c r="N145" s="2"/>
    </x:row>
    <x:row r="146">
      <x:c r="A146" s="2"/>
      <x:c r="B146" s="2"/>
      <x:c r="C146" s="2"/>
      <x:c r="D146" s="2"/>
      <x:c r="E146" s="2"/>
      <x:c r="F146" s="2"/>
      <x:c r="G146" s="2"/>
      <x:c r="H146" s="2"/>
      <x:c r="I146" s="2"/>
      <x:c r="J146" s="2"/>
      <x:c r="K146" s="2"/>
      <x:c r="L146" s="2"/>
      <x:c r="M146" s="2"/>
      <x:c r="N146" s="2"/>
    </x:row>
    <x:row r="147">
      <x:c r="A147" s="2"/>
      <x:c r="B147" s="2"/>
      <x:c r="C147" s="2"/>
      <x:c r="D147" s="2"/>
      <x:c r="E147" s="2"/>
      <x:c r="F147" s="2"/>
      <x:c r="G147" s="2"/>
      <x:c r="H147" s="2"/>
      <x:c r="I147" s="2"/>
      <x:c r="J147" s="2"/>
      <x:c r="K147" s="2"/>
      <x:c r="L147" s="2"/>
      <x:c r="M147" s="2"/>
      <x:c r="N147" s="2"/>
    </x:row>
    <x:row r="148">
      <x:c r="A148" s="2"/>
      <x:c r="B148" s="2"/>
      <x:c r="C148" s="2"/>
      <x:c r="D148" s="2"/>
      <x:c r="E148" s="2"/>
      <x:c r="F148" s="2"/>
      <x:c r="G148" s="2"/>
      <x:c r="H148" s="2"/>
      <x:c r="I148" s="2"/>
      <x:c r="J148" s="2"/>
      <x:c r="K148" s="2"/>
      <x:c r="L148" s="2"/>
      <x:c r="M148" s="2"/>
      <x:c r="N148" s="2"/>
    </x:row>
    <x:row r="149">
      <x:c r="A149" s="2"/>
      <x:c r="B149" s="2"/>
      <x:c r="C149" s="2"/>
      <x:c r="D149" s="2"/>
      <x:c r="E149" s="2"/>
      <x:c r="F149" s="2"/>
      <x:c r="G149" s="2"/>
      <x:c r="H149" s="2"/>
      <x:c r="I149" s="2"/>
      <x:c r="J149" s="2"/>
      <x:c r="K149" s="2"/>
      <x:c r="L149" s="2"/>
      <x:c r="M149" s="2"/>
      <x:c r="N149" s="2"/>
    </x:row>
    <x:row r="150">
      <x:c r="A150" s="2"/>
      <x:c r="B150" s="2"/>
      <x:c r="C150" s="2"/>
      <x:c r="D150" s="2"/>
      <x:c r="E150" s="2"/>
      <x:c r="F150" s="2"/>
      <x:c r="G150" s="2"/>
      <x:c r="H150" s="2"/>
      <x:c r="I150" s="2"/>
      <x:c r="J150" s="2"/>
      <x:c r="K150" s="2"/>
      <x:c r="L150" s="2"/>
      <x:c r="M150" s="2"/>
      <x:c r="N150" s="2"/>
    </x:row>
    <x:row r="151">
      <x:c r="A151" s="2"/>
      <x:c r="B151" s="2"/>
      <x:c r="C151" s="2"/>
      <x:c r="D151" s="2"/>
      <x:c r="E151" s="2"/>
      <x:c r="F151" s="2"/>
      <x:c r="G151" s="2"/>
      <x:c r="H151" s="2"/>
      <x:c r="I151" s="2"/>
      <x:c r="J151" s="2"/>
      <x:c r="K151" s="2"/>
      <x:c r="L151" s="2"/>
      <x:c r="M151" s="2"/>
      <x:c r="N151" s="2"/>
    </x:row>
    <x:row r="152">
      <x:c r="A152" s="2"/>
      <x:c r="B152" s="2"/>
      <x:c r="C152" s="2"/>
      <x:c r="D152" s="2"/>
      <x:c r="E152" s="2"/>
      <x:c r="F152" s="2"/>
      <x:c r="G152" s="2"/>
      <x:c r="H152" s="2"/>
      <x:c r="I152" s="2"/>
      <x:c r="J152" s="2"/>
      <x:c r="K152" s="2"/>
      <x:c r="L152" s="2"/>
      <x:c r="M152" s="2"/>
      <x:c r="N152" s="2"/>
    </x:row>
    <x:row r="153">
      <x:c r="A153" s="2"/>
      <x:c r="B153" s="2"/>
      <x:c r="C153" s="2"/>
      <x:c r="D153" s="2"/>
      <x:c r="E153" s="2"/>
      <x:c r="F153" s="2"/>
      <x:c r="G153" s="2"/>
      <x:c r="H153" s="2"/>
      <x:c r="I153" s="2"/>
      <x:c r="J153" s="2"/>
      <x:c r="K153" s="2"/>
      <x:c r="L153" s="2"/>
      <x:c r="M153" s="2"/>
      <x:c r="N153" s="2"/>
    </x:row>
    <x:row r="154">
      <x:c r="A154" s="2"/>
      <x:c r="B154" s="2"/>
      <x:c r="C154" s="2"/>
      <x:c r="D154" s="2"/>
      <x:c r="E154" s="2"/>
      <x:c r="F154" s="2"/>
      <x:c r="G154" s="2"/>
      <x:c r="H154" s="2"/>
      <x:c r="I154" s="2"/>
      <x:c r="J154" s="2"/>
      <x:c r="K154" s="2"/>
      <x:c r="L154" s="2"/>
      <x:c r="M154" s="2"/>
      <x:c r="N154" s="2"/>
    </x:row>
    <x:row r="155">
      <x:c r="A155" s="2"/>
      <x:c r="B155" s="2"/>
      <x:c r="C155" s="2"/>
      <x:c r="D155" s="2"/>
      <x:c r="E155" s="2"/>
      <x:c r="F155" s="2"/>
      <x:c r="G155" s="2"/>
      <x:c r="H155" s="2"/>
      <x:c r="I155" s="2"/>
      <x:c r="J155" s="2"/>
      <x:c r="K155" s="2"/>
      <x:c r="L155" s="2"/>
      <x:c r="M155" s="2"/>
      <x:c r="N155" s="2"/>
    </x:row>
    <x:row r="156">
      <x:c r="A156" s="2"/>
      <x:c r="B156" s="2"/>
      <x:c r="C156" s="2"/>
      <x:c r="D156" s="2"/>
      <x:c r="E156" s="2"/>
      <x:c r="F156" s="2"/>
      <x:c r="G156" s="2"/>
      <x:c r="H156" s="2"/>
      <x:c r="I156" s="2"/>
      <x:c r="J156" s="2"/>
      <x:c r="K156" s="2"/>
      <x:c r="L156" s="2"/>
      <x:c r="M156" s="2"/>
      <x:c r="N156" s="2"/>
    </x:row>
    <x:row r="157">
      <x:c r="A157" s="2"/>
      <x:c r="B157" s="2"/>
      <x:c r="C157" s="2"/>
      <x:c r="D157" s="2"/>
      <x:c r="E157" s="2"/>
      <x:c r="F157" s="2"/>
      <x:c r="G157" s="2"/>
      <x:c r="H157" s="2"/>
      <x:c r="I157" s="2"/>
      <x:c r="J157" s="2"/>
      <x:c r="K157" s="2"/>
      <x:c r="L157" s="2"/>
      <x:c r="M157" s="2"/>
      <x:c r="N157" s="2"/>
    </x:row>
    <x:row r="158">
      <x:c r="A158" s="2"/>
      <x:c r="B158" s="2"/>
      <x:c r="C158" s="2"/>
      <x:c r="D158" s="2"/>
      <x:c r="E158" s="2"/>
      <x:c r="F158" s="2"/>
      <x:c r="G158" s="2"/>
      <x:c r="H158" s="2"/>
      <x:c r="I158" s="2"/>
      <x:c r="J158" s="2"/>
      <x:c r="K158" s="2"/>
      <x:c r="L158" s="2"/>
      <x:c r="M158" s="2"/>
      <x:c r="N158" s="2"/>
    </x:row>
    <x:row r="159">
      <x:c r="A159" s="2"/>
      <x:c r="B159" s="2"/>
      <x:c r="C159" s="2"/>
      <x:c r="D159" s="2"/>
      <x:c r="E159" s="2"/>
      <x:c r="F159" s="2"/>
      <x:c r="G159" s="2"/>
      <x:c r="H159" s="2"/>
      <x:c r="I159" s="2"/>
      <x:c r="J159" s="2"/>
      <x:c r="K159" s="2"/>
      <x:c r="L159" s="2"/>
      <x:c r="M159" s="2"/>
      <x:c r="N159" s="2"/>
    </x:row>
    <x:row r="160">
      <x:c r="A160" s="2"/>
      <x:c r="B160" s="2"/>
      <x:c r="C160" s="2"/>
      <x:c r="D160" s="2"/>
      <x:c r="E160" s="2"/>
      <x:c r="F160" s="2"/>
      <x:c r="G160" s="2"/>
      <x:c r="H160" s="2"/>
      <x:c r="I160" s="2"/>
      <x:c r="J160" s="2"/>
      <x:c r="K160" s="2"/>
      <x:c r="L160" s="2"/>
      <x:c r="M160" s="2"/>
      <x:c r="N160" s="2"/>
    </x:row>
    <x:row r="161">
      <x:c r="A161" s="2"/>
      <x:c r="B161" s="2"/>
      <x:c r="C161" s="2"/>
      <x:c r="D161" s="2"/>
      <x:c r="E161" s="2"/>
      <x:c r="F161" s="2"/>
      <x:c r="G161" s="2"/>
      <x:c r="H161" s="2"/>
      <x:c r="I161" s="2"/>
      <x:c r="J161" s="2"/>
      <x:c r="K161" s="2"/>
      <x:c r="L161" s="2"/>
      <x:c r="M161" s="2"/>
      <x:c r="N161" s="2"/>
    </x:row>
    <x:row r="162">
      <x:c r="A162" s="2"/>
      <x:c r="B162" s="2"/>
      <x:c r="C162" s="2"/>
      <x:c r="D162" s="2"/>
      <x:c r="E162" s="2"/>
      <x:c r="F162" s="2"/>
      <x:c r="G162" s="2"/>
      <x:c r="H162" s="2"/>
      <x:c r="I162" s="2"/>
      <x:c r="J162" s="2"/>
      <x:c r="K162" s="2"/>
      <x:c r="L162" s="2"/>
      <x:c r="M162" s="2"/>
      <x:c r="N162" s="2"/>
    </x:row>
    <x:row r="163">
      <x:c r="A163" s="2"/>
      <x:c r="B163" s="2"/>
      <x:c r="C163" s="2"/>
      <x:c r="D163" s="2"/>
      <x:c r="E163" s="2"/>
      <x:c r="F163" s="2"/>
      <x:c r="G163" s="2"/>
      <x:c r="H163" s="2"/>
      <x:c r="I163" s="2"/>
      <x:c r="J163" s="2"/>
      <x:c r="K163" s="2"/>
      <x:c r="L163" s="2"/>
      <x:c r="M163" s="2"/>
      <x:c r="N163" s="2"/>
    </x:row>
    <x:row r="164">
      <x:c r="A164" s="2"/>
      <x:c r="B164" s="2"/>
      <x:c r="C164" s="2"/>
      <x:c r="D164" s="2"/>
      <x:c r="E164" s="2"/>
      <x:c r="F164" s="2"/>
      <x:c r="G164" s="2"/>
      <x:c r="H164" s="2"/>
      <x:c r="I164" s="2"/>
      <x:c r="J164" s="2"/>
      <x:c r="K164" s="2"/>
      <x:c r="L164" s="2"/>
      <x:c r="M164" s="2"/>
      <x:c r="N164" s="2"/>
    </x:row>
    <x:row r="165">
      <x:c r="A165" s="2"/>
      <x:c r="B165" s="2"/>
      <x:c r="C165" s="2"/>
      <x:c r="D165" s="2"/>
      <x:c r="E165" s="2"/>
      <x:c r="F165" s="2"/>
      <x:c r="G165" s="2"/>
      <x:c r="H165" s="2"/>
      <x:c r="I165" s="2"/>
      <x:c r="J165" s="2"/>
      <x:c r="K165" s="2"/>
      <x:c r="L165" s="2"/>
      <x:c r="M165" s="2"/>
      <x:c r="N165" s="2"/>
    </x:row>
    <x:row r="166">
      <x:c r="A166" s="2"/>
      <x:c r="B166" s="2"/>
      <x:c r="C166" s="2"/>
      <x:c r="D166" s="2"/>
      <x:c r="E166" s="2"/>
      <x:c r="F166" s="2"/>
      <x:c r="G166" s="2"/>
      <x:c r="H166" s="2"/>
      <x:c r="I166" s="2"/>
      <x:c r="J166" s="2"/>
      <x:c r="K166" s="2"/>
      <x:c r="L166" s="2"/>
      <x:c r="M166" s="2"/>
      <x:c r="N166" s="2"/>
    </x:row>
    <x:row r="167">
      <x:c r="A167" s="2"/>
      <x:c r="B167" s="2"/>
      <x:c r="C167" s="2"/>
      <x:c r="D167" s="2"/>
      <x:c r="E167" s="2"/>
      <x:c r="F167" s="2"/>
      <x:c r="G167" s="2"/>
      <x:c r="H167" s="2"/>
      <x:c r="I167" s="2"/>
      <x:c r="J167" s="2"/>
      <x:c r="K167" s="2"/>
      <x:c r="L167" s="2"/>
      <x:c r="M167" s="2"/>
      <x:c r="N167" s="2"/>
    </x:row>
    <x:row r="168">
      <x:c r="A168" s="2"/>
      <x:c r="B168" s="2"/>
      <x:c r="C168" s="2"/>
      <x:c r="D168" s="2"/>
      <x:c r="E168" s="2"/>
      <x:c r="F168" s="2"/>
      <x:c r="G168" s="2"/>
      <x:c r="H168" s="2"/>
      <x:c r="I168" s="2"/>
      <x:c r="J168" s="2"/>
      <x:c r="K168" s="2"/>
      <x:c r="L168" s="2"/>
      <x:c r="M168" s="2"/>
      <x:c r="N168" s="2"/>
    </x:row>
    <x:row r="169">
      <x:c r="A169" s="2"/>
      <x:c r="B169" s="2"/>
      <x:c r="C169" s="2"/>
      <x:c r="D169" s="2"/>
      <x:c r="E169" s="2"/>
      <x:c r="F169" s="2"/>
      <x:c r="G169" s="2"/>
      <x:c r="H169" s="2"/>
      <x:c r="I169" s="2"/>
      <x:c r="J169" s="2"/>
      <x:c r="K169" s="2"/>
      <x:c r="L169" s="2"/>
      <x:c r="M169" s="2"/>
      <x:c r="N169" s="2"/>
    </x:row>
    <x:row r="170">
      <x:c r="A170" s="2"/>
      <x:c r="B170" s="2"/>
      <x:c r="C170" s="2"/>
      <x:c r="D170" s="2"/>
      <x:c r="E170" s="2"/>
      <x:c r="F170" s="2"/>
      <x:c r="G170" s="2"/>
      <x:c r="H170" s="2"/>
      <x:c r="I170" s="2"/>
      <x:c r="J170" s="2"/>
      <x:c r="K170" s="2"/>
      <x:c r="L170" s="2"/>
      <x:c r="M170" s="2"/>
      <x:c r="N170" s="2"/>
    </x:row>
    <x:row r="171">
      <x:c r="A171" s="2"/>
      <x:c r="B171" s="2"/>
      <x:c r="C171" s="2"/>
      <x:c r="D171" s="2"/>
      <x:c r="E171" s="2"/>
      <x:c r="F171" s="2"/>
      <x:c r="G171" s="2"/>
      <x:c r="H171" s="2"/>
      <x:c r="I171" s="2"/>
      <x:c r="J171" s="2"/>
      <x:c r="K171" s="2"/>
      <x:c r="L171" s="2"/>
      <x:c r="M171" s="2"/>
      <x:c r="N171" s="2"/>
    </x:row>
    <x:row r="172">
      <x:c r="A172" s="2"/>
      <x:c r="B172" s="2"/>
      <x:c r="C172" s="2"/>
      <x:c r="D172" s="2"/>
      <x:c r="E172" s="2"/>
      <x:c r="F172" s="2"/>
      <x:c r="G172" s="2"/>
      <x:c r="H172" s="2"/>
      <x:c r="I172" s="2"/>
      <x:c r="J172" s="2"/>
      <x:c r="K172" s="2"/>
      <x:c r="L172" s="2"/>
      <x:c r="M172" s="2"/>
      <x:c r="N172" s="2"/>
    </x:row>
    <x:row r="173">
      <x:c r="A173" s="2"/>
      <x:c r="B173" s="2"/>
      <x:c r="C173" s="2"/>
      <x:c r="D173" s="2"/>
      <x:c r="E173" s="2"/>
      <x:c r="F173" s="2"/>
      <x:c r="G173" s="2"/>
      <x:c r="H173" s="2"/>
      <x:c r="I173" s="2"/>
      <x:c r="J173" s="2"/>
      <x:c r="K173" s="2"/>
      <x:c r="L173" s="2"/>
      <x:c r="M173" s="2"/>
      <x:c r="N173" s="2"/>
    </x:row>
    <x:row r="174">
      <x:c r="A174" s="2"/>
      <x:c r="B174" s="2"/>
      <x:c r="C174" s="2"/>
      <x:c r="D174" s="2"/>
      <x:c r="E174" s="2"/>
      <x:c r="F174" s="2"/>
      <x:c r="G174" s="2"/>
      <x:c r="H174" s="2"/>
      <x:c r="I174" s="2"/>
      <x:c r="J174" s="2"/>
      <x:c r="K174" s="2"/>
      <x:c r="L174" s="2"/>
      <x:c r="M174" s="2"/>
      <x:c r="N174" s="2"/>
    </x:row>
    <x:row r="175">
      <x:c r="A175" s="2"/>
      <x:c r="B175" s="2"/>
      <x:c r="C175" s="2"/>
      <x:c r="D175" s="2"/>
      <x:c r="E175" s="2"/>
      <x:c r="F175" s="2"/>
      <x:c r="G175" s="2"/>
      <x:c r="H175" s="2"/>
      <x:c r="I175" s="2"/>
      <x:c r="J175" s="2"/>
      <x:c r="K175" s="2"/>
      <x:c r="L175" s="2"/>
      <x:c r="M175" s="2"/>
      <x:c r="N175" s="2"/>
    </x:row>
    <x:row r="176">
      <x:c r="A176" s="2"/>
      <x:c r="B176" s="2"/>
      <x:c r="C176" s="2"/>
      <x:c r="D176" s="2"/>
      <x:c r="E176" s="2"/>
      <x:c r="F176" s="2"/>
      <x:c r="G176" s="2"/>
      <x:c r="H176" s="2"/>
      <x:c r="I176" s="2"/>
      <x:c r="J176" s="2"/>
      <x:c r="K176" s="2"/>
      <x:c r="L176" s="2"/>
      <x:c r="M176" s="2"/>
      <x:c r="N176" s="2"/>
    </x:row>
    <x:row r="177">
      <x:c r="A177" s="2"/>
      <x:c r="B177" s="2"/>
      <x:c r="C177" s="2"/>
      <x:c r="D177" s="2"/>
      <x:c r="E177" s="2"/>
      <x:c r="F177" s="2"/>
      <x:c r="G177" s="2"/>
      <x:c r="H177" s="2"/>
      <x:c r="I177" s="2"/>
      <x:c r="J177" s="2"/>
      <x:c r="K177" s="2"/>
      <x:c r="L177" s="2"/>
      <x:c r="M177" s="2"/>
      <x:c r="N177" s="2"/>
    </x:row>
    <x:row r="178">
      <x:c r="A178" s="2"/>
      <x:c r="B178" s="2"/>
      <x:c r="C178" s="2"/>
      <x:c r="D178" s="2"/>
      <x:c r="E178" s="2"/>
      <x:c r="F178" s="2"/>
      <x:c r="G178" s="2"/>
      <x:c r="H178" s="2"/>
      <x:c r="I178" s="2"/>
      <x:c r="J178" s="2"/>
      <x:c r="K178" s="2"/>
      <x:c r="L178" s="2"/>
      <x:c r="M178" s="2"/>
      <x:c r="N178" s="2"/>
    </x:row>
    <x:row r="179">
      <x:c r="A179" s="2"/>
      <x:c r="B179" s="2"/>
      <x:c r="C179" s="2"/>
      <x:c r="D179" s="2"/>
      <x:c r="E179" s="2"/>
      <x:c r="F179" s="2"/>
      <x:c r="G179" s="2"/>
      <x:c r="H179" s="2"/>
      <x:c r="I179" s="2"/>
      <x:c r="J179" s="2"/>
      <x:c r="K179" s="2"/>
      <x:c r="L179" s="2"/>
      <x:c r="M179" s="2"/>
      <x:c r="N179" s="2"/>
    </x:row>
    <x:row r="180">
      <x:c r="A180" s="2"/>
      <x:c r="B180" s="2"/>
      <x:c r="C180" s="2"/>
      <x:c r="D180" s="2"/>
      <x:c r="E180" s="2"/>
      <x:c r="F180" s="2"/>
      <x:c r="G180" s="2"/>
      <x:c r="H180" s="2"/>
      <x:c r="I180" s="2"/>
      <x:c r="J180" s="2"/>
      <x:c r="K180" s="2"/>
      <x:c r="L180" s="2"/>
      <x:c r="M180" s="2"/>
      <x:c r="N180" s="2"/>
    </x:row>
    <x:row r="181">
      <x:c r="A181" s="2"/>
      <x:c r="B181" s="2"/>
      <x:c r="C181" s="2"/>
      <x:c r="D181" s="2"/>
      <x:c r="E181" s="2"/>
      <x:c r="F181" s="2"/>
      <x:c r="G181" s="2"/>
      <x:c r="H181" s="2"/>
      <x:c r="I181" s="2"/>
      <x:c r="J181" s="2"/>
      <x:c r="K181" s="2"/>
      <x:c r="L181" s="2"/>
      <x:c r="M181" s="2"/>
      <x:c r="N181" s="2"/>
    </x:row>
    <x:row r="182">
      <x:c r="A182" s="2"/>
      <x:c r="B182" s="2"/>
      <x:c r="C182" s="2"/>
      <x:c r="D182" s="2"/>
      <x:c r="E182" s="2"/>
      <x:c r="F182" s="2"/>
      <x:c r="G182" s="2"/>
      <x:c r="H182" s="2"/>
      <x:c r="I182" s="2"/>
      <x:c r="J182" s="2"/>
      <x:c r="K182" s="2"/>
      <x:c r="L182" s="2"/>
      <x:c r="M182" s="2"/>
      <x:c r="N182" s="2"/>
    </x:row>
    <x:row r="183">
      <x:c r="A183" s="2"/>
      <x:c r="B183" s="2"/>
      <x:c r="C183" s="2"/>
      <x:c r="D183" s="2"/>
      <x:c r="E183" s="2"/>
      <x:c r="F183" s="2"/>
      <x:c r="G183" s="2"/>
      <x:c r="H183" s="2"/>
      <x:c r="I183" s="2"/>
      <x:c r="J183" s="2"/>
      <x:c r="K183" s="2"/>
      <x:c r="L183" s="2"/>
      <x:c r="M183" s="2"/>
      <x:c r="N183" s="2"/>
    </x:row>
    <x:row r="184">
      <x:c r="A184" s="2"/>
      <x:c r="B184" s="2"/>
      <x:c r="C184" s="2"/>
      <x:c r="D184" s="2"/>
      <x:c r="E184" s="2"/>
      <x:c r="F184" s="2"/>
      <x:c r="G184" s="2"/>
      <x:c r="H184" s="2"/>
      <x:c r="I184" s="2"/>
      <x:c r="J184" s="2"/>
      <x:c r="K184" s="2"/>
      <x:c r="L184" s="2"/>
      <x:c r="M184" s="2"/>
      <x:c r="N184" s="2"/>
    </x:row>
    <x:row r="185">
      <x:c r="A185" s="2"/>
      <x:c r="B185" s="2"/>
      <x:c r="C185" s="2"/>
      <x:c r="D185" s="2"/>
      <x:c r="E185" s="2"/>
      <x:c r="F185" s="2"/>
      <x:c r="G185" s="2"/>
      <x:c r="H185" s="2"/>
      <x:c r="I185" s="2"/>
      <x:c r="J185" s="2"/>
      <x:c r="K185" s="2"/>
      <x:c r="L185" s="2"/>
      <x:c r="M185" s="2"/>
      <x:c r="N185" s="2"/>
    </x:row>
    <x:row r="186">
      <x:c r="A186" s="2"/>
      <x:c r="B186" s="2"/>
      <x:c r="C186" s="2"/>
      <x:c r="D186" s="2"/>
      <x:c r="E186" s="2"/>
      <x:c r="F186" s="2"/>
      <x:c r="G186" s="2"/>
      <x:c r="H186" s="2"/>
      <x:c r="I186" s="2"/>
      <x:c r="J186" s="2"/>
      <x:c r="K186" s="2"/>
      <x:c r="L186" s="2"/>
      <x:c r="M186" s="2"/>
      <x:c r="N186" s="2"/>
    </x:row>
    <x:row r="187">
      <x:c r="A187" s="2"/>
      <x:c r="B187" s="2"/>
      <x:c r="C187" s="2"/>
      <x:c r="D187" s="2"/>
      <x:c r="E187" s="2"/>
      <x:c r="F187" s="2"/>
      <x:c r="G187" s="2"/>
      <x:c r="H187" s="2"/>
      <x:c r="I187" s="2"/>
      <x:c r="J187" s="2"/>
      <x:c r="K187" s="2"/>
      <x:c r="L187" s="2"/>
      <x:c r="M187" s="2"/>
      <x:c r="N187" s="2"/>
    </x:row>
    <x:row r="188">
      <x:c r="A188" s="2"/>
      <x:c r="B188" s="2"/>
      <x:c r="C188" s="2"/>
      <x:c r="D188" s="2"/>
      <x:c r="E188" s="2"/>
      <x:c r="F188" s="2"/>
      <x:c r="G188" s="2"/>
      <x:c r="H188" s="2"/>
      <x:c r="I188" s="2"/>
      <x:c r="J188" s="2"/>
      <x:c r="K188" s="2"/>
      <x:c r="L188" s="2"/>
      <x:c r="M188" s="2"/>
      <x:c r="N188" s="2"/>
    </x:row>
    <x:row r="189">
      <x:c r="A189" s="2"/>
      <x:c r="B189" s="2"/>
      <x:c r="C189" s="2"/>
      <x:c r="D189" s="2"/>
      <x:c r="E189" s="2"/>
      <x:c r="F189" s="2"/>
      <x:c r="G189" s="2"/>
      <x:c r="H189" s="2"/>
      <x:c r="I189" s="2"/>
      <x:c r="J189" s="2"/>
      <x:c r="K189" s="2"/>
      <x:c r="L189" s="2"/>
      <x:c r="M189" s="2"/>
      <x:c r="N189" s="2"/>
    </x:row>
    <x:row r="190">
      <x:c r="A190" s="2"/>
      <x:c r="B190" s="2"/>
      <x:c r="C190" s="2"/>
      <x:c r="D190" s="2"/>
      <x:c r="E190" s="2"/>
      <x:c r="F190" s="2"/>
      <x:c r="G190" s="2"/>
      <x:c r="H190" s="2"/>
      <x:c r="I190" s="2"/>
      <x:c r="J190" s="2"/>
      <x:c r="K190" s="2"/>
      <x:c r="L190" s="2"/>
      <x:c r="M190" s="2"/>
      <x:c r="N190" s="2"/>
    </x:row>
    <x:row r="191">
      <x:c r="A191" s="2"/>
      <x:c r="B191" s="2"/>
      <x:c r="C191" s="2"/>
      <x:c r="D191" s="2"/>
      <x:c r="E191" s="2"/>
      <x:c r="F191" s="2"/>
      <x:c r="G191" s="2"/>
      <x:c r="H191" s="2"/>
      <x:c r="I191" s="2"/>
      <x:c r="J191" s="2"/>
      <x:c r="K191" s="2"/>
      <x:c r="L191" s="2"/>
      <x:c r="M191" s="2"/>
      <x:c r="N191" s="2"/>
    </x:row>
    <x:row r="192">
      <x:c r="A192" s="2"/>
      <x:c r="B192" s="2"/>
      <x:c r="C192" s="2"/>
      <x:c r="D192" s="2"/>
      <x:c r="E192" s="2"/>
      <x:c r="F192" s="2"/>
      <x:c r="G192" s="2"/>
      <x:c r="H192" s="2"/>
      <x:c r="I192" s="2"/>
      <x:c r="J192" s="2"/>
      <x:c r="K192" s="2"/>
      <x:c r="L192" s="2"/>
      <x:c r="M192" s="2"/>
      <x:c r="N192" s="2"/>
    </x:row>
    <x:row r="193">
      <x:c r="A193" s="2"/>
      <x:c r="B193" s="2"/>
      <x:c r="C193" s="2"/>
      <x:c r="D193" s="2"/>
      <x:c r="E193" s="2"/>
      <x:c r="F193" s="2"/>
      <x:c r="G193" s="2"/>
      <x:c r="H193" s="2"/>
      <x:c r="I193" s="2"/>
      <x:c r="J193" s="2"/>
      <x:c r="K193" s="2"/>
      <x:c r="L193" s="2"/>
      <x:c r="M193" s="2"/>
      <x:c r="N193" s="2"/>
    </x:row>
    <x:row r="194">
      <x:c r="A194" s="2"/>
      <x:c r="B194" s="2"/>
      <x:c r="C194" s="2"/>
      <x:c r="D194" s="2"/>
      <x:c r="E194" s="2"/>
      <x:c r="F194" s="2"/>
      <x:c r="G194" s="2"/>
      <x:c r="H194" s="2"/>
      <x:c r="I194" s="2"/>
      <x:c r="J194" s="2"/>
      <x:c r="K194" s="2"/>
      <x:c r="L194" s="2"/>
      <x:c r="M194" s="2"/>
      <x:c r="N194" s="2"/>
    </x:row>
    <x:row r="195">
      <x:c r="A195" s="2"/>
      <x:c r="B195" s="2"/>
      <x:c r="C195" s="2"/>
      <x:c r="D195" s="2"/>
      <x:c r="E195" s="2"/>
      <x:c r="F195" s="2"/>
      <x:c r="G195" s="2"/>
      <x:c r="H195" s="2"/>
      <x:c r="I195" s="2"/>
      <x:c r="J195" s="2"/>
      <x:c r="K195" s="2"/>
      <x:c r="L195" s="2"/>
      <x:c r="M195" s="2"/>
      <x:c r="N195" s="2"/>
    </x:row>
    <x:row r="196">
      <x:c r="A196" s="2"/>
      <x:c r="B196" s="2"/>
      <x:c r="C196" s="2"/>
      <x:c r="D196" s="2"/>
      <x:c r="E196" s="2"/>
      <x:c r="F196" s="2"/>
      <x:c r="G196" s="2"/>
      <x:c r="H196" s="2"/>
      <x:c r="I196" s="2"/>
      <x:c r="J196" s="2"/>
      <x:c r="K196" s="2"/>
      <x:c r="L196" s="2"/>
      <x:c r="M196" s="2"/>
      <x:c r="N196" s="2"/>
    </x:row>
    <x:row r="197">
      <x:c r="A197" s="2"/>
      <x:c r="B197" s="2"/>
      <x:c r="C197" s="2"/>
      <x:c r="D197" s="2"/>
      <x:c r="E197" s="2"/>
      <x:c r="F197" s="2"/>
      <x:c r="G197" s="2"/>
      <x:c r="H197" s="2"/>
      <x:c r="I197" s="2"/>
      <x:c r="J197" s="2"/>
      <x:c r="K197" s="2"/>
      <x:c r="L197" s="2"/>
      <x:c r="M197" s="2"/>
      <x:c r="N197" s="2"/>
    </x:row>
    <x:row r="198">
      <x:c r="A198" s="2"/>
      <x:c r="B198" s="2"/>
      <x:c r="C198" s="2"/>
      <x:c r="D198" s="2"/>
      <x:c r="E198" s="2"/>
      <x:c r="F198" s="2"/>
      <x:c r="G198" s="2"/>
      <x:c r="H198" s="2"/>
      <x:c r="I198" s="2"/>
      <x:c r="J198" s="2"/>
      <x:c r="K198" s="2"/>
      <x:c r="L198" s="2"/>
      <x:c r="M198" s="2"/>
      <x:c r="N198" s="2"/>
    </x:row>
    <x:row r="199">
      <x:c r="A199" s="2"/>
      <x:c r="B199" s="2"/>
      <x:c r="C199" s="2"/>
      <x:c r="D199" s="2"/>
      <x:c r="E199" s="2"/>
      <x:c r="F199" s="2"/>
      <x:c r="G199" s="2"/>
      <x:c r="H199" s="2"/>
      <x:c r="I199" s="2"/>
      <x:c r="J199" s="2"/>
      <x:c r="K199" s="2"/>
      <x:c r="L199" s="2"/>
      <x:c r="M199" s="2"/>
      <x:c r="N199" s="2"/>
    </x:row>
    <x:row r="200">
      <x:c r="A200" s="2"/>
      <x:c r="B200" s="2"/>
      <x:c r="C200" s="2"/>
      <x:c r="D200" s="2"/>
      <x:c r="E200" s="2"/>
      <x:c r="F200" s="2"/>
      <x:c r="G200" s="2"/>
      <x:c r="H200" s="2"/>
      <x:c r="I200" s="2"/>
      <x:c r="J200" s="2"/>
      <x:c r="K200" s="2"/>
      <x:c r="L200" s="2"/>
      <x:c r="M200" s="2"/>
      <x:c r="N200" s="2"/>
    </x:row>
    <x:row r="201">
      <x:c r="A201" s="2"/>
      <x:c r="B201" s="2"/>
      <x:c r="C201" s="2"/>
      <x:c r="D201" s="2"/>
      <x:c r="E201" s="2"/>
      <x:c r="F201" s="2"/>
      <x:c r="G201" s="2"/>
      <x:c r="H201" s="2"/>
      <x:c r="I201" s="2"/>
      <x:c r="J201" s="2"/>
      <x:c r="K201" s="2"/>
      <x:c r="L201" s="2"/>
      <x:c r="M201" s="2"/>
      <x:c r="N201" s="2"/>
    </x:row>
    <x:row r="202">
      <x:c r="A202" s="2"/>
      <x:c r="B202" s="2"/>
      <x:c r="C202" s="2"/>
      <x:c r="D202" s="2"/>
      <x:c r="E202" s="2"/>
      <x:c r="F202" s="2"/>
      <x:c r="G202" s="2"/>
      <x:c r="H202" s="2"/>
      <x:c r="I202" s="2"/>
      <x:c r="J202" s="2"/>
      <x:c r="K202" s="2"/>
      <x:c r="L202" s="2"/>
      <x:c r="M202" s="2"/>
      <x:c r="N202" s="2"/>
    </x:row>
    <x:row r="203">
      <x:c r="A203" s="2"/>
      <x:c r="B203" s="2"/>
      <x:c r="C203" s="2"/>
      <x:c r="D203" s="2"/>
      <x:c r="E203" s="2"/>
      <x:c r="F203" s="2"/>
      <x:c r="G203" s="2"/>
      <x:c r="H203" s="2"/>
      <x:c r="I203" s="2"/>
      <x:c r="J203" s="2"/>
      <x:c r="K203" s="2"/>
      <x:c r="L203" s="2"/>
      <x:c r="M203" s="2"/>
      <x:c r="N203" s="2"/>
    </x:row>
    <x:row r="204">
      <x:c r="A204" s="2"/>
      <x:c r="B204" s="2"/>
      <x:c r="C204" s="2"/>
      <x:c r="D204" s="2"/>
      <x:c r="E204" s="2"/>
      <x:c r="F204" s="2"/>
      <x:c r="G204" s="2"/>
      <x:c r="H204" s="2"/>
      <x:c r="I204" s="2"/>
      <x:c r="J204" s="2"/>
      <x:c r="K204" s="2"/>
      <x:c r="L204" s="2"/>
      <x:c r="M204" s="2"/>
      <x:c r="N204" s="2"/>
    </x:row>
    <x:row r="205">
      <x:c r="A205" s="2"/>
      <x:c r="B205" s="2"/>
      <x:c r="C205" s="2"/>
      <x:c r="D205" s="2"/>
      <x:c r="E205" s="2"/>
      <x:c r="F205" s="2"/>
      <x:c r="G205" s="2"/>
      <x:c r="H205" s="2"/>
      <x:c r="I205" s="2"/>
      <x:c r="J205" s="2"/>
      <x:c r="K205" s="2"/>
      <x:c r="L205" s="2"/>
      <x:c r="M205" s="2"/>
      <x:c r="N205" s="2"/>
    </x:row>
    <x:row r="206">
      <x:c r="A206" s="2"/>
      <x:c r="B206" s="2"/>
      <x:c r="C206" s="2"/>
      <x:c r="D206" s="2"/>
      <x:c r="E206" s="2"/>
      <x:c r="F206" s="2"/>
      <x:c r="G206" s="2"/>
      <x:c r="H206" s="2"/>
      <x:c r="I206" s="2"/>
      <x:c r="J206" s="2"/>
      <x:c r="K206" s="2"/>
      <x:c r="L206" s="2"/>
      <x:c r="M206" s="2"/>
      <x:c r="N206" s="2"/>
    </x:row>
    <x:row r="207">
      <x:c r="A207" s="2"/>
      <x:c r="B207" s="2"/>
      <x:c r="C207" s="2"/>
      <x:c r="D207" s="2"/>
      <x:c r="E207" s="2"/>
      <x:c r="F207" s="2"/>
      <x:c r="G207" s="2"/>
      <x:c r="H207" s="2"/>
      <x:c r="I207" s="2"/>
      <x:c r="J207" s="2"/>
      <x:c r="K207" s="2"/>
      <x:c r="L207" s="2"/>
      <x:c r="M207" s="2"/>
      <x:c r="N207" s="2"/>
    </x:row>
    <x:row r="208">
      <x:c r="A208" s="2"/>
      <x:c r="B208" s="2"/>
      <x:c r="C208" s="2"/>
      <x:c r="D208" s="2"/>
      <x:c r="E208" s="2"/>
      <x:c r="F208" s="2"/>
      <x:c r="G208" s="2"/>
      <x:c r="H208" s="2"/>
      <x:c r="I208" s="2"/>
      <x:c r="J208" s="2"/>
      <x:c r="K208" s="2"/>
      <x:c r="L208" s="2"/>
      <x:c r="M208" s="2"/>
      <x:c r="N208" s="2"/>
    </x:row>
    <x:row r="209">
      <x:c r="A209" s="2"/>
      <x:c r="B209" s="2"/>
      <x:c r="C209" s="2"/>
      <x:c r="D209" s="2"/>
      <x:c r="E209" s="2"/>
      <x:c r="F209" s="2"/>
      <x:c r="G209" s="2"/>
      <x:c r="H209" s="2"/>
      <x:c r="I209" s="2"/>
      <x:c r="J209" s="2"/>
      <x:c r="K209" s="2"/>
      <x:c r="L209" s="2"/>
      <x:c r="M209" s="2"/>
      <x:c r="N209" s="2"/>
    </x:row>
    <x:row r="210">
      <x:c r="A210" s="2"/>
      <x:c r="B210" s="2"/>
      <x:c r="C210" s="2"/>
      <x:c r="D210" s="2"/>
      <x:c r="E210" s="2"/>
      <x:c r="F210" s="2"/>
      <x:c r="G210" s="2"/>
      <x:c r="H210" s="2"/>
      <x:c r="I210" s="2"/>
      <x:c r="J210" s="2"/>
      <x:c r="K210" s="2"/>
      <x:c r="L210" s="2"/>
      <x:c r="M210" s="2"/>
      <x:c r="N210" s="2"/>
    </x:row>
    <x:row r="211">
      <x:c r="A211" s="2"/>
      <x:c r="B211" s="2"/>
      <x:c r="C211" s="2"/>
      <x:c r="D211" s="2"/>
      <x:c r="E211" s="2"/>
      <x:c r="F211" s="2"/>
      <x:c r="G211" s="2"/>
      <x:c r="H211" s="2"/>
      <x:c r="I211" s="2"/>
      <x:c r="J211" s="2"/>
      <x:c r="K211" s="2"/>
      <x:c r="L211" s="2"/>
      <x:c r="M211" s="2"/>
      <x:c r="N211" s="2"/>
    </x:row>
    <x:row r="212">
      <x:c r="A212" s="2"/>
      <x:c r="B212" s="2"/>
      <x:c r="C212" s="2"/>
      <x:c r="D212" s="2"/>
      <x:c r="E212" s="2"/>
      <x:c r="F212" s="2"/>
      <x:c r="G212" s="2"/>
      <x:c r="H212" s="2"/>
      <x:c r="I212" s="2"/>
      <x:c r="J212" s="2"/>
      <x:c r="K212" s="2"/>
      <x:c r="L212" s="2"/>
      <x:c r="M212" s="2"/>
      <x:c r="N212" s="2"/>
    </x:row>
    <x:row r="213">
      <x:c r="A213" s="2"/>
      <x:c r="B213" s="2"/>
      <x:c r="C213" s="2"/>
      <x:c r="D213" s="2"/>
      <x:c r="E213" s="2"/>
      <x:c r="F213" s="2"/>
      <x:c r="G213" s="2"/>
      <x:c r="H213" s="2"/>
      <x:c r="I213" s="2"/>
      <x:c r="J213" s="2"/>
      <x:c r="K213" s="2"/>
      <x:c r="L213" s="2"/>
      <x:c r="M213" s="2"/>
      <x:c r="N213" s="2"/>
    </x:row>
    <x:row r="214">
      <x:c r="A214" s="2"/>
      <x:c r="B214" s="2"/>
      <x:c r="C214" s="2"/>
      <x:c r="D214" s="2"/>
      <x:c r="E214" s="2"/>
      <x:c r="F214" s="2"/>
      <x:c r="G214" s="2"/>
      <x:c r="H214" s="2"/>
      <x:c r="I214" s="2"/>
      <x:c r="J214" s="2"/>
      <x:c r="K214" s="2"/>
      <x:c r="L214" s="2"/>
      <x:c r="M214" s="2"/>
      <x:c r="N214" s="2"/>
    </x:row>
    <x:row r="215">
      <x:c r="A215" s="2"/>
      <x:c r="B215" s="2"/>
      <x:c r="C215" s="2"/>
      <x:c r="D215" s="2"/>
      <x:c r="E215" s="2"/>
      <x:c r="F215" s="2"/>
      <x:c r="G215" s="2"/>
      <x:c r="H215" s="2"/>
      <x:c r="I215" s="2"/>
      <x:c r="J215" s="2"/>
      <x:c r="K215" s="2"/>
      <x:c r="L215" s="2"/>
      <x:c r="M215" s="2"/>
      <x:c r="N215" s="2"/>
    </x:row>
    <x:row r="216">
      <x:c r="A216" s="2"/>
      <x:c r="B216" s="2"/>
      <x:c r="C216" s="2"/>
      <x:c r="D216" s="2"/>
      <x:c r="E216" s="2"/>
      <x:c r="F216" s="2"/>
      <x:c r="G216" s="2"/>
      <x:c r="H216" s="2"/>
      <x:c r="I216" s="2"/>
      <x:c r="J216" s="2"/>
      <x:c r="K216" s="2"/>
      <x:c r="L216" s="2"/>
      <x:c r="M216" s="2"/>
      <x:c r="N216" s="2"/>
    </x:row>
    <x:row r="217">
      <x:c r="A217" s="2"/>
      <x:c r="B217" s="2"/>
      <x:c r="C217" s="2"/>
      <x:c r="D217" s="2"/>
      <x:c r="E217" s="2"/>
      <x:c r="F217" s="2"/>
      <x:c r="G217" s="2"/>
      <x:c r="H217" s="2"/>
      <x:c r="I217" s="2"/>
      <x:c r="J217" s="2"/>
      <x:c r="K217" s="2"/>
      <x:c r="L217" s="2"/>
      <x:c r="M217" s="2"/>
      <x:c r="N217" s="2"/>
    </x:row>
    <x:row r="218">
      <x:c r="A218" s="2"/>
      <x:c r="B218" s="2"/>
      <x:c r="C218" s="2"/>
      <x:c r="D218" s="2"/>
      <x:c r="E218" s="2"/>
      <x:c r="F218" s="2"/>
      <x:c r="G218" s="2"/>
      <x:c r="H218" s="2"/>
      <x:c r="I218" s="2"/>
      <x:c r="J218" s="2"/>
      <x:c r="K218" s="2"/>
      <x:c r="L218" s="2"/>
      <x:c r="M218" s="2"/>
      <x:c r="N218" s="2"/>
    </x:row>
    <x:row r="219">
      <x:c r="A219" s="2"/>
      <x:c r="B219" s="2"/>
      <x:c r="C219" s="2"/>
      <x:c r="D219" s="2"/>
      <x:c r="E219" s="2"/>
      <x:c r="F219" s="2"/>
      <x:c r="G219" s="2"/>
      <x:c r="H219" s="2"/>
      <x:c r="I219" s="2"/>
      <x:c r="J219" s="2"/>
      <x:c r="K219" s="2"/>
      <x:c r="L219" s="2"/>
      <x:c r="M219" s="2"/>
      <x:c r="N219" s="2"/>
    </x:row>
    <x:row r="220">
      <x:c r="A220" s="2"/>
      <x:c r="B220" s="2"/>
      <x:c r="C220" s="2"/>
      <x:c r="D220" s="2"/>
      <x:c r="E220" s="2"/>
      <x:c r="F220" s="2"/>
      <x:c r="G220" s="2"/>
      <x:c r="H220" s="2"/>
      <x:c r="I220" s="2"/>
      <x:c r="J220" s="2"/>
      <x:c r="K220" s="2"/>
      <x:c r="L220" s="2"/>
      <x:c r="M220" s="2"/>
      <x:c r="N220" s="2"/>
    </x:row>
  </x:sheetData>
  <x:pageMargins left="0.7" right="0.7" top="0.75" bottom="0.75" header="0.3" footer="0.3"/>
</x:worksheet>
</file>