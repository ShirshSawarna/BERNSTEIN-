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hirshsawarna/Desktop/"/>
    </mc:Choice>
  </mc:AlternateContent>
  <xr:revisionPtr revIDLastSave="0" documentId="13_ncr:1_{2A79D4E3-30C4-7940-9555-F72E9C01DABF}" xr6:coauthVersionLast="47" xr6:coauthVersionMax="47" xr10:uidLastSave="{00000000-0000-0000-0000-000000000000}"/>
  <bookViews>
    <workbookView xWindow="0" yWindow="600" windowWidth="28800" windowHeight="15620" xr2:uid="{00000000-000D-0000-FFFF-FFFF00000000}"/>
  </bookViews>
  <sheets>
    <sheet name="Revenue Model" sheetId="1" r:id="rId1"/>
    <sheet name="Assumptions" sheetId="2" r:id="rId2"/>
    <sheet name="Drug Prim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2" l="1"/>
  <c r="K49" i="2"/>
  <c r="J49" i="2"/>
  <c r="I49" i="2"/>
  <c r="L48" i="2"/>
  <c r="K48" i="2"/>
  <c r="J48" i="2"/>
  <c r="I48" i="2"/>
  <c r="L47" i="2"/>
  <c r="K47" i="2"/>
  <c r="J47" i="2"/>
  <c r="I47" i="2"/>
  <c r="L46" i="2"/>
  <c r="K46" i="2"/>
  <c r="J46" i="2"/>
  <c r="I46" i="2"/>
  <c r="L45" i="2"/>
  <c r="K45" i="2"/>
  <c r="J45" i="2"/>
  <c r="I45" i="2"/>
  <c r="L44" i="2"/>
  <c r="K44" i="2"/>
  <c r="J44" i="2"/>
  <c r="I44" i="2"/>
  <c r="L43" i="2"/>
  <c r="K43" i="2"/>
  <c r="J43" i="2"/>
  <c r="I43" i="2"/>
  <c r="L42" i="2"/>
  <c r="K42" i="2"/>
  <c r="J42" i="2"/>
  <c r="I42" i="2"/>
  <c r="L41" i="2"/>
  <c r="K41" i="2"/>
  <c r="J41" i="2"/>
  <c r="I41" i="2"/>
  <c r="L40" i="2"/>
  <c r="K40" i="2"/>
  <c r="J40" i="2"/>
  <c r="I40" i="2"/>
  <c r="L39" i="2"/>
  <c r="K39" i="2"/>
  <c r="J39" i="2"/>
  <c r="I39" i="2"/>
  <c r="L38" i="2"/>
  <c r="K38" i="2"/>
  <c r="J38" i="2"/>
  <c r="I38" i="2"/>
  <c r="L37" i="2"/>
  <c r="K37" i="2"/>
  <c r="J37" i="2"/>
  <c r="I37" i="2"/>
  <c r="L36" i="2"/>
  <c r="K36" i="2"/>
  <c r="J36" i="2"/>
  <c r="I36" i="2"/>
  <c r="L35" i="2"/>
  <c r="K35" i="2"/>
  <c r="J35" i="2"/>
  <c r="I35" i="2"/>
  <c r="L34" i="2"/>
  <c r="K34" i="2"/>
  <c r="J34" i="2"/>
  <c r="I34" i="2"/>
  <c r="L33" i="2"/>
  <c r="K33" i="2"/>
  <c r="J33" i="2"/>
  <c r="I33" i="2"/>
  <c r="L32" i="2"/>
  <c r="K32" i="2"/>
  <c r="J32" i="2"/>
  <c r="I32" i="2"/>
  <c r="L31" i="2"/>
  <c r="K31" i="2"/>
  <c r="J31" i="2"/>
  <c r="I31" i="2"/>
  <c r="L30" i="2"/>
  <c r="K30" i="2"/>
  <c r="J30" i="2"/>
  <c r="I30" i="2"/>
  <c r="L29" i="2"/>
  <c r="K29" i="2"/>
  <c r="J29" i="2"/>
  <c r="I29" i="2"/>
  <c r="L28" i="2"/>
  <c r="K28" i="2"/>
  <c r="J28" i="2"/>
  <c r="I28" i="2"/>
  <c r="L27" i="2"/>
  <c r="K27" i="2"/>
  <c r="J27" i="2"/>
  <c r="I27" i="2"/>
  <c r="L26" i="2"/>
  <c r="K26" i="2"/>
  <c r="J26" i="2"/>
  <c r="I26" i="2"/>
  <c r="L25" i="2"/>
  <c r="K25" i="2"/>
  <c r="J25" i="2"/>
  <c r="I25" i="2"/>
  <c r="L24" i="2"/>
  <c r="K24" i="2"/>
  <c r="J24" i="2"/>
  <c r="I24" i="2"/>
  <c r="L23" i="2"/>
  <c r="K23" i="2"/>
  <c r="J23" i="2"/>
  <c r="I23" i="2"/>
  <c r="L22" i="2"/>
  <c r="K22" i="2"/>
  <c r="J22" i="2"/>
  <c r="I22" i="2"/>
  <c r="L21" i="2"/>
  <c r="K21" i="2"/>
  <c r="J21" i="2"/>
  <c r="I21" i="2"/>
  <c r="L20" i="2"/>
  <c r="K20" i="2"/>
  <c r="J20" i="2"/>
  <c r="I20" i="2"/>
  <c r="L19" i="2"/>
  <c r="K19" i="2"/>
  <c r="J19" i="2"/>
  <c r="I19" i="2"/>
  <c r="L18" i="2"/>
  <c r="K18" i="2"/>
  <c r="J18" i="2"/>
  <c r="I18" i="2"/>
  <c r="L17" i="2"/>
  <c r="K17" i="2"/>
  <c r="J17" i="2"/>
  <c r="I17" i="2"/>
  <c r="L16" i="2"/>
  <c r="K16" i="2"/>
  <c r="J16" i="2"/>
  <c r="I16" i="2"/>
  <c r="H84" i="1"/>
  <c r="J84" i="1" s="1"/>
  <c r="G84" i="1"/>
  <c r="I83" i="1"/>
  <c r="H83" i="1"/>
  <c r="J83" i="1" s="1"/>
  <c r="G83" i="1"/>
  <c r="I79" i="1"/>
  <c r="G79" i="1"/>
  <c r="F79" i="1"/>
  <c r="E79" i="1"/>
  <c r="D79" i="1"/>
  <c r="C79" i="1"/>
  <c r="J78" i="1"/>
  <c r="J79" i="1" s="1"/>
  <c r="I78" i="1"/>
  <c r="H78" i="1"/>
  <c r="H79" i="1" s="1"/>
  <c r="G78" i="1"/>
  <c r="F75" i="1"/>
  <c r="E75" i="1"/>
  <c r="D75" i="1"/>
  <c r="C75" i="1"/>
  <c r="G74" i="1"/>
  <c r="G73" i="1"/>
  <c r="J73" i="1" s="1"/>
  <c r="F70" i="1"/>
  <c r="E70" i="1"/>
  <c r="D70" i="1"/>
  <c r="C70" i="1"/>
  <c r="I69" i="1"/>
  <c r="K69" i="1" s="1"/>
  <c r="H69" i="1"/>
  <c r="G69" i="1"/>
  <c r="J69" i="1" s="1"/>
  <c r="G68" i="1"/>
  <c r="J67" i="1"/>
  <c r="G67" i="1"/>
  <c r="I67" i="1" s="1"/>
  <c r="J66" i="1"/>
  <c r="I66" i="1"/>
  <c r="H66" i="1"/>
  <c r="G66" i="1"/>
  <c r="F63" i="1"/>
  <c r="E63" i="1"/>
  <c r="D63" i="1"/>
  <c r="C63" i="1"/>
  <c r="G62" i="1"/>
  <c r="J61" i="1"/>
  <c r="G61" i="1"/>
  <c r="I61" i="1" s="1"/>
  <c r="J60" i="1"/>
  <c r="I60" i="1"/>
  <c r="H60" i="1"/>
  <c r="K60" i="1" s="1"/>
  <c r="G60" i="1"/>
  <c r="I59" i="1"/>
  <c r="G59" i="1"/>
  <c r="F56" i="1"/>
  <c r="E56" i="1"/>
  <c r="D56" i="1"/>
  <c r="C56" i="1"/>
  <c r="J55" i="1"/>
  <c r="I55" i="1"/>
  <c r="G55" i="1"/>
  <c r="H55" i="1" s="1"/>
  <c r="K55" i="1" s="1"/>
  <c r="J54" i="1"/>
  <c r="I54" i="1"/>
  <c r="H54" i="1"/>
  <c r="K54" i="1" s="1"/>
  <c r="G54" i="1"/>
  <c r="G53" i="1"/>
  <c r="F50" i="1"/>
  <c r="E50" i="1"/>
  <c r="D50" i="1"/>
  <c r="C50" i="1"/>
  <c r="J49" i="1"/>
  <c r="I49" i="1"/>
  <c r="K49" i="1" s="1"/>
  <c r="H49" i="1"/>
  <c r="G49" i="1"/>
  <c r="J48" i="1"/>
  <c r="I48" i="1"/>
  <c r="H48" i="1"/>
  <c r="K48" i="1" s="1"/>
  <c r="G48" i="1"/>
  <c r="G47" i="1"/>
  <c r="H47" i="1" s="1"/>
  <c r="J46" i="1"/>
  <c r="H46" i="1"/>
  <c r="G46" i="1"/>
  <c r="I43" i="1"/>
  <c r="H43" i="1"/>
  <c r="G43" i="1"/>
  <c r="F43" i="1"/>
  <c r="E43" i="1"/>
  <c r="D43" i="1"/>
  <c r="C43" i="1"/>
  <c r="K42" i="1"/>
  <c r="J42" i="1"/>
  <c r="I42" i="1"/>
  <c r="H42" i="1"/>
  <c r="G42" i="1"/>
  <c r="J41" i="1"/>
  <c r="J43" i="1" s="1"/>
  <c r="I41" i="1"/>
  <c r="G41" i="1"/>
  <c r="H41" i="1" s="1"/>
  <c r="F38" i="1"/>
  <c r="E38" i="1"/>
  <c r="D38" i="1"/>
  <c r="C38" i="1"/>
  <c r="J37" i="1"/>
  <c r="G37" i="1"/>
  <c r="I37" i="1" s="1"/>
  <c r="J36" i="1"/>
  <c r="K36" i="1" s="1"/>
  <c r="I36" i="1"/>
  <c r="H36" i="1"/>
  <c r="G36" i="1"/>
  <c r="J35" i="1"/>
  <c r="K35" i="1" s="1"/>
  <c r="I35" i="1"/>
  <c r="G35" i="1"/>
  <c r="H35" i="1" s="1"/>
  <c r="J34" i="1"/>
  <c r="J38" i="1" s="1"/>
  <c r="H34" i="1"/>
  <c r="G34" i="1"/>
  <c r="I34" i="1" s="1"/>
  <c r="F31" i="1"/>
  <c r="E31" i="1"/>
  <c r="D31" i="1"/>
  <c r="C31" i="1"/>
  <c r="J30" i="1"/>
  <c r="K30" i="1" s="1"/>
  <c r="I30" i="1"/>
  <c r="H30" i="1"/>
  <c r="G30" i="1"/>
  <c r="J29" i="1"/>
  <c r="K29" i="1" s="1"/>
  <c r="I29" i="1"/>
  <c r="G29" i="1"/>
  <c r="H29" i="1" s="1"/>
  <c r="K28" i="1"/>
  <c r="J28" i="1"/>
  <c r="H28" i="1"/>
  <c r="G28" i="1"/>
  <c r="I28" i="1" s="1"/>
  <c r="G27" i="1"/>
  <c r="J27" i="1" s="1"/>
  <c r="K26" i="1"/>
  <c r="J26" i="1"/>
  <c r="I26" i="1"/>
  <c r="H26" i="1"/>
  <c r="G26" i="1"/>
  <c r="J25" i="1"/>
  <c r="I25" i="1"/>
  <c r="K25" i="1" s="1"/>
  <c r="H25" i="1"/>
  <c r="G25" i="1"/>
  <c r="F22" i="1"/>
  <c r="E22" i="1"/>
  <c r="E81" i="1" s="1"/>
  <c r="D22" i="1"/>
  <c r="C22" i="1"/>
  <c r="W21" i="1"/>
  <c r="V21" i="1"/>
  <c r="U21" i="1"/>
  <c r="T21" i="1"/>
  <c r="S21" i="1"/>
  <c r="R21" i="1"/>
  <c r="Q21" i="1"/>
  <c r="I20" i="1"/>
  <c r="G20" i="1"/>
  <c r="J19" i="1"/>
  <c r="G19" i="1"/>
  <c r="K18" i="1"/>
  <c r="J18" i="1"/>
  <c r="I18" i="1"/>
  <c r="H18" i="1"/>
  <c r="G18" i="1"/>
  <c r="G22" i="1" s="1"/>
  <c r="J10" i="1"/>
  <c r="H10" i="1"/>
  <c r="G10" i="1"/>
  <c r="F10" i="1"/>
  <c r="E10" i="1"/>
  <c r="D10" i="1"/>
  <c r="C10" i="1"/>
  <c r="J9" i="1"/>
  <c r="I9" i="1"/>
  <c r="H9" i="1"/>
  <c r="G9" i="1"/>
  <c r="F9" i="1"/>
  <c r="E9" i="1"/>
  <c r="D9" i="1"/>
  <c r="C9" i="1"/>
  <c r="O35" i="1" l="1"/>
  <c r="N35" i="1"/>
  <c r="M35" i="1"/>
  <c r="L35" i="1"/>
  <c r="P35" i="1" s="1"/>
  <c r="Q35" i="1" s="1"/>
  <c r="R35" i="1" s="1"/>
  <c r="S35" i="1" s="1"/>
  <c r="T35" i="1" s="1"/>
  <c r="U35" i="1" s="1"/>
  <c r="V35" i="1" s="1"/>
  <c r="W35" i="1" s="1"/>
  <c r="O29" i="1"/>
  <c r="N29" i="1"/>
  <c r="M29" i="1"/>
  <c r="L29" i="1"/>
  <c r="L49" i="1"/>
  <c r="N49" i="1"/>
  <c r="O49" i="1"/>
  <c r="M49" i="1"/>
  <c r="L69" i="1"/>
  <c r="P69" i="1" s="1"/>
  <c r="Q69" i="1" s="1"/>
  <c r="R69" i="1" s="1"/>
  <c r="S69" i="1" s="1"/>
  <c r="T69" i="1" s="1"/>
  <c r="U69" i="1" s="1"/>
  <c r="V69" i="1" s="1"/>
  <c r="W69" i="1" s="1"/>
  <c r="O69" i="1"/>
  <c r="N69" i="1"/>
  <c r="M69" i="1"/>
  <c r="O30" i="1"/>
  <c r="N30" i="1"/>
  <c r="M30" i="1"/>
  <c r="L30" i="1"/>
  <c r="P30" i="1" s="1"/>
  <c r="Q30" i="1" s="1"/>
  <c r="R30" i="1" s="1"/>
  <c r="S30" i="1" s="1"/>
  <c r="T30" i="1" s="1"/>
  <c r="U30" i="1" s="1"/>
  <c r="V30" i="1" s="1"/>
  <c r="W30" i="1" s="1"/>
  <c r="L55" i="1"/>
  <c r="P55" i="1" s="1"/>
  <c r="Q55" i="1" s="1"/>
  <c r="R55" i="1" s="1"/>
  <c r="S55" i="1" s="1"/>
  <c r="T55" i="1" s="1"/>
  <c r="U55" i="1" s="1"/>
  <c r="V55" i="1" s="1"/>
  <c r="W55" i="1" s="1"/>
  <c r="N55" i="1"/>
  <c r="M55" i="1"/>
  <c r="O55" i="1"/>
  <c r="M60" i="1"/>
  <c r="O60" i="1"/>
  <c r="N60" i="1"/>
  <c r="L60" i="1"/>
  <c r="P60" i="1" s="1"/>
  <c r="Q60" i="1" s="1"/>
  <c r="R60" i="1" s="1"/>
  <c r="S60" i="1" s="1"/>
  <c r="T60" i="1" s="1"/>
  <c r="U60" i="1" s="1"/>
  <c r="V60" i="1" s="1"/>
  <c r="W60" i="1" s="1"/>
  <c r="J22" i="1"/>
  <c r="O25" i="1"/>
  <c r="N25" i="1"/>
  <c r="M25" i="1"/>
  <c r="L25" i="1"/>
  <c r="H38" i="1"/>
  <c r="O36" i="1"/>
  <c r="N36" i="1"/>
  <c r="L36" i="1"/>
  <c r="M36" i="1"/>
  <c r="O28" i="1"/>
  <c r="N28" i="1"/>
  <c r="M28" i="1"/>
  <c r="O42" i="1"/>
  <c r="N42" i="1"/>
  <c r="K34" i="1"/>
  <c r="N18" i="1"/>
  <c r="M18" i="1"/>
  <c r="L18" i="1"/>
  <c r="O18" i="1"/>
  <c r="M48" i="1"/>
  <c r="O48" i="1"/>
  <c r="L48" i="1"/>
  <c r="N48" i="1"/>
  <c r="J62" i="1"/>
  <c r="H50" i="1"/>
  <c r="M54" i="1"/>
  <c r="O54" i="1"/>
  <c r="N54" i="1"/>
  <c r="L54" i="1"/>
  <c r="P54" i="1" s="1"/>
  <c r="Q54" i="1" s="1"/>
  <c r="R54" i="1" s="1"/>
  <c r="S54" i="1" s="1"/>
  <c r="T54" i="1" s="1"/>
  <c r="U54" i="1" s="1"/>
  <c r="V54" i="1" s="1"/>
  <c r="W54" i="1" s="1"/>
  <c r="H62" i="1"/>
  <c r="K62" i="1" s="1"/>
  <c r="J74" i="1"/>
  <c r="J75" i="1"/>
  <c r="L28" i="1"/>
  <c r="P28" i="1" s="1"/>
  <c r="Q28" i="1" s="1"/>
  <c r="R28" i="1" s="1"/>
  <c r="S28" i="1" s="1"/>
  <c r="T28" i="1" s="1"/>
  <c r="U28" i="1" s="1"/>
  <c r="V28" i="1" s="1"/>
  <c r="W28" i="1" s="1"/>
  <c r="M42" i="1"/>
  <c r="H22" i="1"/>
  <c r="J31" i="1"/>
  <c r="K41" i="1"/>
  <c r="H59" i="1"/>
  <c r="J59" i="1"/>
  <c r="J63" i="1" s="1"/>
  <c r="I62" i="1"/>
  <c r="I63" i="1" s="1"/>
  <c r="K66" i="1"/>
  <c r="H74" i="1"/>
  <c r="K74" i="1" s="1"/>
  <c r="E85" i="1"/>
  <c r="E11" i="1" s="1"/>
  <c r="E89" i="1"/>
  <c r="L42" i="1"/>
  <c r="J68" i="1"/>
  <c r="J70" i="1" s="1"/>
  <c r="I68" i="1"/>
  <c r="I70" i="1" s="1"/>
  <c r="H68" i="1"/>
  <c r="H19" i="1"/>
  <c r="C81" i="1"/>
  <c r="G56" i="1"/>
  <c r="H53" i="1"/>
  <c r="H56" i="1" s="1"/>
  <c r="J53" i="1"/>
  <c r="J56" i="1" s="1"/>
  <c r="I53" i="1"/>
  <c r="I56" i="1" s="1"/>
  <c r="G63" i="1"/>
  <c r="I74" i="1"/>
  <c r="G75" i="1"/>
  <c r="N26" i="1"/>
  <c r="M26" i="1"/>
  <c r="L26" i="1"/>
  <c r="O26" i="1"/>
  <c r="E8" i="1"/>
  <c r="J20" i="1"/>
  <c r="H27" i="1"/>
  <c r="I19" i="1"/>
  <c r="I22" i="1" s="1"/>
  <c r="I81" i="1" s="1"/>
  <c r="H20" i="1"/>
  <c r="K20" i="1" s="1"/>
  <c r="D81" i="1"/>
  <c r="I27" i="1"/>
  <c r="I31" i="1" s="1"/>
  <c r="G31" i="1"/>
  <c r="G81" i="1" s="1"/>
  <c r="K78" i="1"/>
  <c r="I38" i="1"/>
  <c r="G38" i="1"/>
  <c r="G50" i="1"/>
  <c r="I46" i="1"/>
  <c r="I50" i="1" s="1"/>
  <c r="G70" i="1"/>
  <c r="F81" i="1"/>
  <c r="H73" i="1"/>
  <c r="H75" i="1" s="1"/>
  <c r="H37" i="1"/>
  <c r="K37" i="1" s="1"/>
  <c r="I47" i="1"/>
  <c r="K47" i="1" s="1"/>
  <c r="H61" i="1"/>
  <c r="K61" i="1" s="1"/>
  <c r="H67" i="1"/>
  <c r="K67" i="1" s="1"/>
  <c r="I73" i="1"/>
  <c r="I75" i="1" s="1"/>
  <c r="K83" i="1"/>
  <c r="J47" i="1"/>
  <c r="J50" i="1" s="1"/>
  <c r="I84" i="1"/>
  <c r="I10" i="1" s="1"/>
  <c r="I85" i="1" l="1"/>
  <c r="I11" i="1" s="1"/>
  <c r="I8" i="1"/>
  <c r="M74" i="1"/>
  <c r="O74" i="1"/>
  <c r="N74" i="1"/>
  <c r="L74" i="1"/>
  <c r="P74" i="1" s="1"/>
  <c r="Q74" i="1" s="1"/>
  <c r="R74" i="1" s="1"/>
  <c r="S74" i="1" s="1"/>
  <c r="T74" i="1" s="1"/>
  <c r="U74" i="1" s="1"/>
  <c r="V74" i="1" s="1"/>
  <c r="W74" i="1" s="1"/>
  <c r="M62" i="1"/>
  <c r="N62" i="1"/>
  <c r="L62" i="1"/>
  <c r="O62" i="1"/>
  <c r="L20" i="1"/>
  <c r="M20" i="1"/>
  <c r="O20" i="1"/>
  <c r="N20" i="1"/>
  <c r="G85" i="1"/>
  <c r="G11" i="1" s="1"/>
  <c r="G8" i="1"/>
  <c r="J81" i="1"/>
  <c r="P26" i="1"/>
  <c r="Q26" i="1" s="1"/>
  <c r="R26" i="1" s="1"/>
  <c r="S26" i="1" s="1"/>
  <c r="T26" i="1" s="1"/>
  <c r="U26" i="1" s="1"/>
  <c r="V26" i="1" s="1"/>
  <c r="W26" i="1" s="1"/>
  <c r="L83" i="1"/>
  <c r="K9" i="1"/>
  <c r="K73" i="1"/>
  <c r="H70" i="1"/>
  <c r="K19" i="1"/>
  <c r="P36" i="1"/>
  <c r="Q36" i="1" s="1"/>
  <c r="R36" i="1" s="1"/>
  <c r="S36" i="1" s="1"/>
  <c r="T36" i="1" s="1"/>
  <c r="U36" i="1" s="1"/>
  <c r="V36" i="1" s="1"/>
  <c r="W36" i="1" s="1"/>
  <c r="O34" i="1"/>
  <c r="N34" i="1"/>
  <c r="N38" i="1" s="1"/>
  <c r="M34" i="1"/>
  <c r="L34" i="1"/>
  <c r="K38" i="1"/>
  <c r="L67" i="1"/>
  <c r="N67" i="1"/>
  <c r="O67" i="1"/>
  <c r="M67" i="1"/>
  <c r="L61" i="1"/>
  <c r="N61" i="1"/>
  <c r="M61" i="1"/>
  <c r="O61" i="1"/>
  <c r="K27" i="1"/>
  <c r="H31" i="1"/>
  <c r="H81" i="1" s="1"/>
  <c r="K46" i="1"/>
  <c r="H63" i="1"/>
  <c r="P25" i="1"/>
  <c r="P49" i="1"/>
  <c r="Q49" i="1" s="1"/>
  <c r="R49" i="1" s="1"/>
  <c r="S49" i="1" s="1"/>
  <c r="T49" i="1" s="1"/>
  <c r="U49" i="1" s="1"/>
  <c r="V49" i="1" s="1"/>
  <c r="W49" i="1" s="1"/>
  <c r="K53" i="1"/>
  <c r="P48" i="1"/>
  <c r="Q48" i="1" s="1"/>
  <c r="R48" i="1" s="1"/>
  <c r="S48" i="1" s="1"/>
  <c r="T48" i="1" s="1"/>
  <c r="U48" i="1" s="1"/>
  <c r="V48" i="1" s="1"/>
  <c r="W48" i="1" s="1"/>
  <c r="K68" i="1"/>
  <c r="N37" i="1"/>
  <c r="O37" i="1"/>
  <c r="M37" i="1"/>
  <c r="L37" i="1"/>
  <c r="P37" i="1" s="1"/>
  <c r="Q37" i="1" s="1"/>
  <c r="R37" i="1" s="1"/>
  <c r="S37" i="1" s="1"/>
  <c r="T37" i="1" s="1"/>
  <c r="U37" i="1" s="1"/>
  <c r="V37" i="1" s="1"/>
  <c r="W37" i="1" s="1"/>
  <c r="M78" i="1"/>
  <c r="M79" i="1" s="1"/>
  <c r="K79" i="1"/>
  <c r="O78" i="1"/>
  <c r="O79" i="1" s="1"/>
  <c r="L78" i="1"/>
  <c r="N78" i="1"/>
  <c r="N79" i="1" s="1"/>
  <c r="C85" i="1"/>
  <c r="C11" i="1" s="1"/>
  <c r="C89" i="1"/>
  <c r="C8" i="1"/>
  <c r="E12" i="1"/>
  <c r="O41" i="1"/>
  <c r="O43" i="1" s="1"/>
  <c r="N41" i="1"/>
  <c r="N43" i="1" s="1"/>
  <c r="M41" i="1"/>
  <c r="M43" i="1" s="1"/>
  <c r="K43" i="1"/>
  <c r="L41" i="1"/>
  <c r="P18" i="1"/>
  <c r="D85" i="1"/>
  <c r="D11" i="1" s="1"/>
  <c r="D89" i="1"/>
  <c r="D8" i="1"/>
  <c r="M66" i="1"/>
  <c r="O66" i="1"/>
  <c r="N66" i="1"/>
  <c r="L66" i="1"/>
  <c r="K70" i="1"/>
  <c r="N47" i="1"/>
  <c r="O47" i="1"/>
  <c r="M47" i="1"/>
  <c r="L47" i="1"/>
  <c r="P47" i="1" s="1"/>
  <c r="Q47" i="1" s="1"/>
  <c r="R47" i="1" s="1"/>
  <c r="S47" i="1" s="1"/>
  <c r="T47" i="1" s="1"/>
  <c r="U47" i="1" s="1"/>
  <c r="V47" i="1" s="1"/>
  <c r="W47" i="1" s="1"/>
  <c r="P42" i="1"/>
  <c r="Q42" i="1" s="1"/>
  <c r="R42" i="1" s="1"/>
  <c r="S42" i="1" s="1"/>
  <c r="T42" i="1" s="1"/>
  <c r="U42" i="1" s="1"/>
  <c r="V42" i="1" s="1"/>
  <c r="W42" i="1" s="1"/>
  <c r="K59" i="1"/>
  <c r="K84" i="1"/>
  <c r="F89" i="1"/>
  <c r="F85" i="1"/>
  <c r="F11" i="1" s="1"/>
  <c r="F12" i="1" s="1"/>
  <c r="F8" i="1"/>
  <c r="P29" i="1"/>
  <c r="Q29" i="1" s="1"/>
  <c r="R29" i="1" s="1"/>
  <c r="S29" i="1" s="1"/>
  <c r="T29" i="1" s="1"/>
  <c r="U29" i="1" s="1"/>
  <c r="V29" i="1" s="1"/>
  <c r="W29" i="1" s="1"/>
  <c r="H85" i="1" l="1"/>
  <c r="H11" i="1" s="1"/>
  <c r="H8" i="1"/>
  <c r="P66" i="1"/>
  <c r="L70" i="1"/>
  <c r="Q25" i="1"/>
  <c r="L84" i="1"/>
  <c r="K10" i="1"/>
  <c r="P34" i="1"/>
  <c r="L38" i="1"/>
  <c r="N70" i="1"/>
  <c r="M38" i="1"/>
  <c r="P41" i="1"/>
  <c r="L43" i="1"/>
  <c r="L73" i="1"/>
  <c r="N73" i="1"/>
  <c r="N75" i="1" s="1"/>
  <c r="K75" i="1"/>
  <c r="O73" i="1"/>
  <c r="O75" i="1" s="1"/>
  <c r="M73" i="1"/>
  <c r="M75" i="1" s="1"/>
  <c r="O38" i="1"/>
  <c r="L79" i="1"/>
  <c r="P78" i="1"/>
  <c r="M68" i="1"/>
  <c r="M70" i="1" s="1"/>
  <c r="N68" i="1"/>
  <c r="L68" i="1"/>
  <c r="O68" i="1"/>
  <c r="O46" i="1"/>
  <c r="O50" i="1" s="1"/>
  <c r="N46" i="1"/>
  <c r="N50" i="1" s="1"/>
  <c r="M46" i="1"/>
  <c r="M50" i="1" s="1"/>
  <c r="L46" i="1"/>
  <c r="K50" i="1"/>
  <c r="O83" i="1"/>
  <c r="O9" i="1" s="1"/>
  <c r="N83" i="1"/>
  <c r="N9" i="1" s="1"/>
  <c r="M83" i="1"/>
  <c r="M9" i="1" s="1"/>
  <c r="L9" i="1"/>
  <c r="P20" i="1"/>
  <c r="Q20" i="1" s="1"/>
  <c r="R20" i="1" s="1"/>
  <c r="S20" i="1" s="1"/>
  <c r="T20" i="1" s="1"/>
  <c r="U20" i="1" s="1"/>
  <c r="V20" i="1" s="1"/>
  <c r="W20" i="1" s="1"/>
  <c r="M19" i="1"/>
  <c r="M22" i="1" s="1"/>
  <c r="L19" i="1"/>
  <c r="N19" i="1"/>
  <c r="N22" i="1" s="1"/>
  <c r="O19" i="1"/>
  <c r="O22" i="1" s="1"/>
  <c r="K22" i="1"/>
  <c r="O70" i="1"/>
  <c r="N59" i="1"/>
  <c r="N63" i="1" s="1"/>
  <c r="L59" i="1"/>
  <c r="K63" i="1"/>
  <c r="M59" i="1"/>
  <c r="M63" i="1" s="1"/>
  <c r="O59" i="1"/>
  <c r="O63" i="1" s="1"/>
  <c r="Q18" i="1"/>
  <c r="P61" i="1"/>
  <c r="Q61" i="1" s="1"/>
  <c r="R61" i="1" s="1"/>
  <c r="S61" i="1" s="1"/>
  <c r="T61" i="1" s="1"/>
  <c r="U61" i="1" s="1"/>
  <c r="V61" i="1" s="1"/>
  <c r="W61" i="1" s="1"/>
  <c r="D12" i="1"/>
  <c r="N53" i="1"/>
  <c r="N56" i="1" s="1"/>
  <c r="L53" i="1"/>
  <c r="K56" i="1"/>
  <c r="M53" i="1"/>
  <c r="M56" i="1" s="1"/>
  <c r="O53" i="1"/>
  <c r="O56" i="1" s="1"/>
  <c r="N27" i="1"/>
  <c r="N31" i="1" s="1"/>
  <c r="M27" i="1"/>
  <c r="M31" i="1" s="1"/>
  <c r="L27" i="1"/>
  <c r="O27" i="1"/>
  <c r="O31" i="1" s="1"/>
  <c r="K31" i="1"/>
  <c r="P67" i="1"/>
  <c r="Q67" i="1" s="1"/>
  <c r="R67" i="1" s="1"/>
  <c r="S67" i="1" s="1"/>
  <c r="T67" i="1" s="1"/>
  <c r="U67" i="1" s="1"/>
  <c r="V67" i="1" s="1"/>
  <c r="W67" i="1" s="1"/>
  <c r="J85" i="1"/>
  <c r="J11" i="1" s="1"/>
  <c r="J8" i="1"/>
  <c r="P62" i="1"/>
  <c r="Q62" i="1" s="1"/>
  <c r="R62" i="1" s="1"/>
  <c r="S62" i="1" s="1"/>
  <c r="T62" i="1" s="1"/>
  <c r="U62" i="1" s="1"/>
  <c r="V62" i="1" s="1"/>
  <c r="W62" i="1" s="1"/>
  <c r="P19" i="1" l="1"/>
  <c r="L22" i="1"/>
  <c r="K81" i="1"/>
  <c r="Q66" i="1"/>
  <c r="P53" i="1"/>
  <c r="L56" i="1"/>
  <c r="P46" i="1"/>
  <c r="L50" i="1"/>
  <c r="O84" i="1"/>
  <c r="O10" i="1" s="1"/>
  <c r="N84" i="1"/>
  <c r="N10" i="1" s="1"/>
  <c r="M84" i="1"/>
  <c r="M10" i="1" s="1"/>
  <c r="L10" i="1"/>
  <c r="P27" i="1"/>
  <c r="L31" i="1"/>
  <c r="Q41" i="1"/>
  <c r="P43" i="1"/>
  <c r="O81" i="1"/>
  <c r="P68" i="1"/>
  <c r="Q68" i="1" s="1"/>
  <c r="R68" i="1" s="1"/>
  <c r="S68" i="1" s="1"/>
  <c r="T68" i="1" s="1"/>
  <c r="U68" i="1" s="1"/>
  <c r="V68" i="1" s="1"/>
  <c r="W68" i="1" s="1"/>
  <c r="M81" i="1"/>
  <c r="P79" i="1"/>
  <c r="Q78" i="1"/>
  <c r="L75" i="1"/>
  <c r="P73" i="1"/>
  <c r="P59" i="1"/>
  <c r="L63" i="1"/>
  <c r="R25" i="1"/>
  <c r="R18" i="1"/>
  <c r="N81" i="1"/>
  <c r="P83" i="1"/>
  <c r="Q34" i="1"/>
  <c r="P38" i="1"/>
  <c r="S18" i="1" l="1"/>
  <c r="P56" i="1"/>
  <c r="Q53" i="1"/>
  <c r="S25" i="1"/>
  <c r="Q70" i="1"/>
  <c r="R66" i="1"/>
  <c r="N85" i="1"/>
  <c r="N11" i="1" s="1"/>
  <c r="N8" i="1"/>
  <c r="Q46" i="1"/>
  <c r="P50" i="1"/>
  <c r="Q27" i="1"/>
  <c r="P31" i="1"/>
  <c r="M85" i="1"/>
  <c r="M11" i="1" s="1"/>
  <c r="M8" i="1"/>
  <c r="P70" i="1"/>
  <c r="Q38" i="1"/>
  <c r="R34" i="1"/>
  <c r="L81" i="1"/>
  <c r="R78" i="1"/>
  <c r="Q79" i="1"/>
  <c r="O85" i="1"/>
  <c r="O11" i="1" s="1"/>
  <c r="O8" i="1"/>
  <c r="K85" i="1"/>
  <c r="K8" i="1"/>
  <c r="P63" i="1"/>
  <c r="Q59" i="1"/>
  <c r="P84" i="1"/>
  <c r="Q83" i="1"/>
  <c r="P9" i="1"/>
  <c r="P75" i="1"/>
  <c r="Q73" i="1"/>
  <c r="R41" i="1"/>
  <c r="Q43" i="1"/>
  <c r="Q19" i="1"/>
  <c r="P22" i="1"/>
  <c r="R83" i="1" l="1"/>
  <c r="Q9" i="1"/>
  <c r="T25" i="1"/>
  <c r="Q84" i="1"/>
  <c r="P10" i="1"/>
  <c r="L85" i="1"/>
  <c r="L11" i="1" s="1"/>
  <c r="L8" i="1"/>
  <c r="Q50" i="1"/>
  <c r="R46" i="1"/>
  <c r="R79" i="1"/>
  <c r="S78" i="1"/>
  <c r="R27" i="1"/>
  <c r="Q31" i="1"/>
  <c r="R19" i="1"/>
  <c r="Q22" i="1"/>
  <c r="Q81" i="1" s="1"/>
  <c r="Q56" i="1"/>
  <c r="R53" i="1"/>
  <c r="T18" i="1"/>
  <c r="R70" i="1"/>
  <c r="S66" i="1"/>
  <c r="P81" i="1"/>
  <c r="R59" i="1"/>
  <c r="Q63" i="1"/>
  <c r="R38" i="1"/>
  <c r="S34" i="1"/>
  <c r="R43" i="1"/>
  <c r="S41" i="1"/>
  <c r="R73" i="1"/>
  <c r="Q75" i="1"/>
  <c r="K90" i="1"/>
  <c r="K11" i="1"/>
  <c r="K12" i="1" s="1"/>
  <c r="P85" i="1" l="1"/>
  <c r="P8" i="1"/>
  <c r="S73" i="1"/>
  <c r="R75" i="1"/>
  <c r="T41" i="1"/>
  <c r="S43" i="1"/>
  <c r="R84" i="1"/>
  <c r="Q10" i="1"/>
  <c r="S59" i="1"/>
  <c r="R63" i="1"/>
  <c r="S19" i="1"/>
  <c r="R22" i="1"/>
  <c r="T66" i="1"/>
  <c r="S70" i="1"/>
  <c r="S27" i="1"/>
  <c r="R31" i="1"/>
  <c r="S79" i="1"/>
  <c r="T78" i="1"/>
  <c r="S38" i="1"/>
  <c r="T34" i="1"/>
  <c r="R50" i="1"/>
  <c r="S46" i="1"/>
  <c r="Q85" i="1"/>
  <c r="Q11" i="1" s="1"/>
  <c r="Q8" i="1"/>
  <c r="U18" i="1"/>
  <c r="U25" i="1"/>
  <c r="R56" i="1"/>
  <c r="S53" i="1"/>
  <c r="S83" i="1"/>
  <c r="R9" i="1"/>
  <c r="T27" i="1" l="1"/>
  <c r="S31" i="1"/>
  <c r="S50" i="1"/>
  <c r="T46" i="1"/>
  <c r="U41" i="1"/>
  <c r="T43" i="1"/>
  <c r="S56" i="1"/>
  <c r="T53" i="1"/>
  <c r="U34" i="1"/>
  <c r="T38" i="1"/>
  <c r="U78" i="1"/>
  <c r="T79" i="1"/>
  <c r="T83" i="1"/>
  <c r="S9" i="1"/>
  <c r="S84" i="1"/>
  <c r="R10" i="1"/>
  <c r="U66" i="1"/>
  <c r="T70" i="1"/>
  <c r="R81" i="1"/>
  <c r="V25" i="1"/>
  <c r="T19" i="1"/>
  <c r="S22" i="1"/>
  <c r="S81" i="1" s="1"/>
  <c r="T73" i="1"/>
  <c r="S75" i="1"/>
  <c r="V18" i="1"/>
  <c r="T59" i="1"/>
  <c r="S63" i="1"/>
  <c r="P91" i="1"/>
  <c r="P11" i="1"/>
  <c r="P12" i="1" s="1"/>
  <c r="S85" i="1" l="1"/>
  <c r="S11" i="1" s="1"/>
  <c r="S8" i="1"/>
  <c r="Q12" i="1"/>
  <c r="U83" i="1"/>
  <c r="T9" i="1"/>
  <c r="W25" i="1"/>
  <c r="U43" i="1"/>
  <c r="V41" i="1"/>
  <c r="U59" i="1"/>
  <c r="T63" i="1"/>
  <c r="R85" i="1"/>
  <c r="R11" i="1" s="1"/>
  <c r="R12" i="1" s="1"/>
  <c r="R8" i="1"/>
  <c r="T50" i="1"/>
  <c r="U46" i="1"/>
  <c r="V34" i="1"/>
  <c r="U38" i="1"/>
  <c r="T84" i="1"/>
  <c r="S10" i="1"/>
  <c r="U19" i="1"/>
  <c r="T22" i="1"/>
  <c r="U79" i="1"/>
  <c r="V78" i="1"/>
  <c r="W18" i="1"/>
  <c r="U70" i="1"/>
  <c r="V66" i="1"/>
  <c r="U73" i="1"/>
  <c r="T75" i="1"/>
  <c r="U53" i="1"/>
  <c r="T56" i="1"/>
  <c r="U27" i="1"/>
  <c r="T31" i="1"/>
  <c r="T81" i="1" l="1"/>
  <c r="V27" i="1"/>
  <c r="U31" i="1"/>
  <c r="U50" i="1"/>
  <c r="V46" i="1"/>
  <c r="W66" i="1"/>
  <c r="W70" i="1" s="1"/>
  <c r="V70" i="1"/>
  <c r="U84" i="1"/>
  <c r="T10" i="1"/>
  <c r="V59" i="1"/>
  <c r="U63" i="1"/>
  <c r="W34" i="1"/>
  <c r="W38" i="1" s="1"/>
  <c r="V38" i="1"/>
  <c r="W78" i="1"/>
  <c r="W79" i="1" s="1"/>
  <c r="V79" i="1"/>
  <c r="V53" i="1"/>
  <c r="U56" i="1"/>
  <c r="V73" i="1"/>
  <c r="U75" i="1"/>
  <c r="V19" i="1"/>
  <c r="U22" i="1"/>
  <c r="U81" i="1" s="1"/>
  <c r="V83" i="1"/>
  <c r="U9" i="1"/>
  <c r="V43" i="1"/>
  <c r="W41" i="1"/>
  <c r="W43" i="1" s="1"/>
  <c r="S12" i="1"/>
  <c r="V75" i="1" l="1"/>
  <c r="W73" i="1"/>
  <c r="W75" i="1" s="1"/>
  <c r="W27" i="1"/>
  <c r="W31" i="1" s="1"/>
  <c r="V31" i="1"/>
  <c r="W83" i="1"/>
  <c r="W9" i="1" s="1"/>
  <c r="V9" i="1"/>
  <c r="U85" i="1"/>
  <c r="U11" i="1" s="1"/>
  <c r="U12" i="1" s="1"/>
  <c r="U8" i="1"/>
  <c r="W19" i="1"/>
  <c r="W22" i="1" s="1"/>
  <c r="V22" i="1"/>
  <c r="W46" i="1"/>
  <c r="W50" i="1" s="1"/>
  <c r="V50" i="1"/>
  <c r="V63" i="1"/>
  <c r="W59" i="1"/>
  <c r="W63" i="1" s="1"/>
  <c r="W53" i="1"/>
  <c r="W56" i="1" s="1"/>
  <c r="V56" i="1"/>
  <c r="V84" i="1"/>
  <c r="U10" i="1"/>
  <c r="T85" i="1"/>
  <c r="T11" i="1" s="1"/>
  <c r="T12" i="1" s="1"/>
  <c r="T8" i="1"/>
  <c r="V81" i="1" l="1"/>
  <c r="W84" i="1"/>
  <c r="W10" i="1" s="1"/>
  <c r="V10" i="1"/>
  <c r="W81" i="1"/>
  <c r="W85" i="1" l="1"/>
  <c r="W11" i="1" s="1"/>
  <c r="W8" i="1"/>
  <c r="V85" i="1"/>
  <c r="V11" i="1" s="1"/>
  <c r="V12" i="1" s="1"/>
  <c r="V8" i="1"/>
  <c r="W12" i="1" l="1"/>
</calcChain>
</file>

<file path=xl/sharedStrings.xml><?xml version="1.0" encoding="utf-8"?>
<sst xmlns="http://schemas.openxmlformats.org/spreadsheetml/2006/main" count="819" uniqueCount="425">
  <si>
    <t>Pfizer Limited bottoms-up revenue model</t>
  </si>
  <si>
    <t>INR million. FY23-FY26 are historical estimates reconciled to reported totals. FY27 Q1 is reported at company level and estimated by product.</t>
  </si>
  <si>
    <t>Blue: hardcodes</t>
  </si>
  <si>
    <t>Black: formulas</t>
  </si>
  <si>
    <t>Green: cross-sheet</t>
  </si>
  <si>
    <t>Company revenue summary</t>
  </si>
  <si>
    <t>Therapy / line item</t>
  </si>
  <si>
    <t>Brand</t>
  </si>
  <si>
    <t>FY23A</t>
  </si>
  <si>
    <t>FY24A</t>
  </si>
  <si>
    <t>FY25A</t>
  </si>
  <si>
    <t>FY26A</t>
  </si>
  <si>
    <t>Q1 FY27</t>
  </si>
  <si>
    <t>Q2 FY27E</t>
  </si>
  <si>
    <t>Q3 FY27E</t>
  </si>
  <si>
    <t>Q4 FY27E</t>
  </si>
  <si>
    <t>FY27E</t>
  </si>
  <si>
    <t>Q1 FY28E</t>
  </si>
  <si>
    <t>Q2 FY28E</t>
  </si>
  <si>
    <t>Q3 FY28E</t>
  </si>
  <si>
    <t>Q4 FY28E</t>
  </si>
  <si>
    <t>FY28E</t>
  </si>
  <si>
    <t>FY29E</t>
  </si>
  <si>
    <t>FY30E</t>
  </si>
  <si>
    <t>FY31E</t>
  </si>
  <si>
    <t>FY32E</t>
  </si>
  <si>
    <t>FY33E</t>
  </si>
  <si>
    <t>FY34E</t>
  </si>
  <si>
    <t>FY35E</t>
  </si>
  <si>
    <t>Product revenue</t>
  </si>
  <si>
    <t>Service revenue</t>
  </si>
  <si>
    <t>Other operating revenue</t>
  </si>
  <si>
    <t>Revenue from operations</t>
  </si>
  <si>
    <t>Growth</t>
  </si>
  <si>
    <t>Product revenue by therapy and brand</t>
  </si>
  <si>
    <t>Vaccines</t>
  </si>
  <si>
    <t>Prevenar 13</t>
  </si>
  <si>
    <t>Prevenar 20</t>
  </si>
  <si>
    <t>Other vaccines</t>
  </si>
  <si>
    <t>Abrysvo (pipeline)</t>
  </si>
  <si>
    <t>Subtotal</t>
  </si>
  <si>
    <t>Anti-infectives and hospital products</t>
  </si>
  <si>
    <t>Magnex</t>
  </si>
  <si>
    <t>Meronem</t>
  </si>
  <si>
    <t>Zavicefta</t>
  </si>
  <si>
    <t>Zithromax</t>
  </si>
  <si>
    <t>Emblaveo</t>
  </si>
  <si>
    <t>Other hospital and anti-infective products</t>
  </si>
  <si>
    <t>Cardiovascular and anticoagulation</t>
  </si>
  <si>
    <t>Eliquis</t>
  </si>
  <si>
    <t>Minipress XL</t>
  </si>
  <si>
    <t>Amlogard</t>
  </si>
  <si>
    <t>Other cardiovascular products</t>
  </si>
  <si>
    <t>Vitamins and nutritional products</t>
  </si>
  <si>
    <t>Becosules</t>
  </si>
  <si>
    <t>Other nutritional products</t>
  </si>
  <si>
    <t>Gastrointestinal</t>
  </si>
  <si>
    <t>Mucaine</t>
  </si>
  <si>
    <t>Gelusil-MPS</t>
  </si>
  <si>
    <t>Neksium</t>
  </si>
  <si>
    <t>Other gastrointestinal products</t>
  </si>
  <si>
    <t>Respiratory and cough</t>
  </si>
  <si>
    <t>Corex DX</t>
  </si>
  <si>
    <t>Corex LS</t>
  </si>
  <si>
    <t>Other respiratory products</t>
  </si>
  <si>
    <t>Pain, inflammation and immunology</t>
  </si>
  <si>
    <t>Dolonex</t>
  </si>
  <si>
    <t>Enbrel</t>
  </si>
  <si>
    <t>Betrecep</t>
  </si>
  <si>
    <t>Other pain and immunology products</t>
  </si>
  <si>
    <t>Women's health and endocrine</t>
  </si>
  <si>
    <t>Premarin franchise</t>
  </si>
  <si>
    <t>Folvite / folic-acid combinations</t>
  </si>
  <si>
    <t>Oral contraceptive brands</t>
  </si>
  <si>
    <t>Other women’s-health products</t>
  </si>
  <si>
    <t>CNS and migraine</t>
  </si>
  <si>
    <t>Nurtec</t>
  </si>
  <si>
    <t>Other CNS products</t>
  </si>
  <si>
    <t>Other established products</t>
  </si>
  <si>
    <t>Total pharmaceutical product revenue</t>
  </si>
  <si>
    <t>Model checks</t>
  </si>
  <si>
    <t>Historical product-revenue difference</t>
  </si>
  <si>
    <t>FY27 annual less quarters</t>
  </si>
  <si>
    <t>FY28 annual less quarters</t>
  </si>
  <si>
    <t>PPIPL products included</t>
  </si>
  <si>
    <t>Pfizer Limited revenue assumptions</t>
  </si>
  <si>
    <t>INR million unless stated. Blue font and pale-yellow fill are editable inputs. Black cells are same-sheet formulas.</t>
  </si>
  <si>
    <t>Legend</t>
  </si>
  <si>
    <t>Hardcode</t>
  </si>
  <si>
    <t>Formula</t>
  </si>
  <si>
    <t>Cross-sheet link</t>
  </si>
  <si>
    <t>Reported company revenue anchors</t>
  </si>
  <si>
    <t>Metric</t>
  </si>
  <si>
    <t>Product forecast drivers</t>
  </si>
  <si>
    <t>Therapy</t>
  </si>
  <si>
    <t>Net growth FY27-FY30</t>
  </si>
  <si>
    <t>Net growth FY31-FY35</t>
  </si>
  <si>
    <t>FY27 factor</t>
  </si>
  <si>
    <t>FY28+ factor</t>
  </si>
  <si>
    <t>FY27 Q1 estimate</t>
  </si>
  <si>
    <t>Quarterly profile</t>
  </si>
  <si>
    <t>Q1 %</t>
  </si>
  <si>
    <t>Q2 %</t>
  </si>
  <si>
    <t>Q3 %</t>
  </si>
  <si>
    <t>Q4 %</t>
  </si>
  <si>
    <t>Rationale</t>
  </si>
  <si>
    <t>Mature PCV franchise; modelled with cannibalisation from Prevenar 20.</t>
  </si>
  <si>
    <t>Launch ramp; adult immunisation, affordability and internal franchise cannibalisation.</t>
  </si>
  <si>
    <t>Residual vaccine portfolio.</t>
  </si>
  <si>
    <t>Only future pipeline line included in the base case; linked to the pipeline assumptions below.</t>
  </si>
  <si>
    <t>Hospital</t>
  </si>
  <si>
    <t>FY24 historical estimate reflects voluntary recall/supply disruption; subsequent recovery.</t>
  </si>
  <si>
    <t>Hospital anti-infective; institutional exposure.</t>
  </si>
  <si>
    <t>42% market share MAT Mar-26 in represented ceftazidime-avibactam market.</t>
  </si>
  <si>
    <t>Mature anti-infective; generic pressure. Azithromycin formulations are scheduled under NLEM 2022, limiting unrestricted price/mix.</t>
  </si>
  <si>
    <t>ICU launch ramp; MDR Gram-negative infections.</t>
  </si>
  <si>
    <t>Residual hospital portfolio; includes smaller anti-infectives.</t>
  </si>
  <si>
    <t>Chronic</t>
  </si>
  <si>
    <t>FY26 estimate anchored to company-disclosed 30% YoY growth; post-2022 LOE/generic pressure incorporated in forecast.</t>
  </si>
  <si>
    <t>Exit</t>
  </si>
  <si>
    <t>FY27 Q2 prorated to 7-Sep-26; zero from FY28. Compensation excluded from operating revenue.</t>
  </si>
  <si>
    <t>Historical FY23 estimate covers only Apr-Jul 2022 pre-transfer; no revenue thereafter.</t>
  </si>
  <si>
    <t>Residual listed-company cardiovascular portfolio.</t>
  </si>
  <si>
    <t>Primary</t>
  </si>
  <si>
    <t>Mature brand with distribution/packaging support; no innovation-like growth.</t>
  </si>
  <si>
    <t>Residual nutritional portfolio.</t>
  </si>
  <si>
    <t>Mature GI franchise.</t>
  </si>
  <si>
    <t>Mature OTC-oriented GI brand.</t>
  </si>
  <si>
    <t>Cipla transition factor applied in FY27; volume growth assumption captures broader reach.</t>
  </si>
  <si>
    <t>Residual listed-company GI portfolio.</t>
  </si>
  <si>
    <t>Cipla transition factor applied in FY27.</t>
  </si>
  <si>
    <t>Residual respiratory portfolio.</t>
  </si>
  <si>
    <t>Mature TNF inhibitor with competitive/biosimilar pressure.</t>
  </si>
  <si>
    <t>India-specific access launch; ranked #6 in &gt;85-brand market MAT Mar-26.</t>
  </si>
  <si>
    <t>Includes smaller listed-company I&amp;I/pain products; Cibinqo is not separately material in available data.</t>
  </si>
  <si>
    <t>Mature women’s-health franchise.</t>
  </si>
  <si>
    <t>Market-leading represented folic-acid category positioning.</t>
  </si>
  <si>
    <t>Ovral L plus other listed-company oral contraceptives.</t>
  </si>
  <si>
    <t>Residual women’s-health portfolio.</t>
  </si>
  <si>
    <t>FY26 launch; specialist adoption ramp from low base.</t>
  </si>
  <si>
    <t>Residual CNS products; excludes transferred Upjohn brands after Aug-22.</t>
  </si>
  <si>
    <t>Balancing row captures &gt;150-product long tail and pre-Aug-22 Upjohn revenue in FY23; historical formula reconciles exactly to audited product revenue.</t>
  </si>
  <si>
    <t>Quarterly profiles</t>
  </si>
  <si>
    <t>Profile</t>
  </si>
  <si>
    <t>Q1</t>
  </si>
  <si>
    <t>Q2</t>
  </si>
  <si>
    <t>Q3</t>
  </si>
  <si>
    <t>Q4</t>
  </si>
  <si>
    <t>Services</t>
  </si>
  <si>
    <t>Service and other operating revenue</t>
  </si>
  <si>
    <t>Line item</t>
  </si>
  <si>
    <t>FY27-FY35 growth</t>
  </si>
  <si>
    <t>Pipeline included in the base case</t>
  </si>
  <si>
    <t>Candidate</t>
  </si>
  <si>
    <t>Launch year</t>
  </si>
  <si>
    <t>Risk-adjusted peak sales</t>
  </si>
  <si>
    <t>FY29</t>
  </si>
  <si>
    <t>FY30</t>
  </si>
  <si>
    <t>FY31</t>
  </si>
  <si>
    <t>FY32</t>
  </si>
  <si>
    <t>FY33</t>
  </si>
  <si>
    <t>FY34</t>
  </si>
  <si>
    <t>FY35</t>
  </si>
  <si>
    <t>Listed economics probability</t>
  </si>
  <si>
    <t>Basis</t>
  </si>
  <si>
    <t>Abrysvo</t>
  </si>
  <si>
    <t>India Phase 3 sponsored by Pfizer Limited; launch timing remains an analyst estimate.</t>
  </si>
  <si>
    <t>Key sources and modelling conventions</t>
  </si>
  <si>
    <t>Source</t>
  </si>
  <si>
    <t>Use in model</t>
  </si>
  <si>
    <t>Reference</t>
  </si>
  <si>
    <t>FY26 Annual Report</t>
  </si>
  <si>
    <t>Audited product, service and operating revenue; product launches and portfolio commentary.</t>
  </si>
  <si>
    <t>https://www.pfizerltd.co.in/files/Pfizer_Limited_-_Annual_Report_FY_2026.pdf</t>
  </si>
  <si>
    <t>Q1 FY27 result</t>
  </si>
  <si>
    <t>Reported revenue from operations of INR6,531.7 million.</t>
  </si>
  <si>
    <t>https://www.pfizerltd.co.in/files/Stock_Exchange_Intimation_-Outcome_of_the_Board_Meeting_28072026_final.pdf</t>
  </si>
  <si>
    <t>IQVIA MAT June 2026</t>
  </si>
  <si>
    <t>Market sell-out anchors. Brand revenue is converted to estimated manufacturer net revenue and reconciled to audited totals.</t>
  </si>
  <si>
    <t>Uploaded / task-provided market data</t>
  </si>
  <si>
    <t>Minipress filing</t>
  </si>
  <si>
    <t>Marketing discontinued from 7 September 2026. Compensation is excluded from operating revenue.</t>
  </si>
  <si>
    <t>https://www.pfizerltd.co.in/files/Stock_Exchange_Intimation_-_Outcome_of_the_Board_Meeting_07092026.pdf</t>
  </si>
  <si>
    <t>Cipla arrangement</t>
  </si>
  <si>
    <t>Corex DX, Corex LS, Dolonex and Neksium remain in listed-company supply economics under an undisclosed commercial structure.</t>
  </si>
  <si>
    <t>Pfizer FY26 Annual Report and Cipla filing dated 19 December 2025</t>
  </si>
  <si>
    <t>Pipeline rule</t>
  </si>
  <si>
    <t>Only products with credible listed-company economics enter the model. PPIPL products and uncertain global assets are excluded.</t>
  </si>
  <si>
    <t>CTRI, CDSCO, ClinicalTrials.gov and Pfizer disclosures</t>
  </si>
  <si>
    <t>Pfizer India drug primer</t>
  </si>
  <si>
    <t>Reference sheet only. It does not feed the revenue model. Listed and private-entity products are separated below.</t>
  </si>
  <si>
    <t>Products included in the listed-company model</t>
  </si>
  <si>
    <t>Molecule</t>
  </si>
  <si>
    <t>What it is</t>
  </si>
  <si>
    <t>What it treats</t>
  </si>
  <si>
    <t>Typical prescriber / patient</t>
  </si>
  <si>
    <t>Use</t>
  </si>
  <si>
    <t>Channel</t>
  </si>
  <si>
    <t>Portfolio role</t>
  </si>
  <si>
    <t>Ownership note</t>
  </si>
  <si>
    <t>13-valent pneumococcal conjugate vaccine</t>
  </si>
  <si>
    <t>Conjugate vaccine covering 13 pneumococcal serotypes</t>
  </si>
  <si>
    <t>Pneumococcal disease prevention</t>
  </si>
  <si>
    <t>Paediatricians and physicians; children and adults</t>
  </si>
  <si>
    <t>Short vaccination schedule</t>
  </si>
  <si>
    <t>Private clinics and hospitals</t>
  </si>
  <si>
    <t>Mature vaccine franchise</t>
  </si>
  <si>
    <t>Listed Pfizer marketer</t>
  </si>
  <si>
    <t>20-valent pneumococcal conjugate vaccine</t>
  </si>
  <si>
    <t>Broader-valency pneumococcal conjugate vaccine</t>
  </si>
  <si>
    <t>Physicians; mainly adult private-pay patients</t>
  </si>
  <si>
    <t>Core vaccine growth product</t>
  </si>
  <si>
    <t>Listed Pfizer launch</t>
  </si>
  <si>
    <t>Multiple</t>
  </si>
  <si>
    <t>Portfolio line or residual grouping</t>
  </si>
  <si>
    <t>Products within Vaccines</t>
  </si>
  <si>
    <t>Varies by product</t>
  </si>
  <si>
    <t>Varies</t>
  </si>
  <si>
    <t>Retail and/or hospitals</t>
  </si>
  <si>
    <t>Residual portfolio</t>
  </si>
  <si>
    <t>Included in listed-company model</t>
  </si>
  <si>
    <t>RSV prefusion F vaccine</t>
  </si>
  <si>
    <t>Bivalent RSV prefusion F protein vaccine</t>
  </si>
  <si>
    <t>RSV lower-respiratory-tract disease prevention</t>
  </si>
  <si>
    <t>Adult physicians; older and at-risk adults</t>
  </si>
  <si>
    <t>Single vaccination course</t>
  </si>
  <si>
    <t>Risk-adjusted pipeline</t>
  </si>
  <si>
    <t>Listed economics plausible but unconfirmed</t>
  </si>
  <si>
    <t>Cefoperazone + sulbactam</t>
  </si>
  <si>
    <t>Injectable cephalosporin plus beta-lactamase inhibitor</t>
  </si>
  <si>
    <t>Serious bacterial infections</t>
  </si>
  <si>
    <t>Hospital physicians; admitted patients</t>
  </si>
  <si>
    <t>Acute</t>
  </si>
  <si>
    <t>Hospitals</t>
  </si>
  <si>
    <t>Hospital growth franchise</t>
  </si>
  <si>
    <t>Meropenem</t>
  </si>
  <si>
    <t>Broad-spectrum carbapenem antibiotic</t>
  </si>
  <si>
    <t>Serious and resistant bacterial infections</t>
  </si>
  <si>
    <t>Intensivists and hospital physicians</t>
  </si>
  <si>
    <t>Established hospital brand</t>
  </si>
  <si>
    <t>Ceftazidime + avibactam</t>
  </si>
  <si>
    <t>Cephalosporin plus beta-lactamase inhibitor</t>
  </si>
  <si>
    <t>Resistant Gram-negative infections</t>
  </si>
  <si>
    <t>Intensivists and infectious-disease specialists</t>
  </si>
  <si>
    <t>Higher-value hospital growth brand</t>
  </si>
  <si>
    <t>Azithromycin</t>
  </si>
  <si>
    <t>Macrolide antibiotic</t>
  </si>
  <si>
    <t>Selected bacterial respiratory and other infections</t>
  </si>
  <si>
    <t>General physicians and specialists</t>
  </si>
  <si>
    <t>Retail and hospitals</t>
  </si>
  <si>
    <t>Mature anti-infective</t>
  </si>
  <si>
    <t>Aztreonam + avibactam</t>
  </si>
  <si>
    <t>Monobactam plus beta-lactamase inhibitor</t>
  </si>
  <si>
    <t>Difficult multidrug-resistant Gram-negative infections</t>
  </si>
  <si>
    <t>Infectious-disease specialists and intensivists</t>
  </si>
  <si>
    <t>Tertiary hospitals</t>
  </si>
  <si>
    <t>New hospital launch</t>
  </si>
  <si>
    <t>Products within Anti-infectives and hospital products</t>
  </si>
  <si>
    <t>Apixaban</t>
  </si>
  <si>
    <t>Oral factor Xa anticoagulant</t>
  </si>
  <si>
    <t>Atrial fibrillation and venous thromboembolism</t>
  </si>
  <si>
    <t>Cardiologists and physicians; chronic patients</t>
  </si>
  <si>
    <t>Core cardiovascular growth brand</t>
  </si>
  <si>
    <t>Prazosin extended release</t>
  </si>
  <si>
    <t>Alpha-1 adrenergic blocker</t>
  </si>
  <si>
    <t>Hypertension and selected urological symptoms</t>
  </si>
  <si>
    <t>Physicians and urologists</t>
  </si>
  <si>
    <t>Retail</t>
  </si>
  <si>
    <t>Discontinued brand</t>
  </si>
  <si>
    <t>Listed sales ended 7 September 2026</t>
  </si>
  <si>
    <t>Amlodipine</t>
  </si>
  <si>
    <t>Calcium-channel blocker</t>
  </si>
  <si>
    <t>Hypertension and angina</t>
  </si>
  <si>
    <t>Physicians and cardiologists</t>
  </si>
  <si>
    <t>Transferred brand</t>
  </si>
  <si>
    <t>Transferred to Mylan in August 2022</t>
  </si>
  <si>
    <t>Products within Cardiovascular and anticoagulation</t>
  </si>
  <si>
    <t>Vitamin B-complex franchise</t>
  </si>
  <si>
    <t>Combination vitamin supplement</t>
  </si>
  <si>
    <t>Vitamin deficiency and supportive care</t>
  </si>
  <si>
    <t>General physicians and retail consumers</t>
  </si>
  <si>
    <t>Acute or supportive</t>
  </si>
  <si>
    <t>Mature cash-generative brand</t>
  </si>
  <si>
    <t>Products within Vitamins and nutritional products</t>
  </si>
  <si>
    <t>Oxetacaine + antacid combinations</t>
  </si>
  <si>
    <t>Antacid with local anaesthetic</t>
  </si>
  <si>
    <t>Acidity and painful dyspepsia</t>
  </si>
  <si>
    <t>General physicians and gastroenterologists</t>
  </si>
  <si>
    <t>Mature gastrointestinal brand</t>
  </si>
  <si>
    <t>Antacid + simethicone</t>
  </si>
  <si>
    <t>Antacid and antiflatulent combination</t>
  </si>
  <si>
    <t>Acidity, indigestion and gas</t>
  </si>
  <si>
    <t>General physicians and consumers</t>
  </si>
  <si>
    <t>Esomeprazole</t>
  </si>
  <si>
    <t>Proton-pump inhibitor</t>
  </si>
  <si>
    <t>Acid-peptic disease and reflux</t>
  </si>
  <si>
    <t>Acute or chronic</t>
  </si>
  <si>
    <t>Cipla-commercialised mature brand</t>
  </si>
  <si>
    <t>Listed Pfizer supply economics estimated</t>
  </si>
  <si>
    <t>Products within Gastrointestinal</t>
  </si>
  <si>
    <t>Dextromethorphan-based cough preparation</t>
  </si>
  <si>
    <t>Non-opioid antitussive combination</t>
  </si>
  <si>
    <t>Dry cough</t>
  </si>
  <si>
    <t>General physicians and retail patients</t>
  </si>
  <si>
    <t>Ambroxol + guaifenesin + levosalbutamol</t>
  </si>
  <si>
    <t>Mucolytic, expectorant and bronchodilator combination</t>
  </si>
  <si>
    <t>Productive cough with bronchospasm</t>
  </si>
  <si>
    <t>General physicians and pulmonologists</t>
  </si>
  <si>
    <t>Products within Respiratory and cough</t>
  </si>
  <si>
    <t>Piroxicam</t>
  </si>
  <si>
    <t>Non-steroidal anti-inflammatory drug</t>
  </si>
  <si>
    <t>Pain and inflammatory musculoskeletal conditions</t>
  </si>
  <si>
    <t>Orthopaedists and general physicians</t>
  </si>
  <si>
    <t>Acute or episodic</t>
  </si>
  <si>
    <t>Etanercept</t>
  </si>
  <si>
    <t>TNF inhibitor biologic</t>
  </si>
  <si>
    <t>Rheumatoid arthritis, psoriasis and related inflammatory disease</t>
  </si>
  <si>
    <t>Rheumatologists and dermatologists</t>
  </si>
  <si>
    <t>Specialty retail and hospitals</t>
  </si>
  <si>
    <t>Mature immunology biologic</t>
  </si>
  <si>
    <t>Tofacitinib</t>
  </si>
  <si>
    <t>Oral JAK inhibitor</t>
  </si>
  <si>
    <t>Rheumatoid arthritis and selected inflammatory disease</t>
  </si>
  <si>
    <t>Rheumatologists</t>
  </si>
  <si>
    <t>Specialty retail</t>
  </si>
  <si>
    <t>Newer immunology growth product</t>
  </si>
  <si>
    <t>Multiple (incl. Cibinqo/Wysolone)</t>
  </si>
  <si>
    <t>Products within Pain, inflammation and immunology</t>
  </si>
  <si>
    <t>Conjugated estrogens</t>
  </si>
  <si>
    <t>Estrogen-replacement therapy</t>
  </si>
  <si>
    <t>Menopausal symptoms and selected women’s-health uses</t>
  </si>
  <si>
    <t>Gynaecologists</t>
  </si>
  <si>
    <t>Chronic or episodic</t>
  </si>
  <si>
    <t>Mature women’s-health franchise</t>
  </si>
  <si>
    <t>Folic acid and combinations</t>
  </si>
  <si>
    <t>Vitamin B9 replacement and combination therapy</t>
  </si>
  <si>
    <t>Folate deficiency and pregnancy support</t>
  </si>
  <si>
    <t>Gynaecologists and general physicians</t>
  </si>
  <si>
    <t>Chronic or supportive</t>
  </si>
  <si>
    <t>Established women’s-health brand</t>
  </si>
  <si>
    <t>Combined hormonal contraceptives</t>
  </si>
  <si>
    <t>Hormonal contraception</t>
  </si>
  <si>
    <t>Pregnancy prevention and selected cycle disorders</t>
  </si>
  <si>
    <t>Established women’s-health portfolio</t>
  </si>
  <si>
    <t>Products within Women's health and endocrine</t>
  </si>
  <si>
    <t>Rimegepant</t>
  </si>
  <si>
    <t>Oral CGRP-receptor antagonist</t>
  </si>
  <si>
    <t>Acute migraine and migraine prevention</t>
  </si>
  <si>
    <t>Neurologists and physicians</t>
  </si>
  <si>
    <t>Acute or preventive</t>
  </si>
  <si>
    <t>New CNS launch</t>
  </si>
  <si>
    <t>Products within CNS and migraine</t>
  </si>
  <si>
    <t>Products within Other established products</t>
  </si>
  <si>
    <t>Private-entity products excluded from the listed-company model</t>
  </si>
  <si>
    <t>Oncology</t>
  </si>
  <si>
    <t>Palbace</t>
  </si>
  <si>
    <t>Palbociclib</t>
  </si>
  <si>
    <t>Oral CDK4/6 inhibitor</t>
  </si>
  <si>
    <t>HR-positive, HER2-negative advanced breast cancer</t>
  </si>
  <si>
    <t>Oncologists; biomarker-selected patients</t>
  </si>
  <si>
    <t>Chronic cycles</t>
  </si>
  <si>
    <t>Established targeted therapy</t>
  </si>
  <si>
    <t>PPIPL; excluded</t>
  </si>
  <si>
    <t>Hospital / inflammation</t>
  </si>
  <si>
    <t>Solu-Medrol</t>
  </si>
  <si>
    <t>Methylprednisolone sodium succinate</t>
  </si>
  <si>
    <t>Intravenous corticosteroid</t>
  </si>
  <si>
    <t>Severe inflammatory, allergic and autoimmune conditions</t>
  </si>
  <si>
    <t>Hospital physicians</t>
  </si>
  <si>
    <t>Established hospital product</t>
  </si>
  <si>
    <t>Rare disease</t>
  </si>
  <si>
    <t>Xyntha</t>
  </si>
  <si>
    <t>Recombinant factor VIII</t>
  </si>
  <si>
    <t>Clotting-factor replacement</t>
  </si>
  <si>
    <t>Haemophilia A</t>
  </si>
  <si>
    <t>Haematologists; haemophilia patients</t>
  </si>
  <si>
    <t>Repeated prophylaxis or on demand</t>
  </si>
  <si>
    <t>Specialty hospitals</t>
  </si>
  <si>
    <t>Rare-disease product</t>
  </si>
  <si>
    <t>Anti-infectives</t>
  </si>
  <si>
    <t>Dalacin C</t>
  </si>
  <si>
    <t>Clindamycin</t>
  </si>
  <si>
    <t>Lincosamide antibiotic</t>
  </si>
  <si>
    <t>Susceptible bacterial infections</t>
  </si>
  <si>
    <t>Cipla-commercialised private brand</t>
  </si>
  <si>
    <t>Endocrine</t>
  </si>
  <si>
    <t>Genotropin</t>
  </si>
  <si>
    <t>Somatropin</t>
  </si>
  <si>
    <t>Recombinant human growth hormone</t>
  </si>
  <si>
    <t>Growth-hormone deficiency and related conditions</t>
  </si>
  <si>
    <t>Paediatric endocrinologists</t>
  </si>
  <si>
    <t>Rare endocrine product</t>
  </si>
  <si>
    <t>VFEND</t>
  </si>
  <si>
    <t>Voriconazole</t>
  </si>
  <si>
    <t>Triazole antifungal</t>
  </si>
  <si>
    <t>Serious invasive fungal infections</t>
  </si>
  <si>
    <t>Infectious-disease specialists</t>
  </si>
  <si>
    <t>Acute or extended</t>
  </si>
  <si>
    <t>Specialty hospital product</t>
  </si>
  <si>
    <t>Crizalk</t>
  </si>
  <si>
    <t>Crizotinib</t>
  </si>
  <si>
    <t>ALK and ROS1 tyrosine-kinase inhibitor</t>
  </si>
  <si>
    <t>Molecularly selected lung cancer</t>
  </si>
  <si>
    <t>Oncologists</t>
  </si>
  <si>
    <t>Targeted therapy</t>
  </si>
  <si>
    <t>Inlyta</t>
  </si>
  <si>
    <t>Axitinib</t>
  </si>
  <si>
    <t>VEGFR tyrosine-kinase inhibitor</t>
  </si>
  <si>
    <t>Advanced renal-cell carcinoma</t>
  </si>
  <si>
    <t>Inflammation</t>
  </si>
  <si>
    <t>Depo-Medrol</t>
  </si>
  <si>
    <t>Methylprednisolone acetate</t>
  </si>
  <si>
    <t>Depot corticosteroid injection</t>
  </si>
  <si>
    <t>Inflammatory and allergic conditions</t>
  </si>
  <si>
    <t>Physicians and specialists</t>
  </si>
  <si>
    <t>Clinics and hospitals</t>
  </si>
  <si>
    <t>Established injectable</t>
  </si>
  <si>
    <t>Rare disease / hospital</t>
  </si>
  <si>
    <t>Atgam</t>
  </si>
  <si>
    <t>Equine antithymocyte globulin</t>
  </si>
  <si>
    <t>Polyclonal immunosuppressive antibody</t>
  </si>
  <si>
    <t>Severe aplastic anaemia and selected transplant use</t>
  </si>
  <si>
    <t>Haematologists and transplant specialists</t>
  </si>
  <si>
    <t>Acute course</t>
  </si>
  <si>
    <t>Rare hospital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</si>
</sst>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0.00;\(0.00\);\-"/>
  </numFmts>
  <fonts count="14">
    <font>
      <sz val="11"/>
      <name val="Carlito"/>
    </font>
    <font>
      <b/>
      <sz val="15"/>
      <color rgb="FF1F1F1F"/>
      <name val="Arial"/>
    </font>
    <font>
      <i/>
      <sz val="9"/>
      <color rgb="FF666666"/>
      <name val="Arial"/>
    </font>
    <font>
      <b/>
      <sz val="9"/>
      <color rgb="FF1F1F1F"/>
      <name val="Arial"/>
    </font>
    <font>
      <b/>
      <sz val="9"/>
      <color rgb="FF0000FF"/>
      <name val="Arial"/>
    </font>
    <font>
      <b/>
      <sz val="9"/>
      <color rgb="FF008000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sz val="9"/>
      <color rgb="FF1F1F1F"/>
      <name val="Arial"/>
    </font>
    <font>
      <sz val="9"/>
      <color rgb="FF0000FF"/>
      <name val="Arial"/>
    </font>
    <font>
      <i/>
      <sz val="8"/>
      <color rgb="FF666666"/>
      <name val="Arial"/>
    </font>
    <font>
      <b/>
      <sz val="8"/>
      <color rgb="FF0000FF"/>
      <name val="Arial"/>
    </font>
    <font>
      <b/>
      <sz val="8"/>
      <color rgb="FF1F1F1F"/>
      <name val="Arial"/>
    </font>
    <font>
      <b/>
      <sz val="8"/>
      <color rgb="FF008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7F8C8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E7E6E6"/>
      </patternFill>
    </fill>
  </fills>
  <borders count="23">
    <border>
      <left/>
      <right/>
      <top/>
      <bottom/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/>
      <top style="thin">
        <color rgb="FF1F1F1F"/>
      </top>
      <bottom style="double">
        <color rgb="FF1F1F1F"/>
      </bottom>
      <diagonal/>
    </border>
    <border>
      <left/>
      <right/>
      <top/>
      <bottom style="thin">
        <color rgb="FFB4C7E7"/>
      </bottom>
      <diagonal/>
    </border>
    <border>
      <left/>
      <right/>
      <top style="thin">
        <color rgb="FF7F8C8D"/>
      </top>
      <bottom style="thin">
        <color rgb="FF7F8C8D"/>
      </bottom>
      <diagonal/>
    </border>
    <border>
      <left/>
      <right/>
      <top style="medium">
        <color rgb="FF1F1F1F"/>
      </top>
      <bottom style="double">
        <color rgb="FF1F1F1F"/>
      </bottom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 style="medium">
        <color rgb="FF1F4E78"/>
      </left>
      <right/>
      <top/>
      <bottom/>
      <diagonal/>
    </border>
    <border>
      <left style="medium">
        <color rgb="FF1F4E78"/>
      </left>
      <right/>
      <top style="thin">
        <color rgb="FF1F1F1F"/>
      </top>
      <bottom style="double">
        <color rgb="FF1F1F1F"/>
      </bottom>
      <diagonal/>
    </border>
    <border>
      <left style="medium">
        <color rgb="FF1F4E78"/>
      </left>
      <right/>
      <top style="thin">
        <color rgb="FF1F4E78"/>
      </top>
      <bottom style="thin">
        <color rgb="FF1F4E78"/>
      </bottom>
      <diagonal/>
    </border>
    <border>
      <left style="medium">
        <color rgb="FF1F4E78"/>
      </left>
      <right/>
      <top/>
      <bottom style="thin">
        <color rgb="FFB4C7E7"/>
      </bottom>
      <diagonal/>
    </border>
    <border>
      <left style="medium">
        <color rgb="FF1F4E78"/>
      </left>
      <right/>
      <top style="thin">
        <color rgb="FF7F8C8D"/>
      </top>
      <bottom style="thin">
        <color rgb="FF7F8C8D"/>
      </bottom>
      <diagonal/>
    </border>
    <border>
      <left style="medium">
        <color rgb="FF1F4E78"/>
      </left>
      <right/>
      <top style="medium">
        <color rgb="FF1F1F1F"/>
      </top>
      <bottom style="double">
        <color rgb="FF1F1F1F"/>
      </bottom>
      <diagonal/>
    </border>
    <border>
      <left style="medium">
        <color rgb="FF1F4E78"/>
      </left>
      <right/>
      <top style="thin">
        <color rgb="FF1F1F1F"/>
      </top>
      <bottom style="medium">
        <color rgb="FF1F4E78"/>
      </bottom>
      <diagonal/>
    </border>
    <border>
      <left style="thin">
        <color rgb="FF7F8C8D"/>
      </left>
      <right/>
      <top/>
      <bottom style="medium">
        <color rgb="FF1F4E78"/>
      </bottom>
      <diagonal/>
    </border>
    <border>
      <left style="thin">
        <color rgb="FF7F8C8D"/>
      </left>
      <right/>
      <top/>
      <bottom/>
      <diagonal/>
    </border>
    <border>
      <left style="thin">
        <color rgb="FF7F8C8D"/>
      </left>
      <right/>
      <top style="thin">
        <color rgb="FF1F1F1F"/>
      </top>
      <bottom style="double">
        <color rgb="FF1F1F1F"/>
      </bottom>
      <diagonal/>
    </border>
    <border>
      <left style="thin">
        <color rgb="FF7F8C8D"/>
      </left>
      <right/>
      <top style="thin">
        <color rgb="FF1F4E78"/>
      </top>
      <bottom style="thin">
        <color rgb="FF1F4E78"/>
      </bottom>
      <diagonal/>
    </border>
    <border>
      <left style="thin">
        <color rgb="FF7F8C8D"/>
      </left>
      <right/>
      <top/>
      <bottom style="thin">
        <color rgb="FFB4C7E7"/>
      </bottom>
      <diagonal/>
    </border>
    <border>
      <left style="thin">
        <color rgb="FF7F8C8D"/>
      </left>
      <right/>
      <top style="thin">
        <color rgb="FF7F8C8D"/>
      </top>
      <bottom style="thin">
        <color rgb="FF7F8C8D"/>
      </bottom>
      <diagonal/>
    </border>
    <border>
      <left style="thin">
        <color rgb="FF7F8C8D"/>
      </left>
      <right/>
      <top style="medium">
        <color rgb="FF1F1F1F"/>
      </top>
      <bottom style="double">
        <color rgb="FF1F1F1F"/>
      </bottom>
      <diagonal/>
    </border>
    <border>
      <left style="thin">
        <color rgb="FF7F8C8D"/>
      </left>
      <right/>
      <top style="thin">
        <color rgb="FF1F1F1F"/>
      </top>
      <bottom style="medium">
        <color rgb="FF1F4E7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7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vertical="center"/>
    </xf>
    <xf numFmtId="164" fontId="9" fillId="4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164" fontId="3" fillId="4" borderId="3" xfId="0" applyNumberFormat="1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 wrapText="1"/>
    </xf>
    <xf numFmtId="165" fontId="9" fillId="4" borderId="0" xfId="0" applyNumberFormat="1" applyFont="1" applyFill="1" applyAlignment="1">
      <alignment vertical="center"/>
    </xf>
    <xf numFmtId="165" fontId="8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64" fontId="8" fillId="0" borderId="0" xfId="0" applyNumberFormat="1" applyFont="1" applyAlignment="1">
      <alignment vertical="center"/>
    </xf>
    <xf numFmtId="164" fontId="3" fillId="0" borderId="3" xfId="0" applyNumberFormat="1" applyFont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164" fontId="3" fillId="7" borderId="5" xfId="0" applyNumberFormat="1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164" fontId="3" fillId="0" borderId="6" xfId="0" applyNumberFormat="1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66" fontId="8" fillId="0" borderId="0" xfId="0" applyNumberFormat="1" applyFont="1" applyAlignment="1">
      <alignment vertical="center"/>
    </xf>
    <xf numFmtId="164" fontId="3" fillId="6" borderId="4" xfId="0" applyNumberFormat="1" applyFont="1" applyFill="1" applyBorder="1" applyAlignment="1">
      <alignment vertical="center"/>
    </xf>
    <xf numFmtId="0" fontId="7" fillId="5" borderId="7" xfId="0" applyFont="1" applyFill="1" applyBorder="1" applyAlignment="1">
      <alignment horizontal="center" vertical="center" wrapText="1"/>
    </xf>
    <xf numFmtId="164" fontId="8" fillId="0" borderId="8" xfId="0" applyNumberFormat="1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165" fontId="8" fillId="0" borderId="8" xfId="0" applyNumberFormat="1" applyFont="1" applyBorder="1" applyAlignment="1">
      <alignment vertical="center"/>
    </xf>
    <xf numFmtId="164" fontId="3" fillId="6" borderId="11" xfId="0" applyNumberFormat="1" applyFont="1" applyFill="1" applyBorder="1" applyAlignment="1">
      <alignment vertical="center"/>
    </xf>
    <xf numFmtId="164" fontId="3" fillId="7" borderId="12" xfId="0" applyNumberFormat="1" applyFont="1" applyFill="1" applyBorder="1" applyAlignment="1">
      <alignment vertical="center"/>
    </xf>
    <xf numFmtId="164" fontId="3" fillId="0" borderId="13" xfId="0" applyNumberFormat="1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0" fontId="7" fillId="5" borderId="15" xfId="0" applyFont="1" applyFill="1" applyBorder="1" applyAlignment="1">
      <alignment horizontal="center" vertical="center" wrapText="1"/>
    </xf>
    <xf numFmtId="164" fontId="8" fillId="0" borderId="16" xfId="0" applyNumberFormat="1" applyFont="1" applyBorder="1" applyAlignment="1">
      <alignment vertical="center"/>
    </xf>
    <xf numFmtId="164" fontId="3" fillId="0" borderId="17" xfId="0" applyNumberFormat="1" applyFont="1" applyBorder="1" applyAlignment="1">
      <alignment vertical="center"/>
    </xf>
    <xf numFmtId="165" fontId="8" fillId="0" borderId="16" xfId="0" applyNumberFormat="1" applyFont="1" applyBorder="1" applyAlignment="1">
      <alignment vertical="center"/>
    </xf>
    <xf numFmtId="164" fontId="3" fillId="6" borderId="19" xfId="0" applyNumberFormat="1" applyFont="1" applyFill="1" applyBorder="1" applyAlignment="1">
      <alignment vertical="center"/>
    </xf>
    <xf numFmtId="164" fontId="3" fillId="7" borderId="20" xfId="0" applyNumberFormat="1" applyFont="1" applyFill="1" applyBorder="1" applyAlignment="1">
      <alignment vertical="center"/>
    </xf>
    <xf numFmtId="164" fontId="3" fillId="0" borderId="21" xfId="0" applyNumberFormat="1" applyFont="1" applyBorder="1" applyAlignment="1">
      <alignment vertical="center"/>
    </xf>
    <xf numFmtId="164" fontId="3" fillId="0" borderId="22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6" xfId="0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W92"/>
  <sheetViews>
    <sheetView showGridLines="0" tabSelected="1" workbookViewId="0">
      <pane xSplit="2" ySplit="16" topLeftCell="C17" activePane="bottomRight" state="frozen"/>
      <selection pane="topRight"/>
      <selection pane="bottomLeft"/>
      <selection pane="bottomRight" activeCell="K9" sqref="K9"/>
    </sheetView>
  </sheetViews>
  <sheetFormatPr baseColWidth="10" defaultColWidth="8.83203125" defaultRowHeight="14"/>
  <cols>
    <col min="1" max="1" width="35" customWidth="1"/>
    <col min="2" max="2" width="27" customWidth="1"/>
    <col min="3" max="23" width="11" customWidth="1"/>
  </cols>
  <sheetData>
    <row r="1" spans="1:23" ht="3" customHeight="1"/>
    <row r="2" spans="1:23" ht="3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</row>
    <row r="3" spans="1:23" ht="3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3" ht="3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3" t="s">
        <v>2</v>
      </c>
      <c r="T4" s="44" t="s">
        <v>3</v>
      </c>
      <c r="U4" s="45" t="s">
        <v>4</v>
      </c>
      <c r="V4" s="42"/>
      <c r="W4" s="42"/>
    </row>
    <row r="5" spans="1:23" ht="3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</row>
    <row r="6" spans="1:23" ht="18" customHeight="1">
      <c r="A6" s="46" t="s">
        <v>5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</row>
    <row r="7" spans="1:23" ht="30" customHeight="1">
      <c r="A7" s="8" t="s">
        <v>6</v>
      </c>
      <c r="B7" s="8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24" t="s">
        <v>12</v>
      </c>
      <c r="H7" s="8" t="s">
        <v>13</v>
      </c>
      <c r="I7" s="8" t="s">
        <v>14</v>
      </c>
      <c r="J7" s="8" t="s">
        <v>15</v>
      </c>
      <c r="K7" s="8" t="s">
        <v>16</v>
      </c>
      <c r="L7" s="32" t="s">
        <v>17</v>
      </c>
      <c r="M7" s="8" t="s">
        <v>18</v>
      </c>
      <c r="N7" s="8" t="s">
        <v>19</v>
      </c>
      <c r="O7" s="8" t="s">
        <v>20</v>
      </c>
      <c r="P7" s="8" t="s">
        <v>21</v>
      </c>
      <c r="Q7" s="32" t="s">
        <v>22</v>
      </c>
      <c r="R7" s="8" t="s">
        <v>23</v>
      </c>
      <c r="S7" s="8" t="s">
        <v>24</v>
      </c>
      <c r="T7" s="8" t="s">
        <v>25</v>
      </c>
      <c r="U7" s="8" t="s">
        <v>26</v>
      </c>
      <c r="V7" s="8" t="s">
        <v>27</v>
      </c>
      <c r="W7" s="8" t="s">
        <v>28</v>
      </c>
    </row>
    <row r="8" spans="1:23" ht="16" customHeight="1">
      <c r="A8" s="2" t="s">
        <v>29</v>
      </c>
      <c r="B8" s="2"/>
      <c r="C8" s="14">
        <f t="shared" ref="C8:W8" si="0">C81</f>
        <v>23376.3</v>
      </c>
      <c r="D8" s="14">
        <f t="shared" si="0"/>
        <v>20810.400000000001</v>
      </c>
      <c r="E8" s="14">
        <f t="shared" si="0"/>
        <v>21283.599999999999</v>
      </c>
      <c r="F8" s="14">
        <f t="shared" si="0"/>
        <v>23771.1</v>
      </c>
      <c r="G8" s="25">
        <f t="shared" si="0"/>
        <v>6175.35</v>
      </c>
      <c r="H8" s="14">
        <f t="shared" si="0"/>
        <v>6277.5878232974419</v>
      </c>
      <c r="I8" s="14">
        <f t="shared" si="0"/>
        <v>6016.6719509119994</v>
      </c>
      <c r="J8" s="14">
        <f t="shared" si="0"/>
        <v>6142.8537992162437</v>
      </c>
      <c r="K8" s="14">
        <f t="shared" si="0"/>
        <v>24612.463573425684</v>
      </c>
      <c r="L8" s="33">
        <f t="shared" si="0"/>
        <v>6157.3044428824378</v>
      </c>
      <c r="M8" s="14">
        <f t="shared" si="0"/>
        <v>6533.321103756125</v>
      </c>
      <c r="N8" s="14">
        <f t="shared" si="0"/>
        <v>6623.9220061921242</v>
      </c>
      <c r="O8" s="14">
        <f t="shared" si="0"/>
        <v>6769.5880575255615</v>
      </c>
      <c r="P8" s="14">
        <f t="shared" si="0"/>
        <v>26084.13561035625</v>
      </c>
      <c r="Q8" s="33">
        <f t="shared" si="0"/>
        <v>28940.989466143837</v>
      </c>
      <c r="R8" s="14">
        <f t="shared" si="0"/>
        <v>32416.18491646945</v>
      </c>
      <c r="S8" s="14">
        <f t="shared" si="0"/>
        <v>34557.362278823595</v>
      </c>
      <c r="T8" s="14">
        <f t="shared" si="0"/>
        <v>36846.751901875818</v>
      </c>
      <c r="U8" s="14">
        <f t="shared" si="0"/>
        <v>39266.14297744818</v>
      </c>
      <c r="V8" s="14">
        <f t="shared" si="0"/>
        <v>41840.892447805316</v>
      </c>
      <c r="W8" s="14">
        <f t="shared" si="0"/>
        <v>44680.882687733108</v>
      </c>
    </row>
    <row r="9" spans="1:23" ht="16" customHeight="1">
      <c r="A9" s="2" t="s">
        <v>30</v>
      </c>
      <c r="B9" s="2"/>
      <c r="C9" s="14">
        <f t="shared" ref="C9:W9" si="1">C83</f>
        <v>846.9</v>
      </c>
      <c r="D9" s="14">
        <f t="shared" si="1"/>
        <v>1116.5</v>
      </c>
      <c r="E9" s="14">
        <f t="shared" si="1"/>
        <v>1526.4</v>
      </c>
      <c r="F9" s="14">
        <f t="shared" si="1"/>
        <v>1421.6</v>
      </c>
      <c r="G9" s="25">
        <f t="shared" si="1"/>
        <v>355.4</v>
      </c>
      <c r="H9" s="14">
        <f t="shared" si="1"/>
        <v>355.39999999999992</v>
      </c>
      <c r="I9" s="14">
        <f t="shared" si="1"/>
        <v>355.39999999999992</v>
      </c>
      <c r="J9" s="14">
        <f t="shared" si="1"/>
        <v>355.39999999999992</v>
      </c>
      <c r="K9" s="14">
        <f t="shared" si="1"/>
        <v>1421.5999999999997</v>
      </c>
      <c r="L9" s="33">
        <f t="shared" si="1"/>
        <v>355.39999999999992</v>
      </c>
      <c r="M9" s="14">
        <f t="shared" si="1"/>
        <v>355.39999999999992</v>
      </c>
      <c r="N9" s="14">
        <f t="shared" si="1"/>
        <v>355.39999999999992</v>
      </c>
      <c r="O9" s="14">
        <f t="shared" si="1"/>
        <v>355.39999999999992</v>
      </c>
      <c r="P9" s="14">
        <f t="shared" si="1"/>
        <v>1421.5999999999997</v>
      </c>
      <c r="Q9" s="33">
        <f t="shared" si="1"/>
        <v>1421.5999999999997</v>
      </c>
      <c r="R9" s="14">
        <f t="shared" si="1"/>
        <v>1421.5999999999997</v>
      </c>
      <c r="S9" s="14">
        <f t="shared" si="1"/>
        <v>1421.5999999999997</v>
      </c>
      <c r="T9" s="14">
        <f t="shared" si="1"/>
        <v>1421.5999999999997</v>
      </c>
      <c r="U9" s="14">
        <f t="shared" si="1"/>
        <v>1421.5999999999997</v>
      </c>
      <c r="V9" s="14">
        <f t="shared" si="1"/>
        <v>1421.5999999999997</v>
      </c>
      <c r="W9" s="14">
        <f t="shared" si="1"/>
        <v>1421.5999999999997</v>
      </c>
    </row>
    <row r="10" spans="1:23" ht="16" customHeight="1">
      <c r="A10" s="2" t="s">
        <v>31</v>
      </c>
      <c r="B10" s="2"/>
      <c r="C10" s="14">
        <f t="shared" ref="C10:W10" si="2">C84</f>
        <v>24.4</v>
      </c>
      <c r="D10" s="14">
        <f t="shared" si="2"/>
        <v>4.8</v>
      </c>
      <c r="E10" s="14">
        <f t="shared" si="2"/>
        <v>3.5</v>
      </c>
      <c r="F10" s="14">
        <f t="shared" si="2"/>
        <v>3.8</v>
      </c>
      <c r="G10" s="25">
        <f t="shared" si="2"/>
        <v>0.95</v>
      </c>
      <c r="H10" s="14">
        <f t="shared" si="2"/>
        <v>0.94999999999999984</v>
      </c>
      <c r="I10" s="14">
        <f t="shared" si="2"/>
        <v>0.94999999999999984</v>
      </c>
      <c r="J10" s="14">
        <f t="shared" si="2"/>
        <v>0.94999999999999984</v>
      </c>
      <c r="K10" s="14">
        <f t="shared" si="2"/>
        <v>3.7999999999999994</v>
      </c>
      <c r="L10" s="33">
        <f t="shared" si="2"/>
        <v>0.94999999999999984</v>
      </c>
      <c r="M10" s="14">
        <f t="shared" si="2"/>
        <v>0.94999999999999984</v>
      </c>
      <c r="N10" s="14">
        <f t="shared" si="2"/>
        <v>0.94999999999999984</v>
      </c>
      <c r="O10" s="14">
        <f t="shared" si="2"/>
        <v>0.94999999999999984</v>
      </c>
      <c r="P10" s="14">
        <f t="shared" si="2"/>
        <v>3.7999999999999994</v>
      </c>
      <c r="Q10" s="33">
        <f t="shared" si="2"/>
        <v>3.7999999999999994</v>
      </c>
      <c r="R10" s="14">
        <f t="shared" si="2"/>
        <v>3.7999999999999994</v>
      </c>
      <c r="S10" s="14">
        <f t="shared" si="2"/>
        <v>3.7999999999999994</v>
      </c>
      <c r="T10" s="14">
        <f t="shared" si="2"/>
        <v>3.7999999999999994</v>
      </c>
      <c r="U10" s="14">
        <f t="shared" si="2"/>
        <v>3.7999999999999994</v>
      </c>
      <c r="V10" s="14">
        <f t="shared" si="2"/>
        <v>3.7999999999999994</v>
      </c>
      <c r="W10" s="14">
        <f t="shared" si="2"/>
        <v>3.7999999999999994</v>
      </c>
    </row>
    <row r="11" spans="1:23" ht="16" customHeight="1">
      <c r="A11" s="6" t="s">
        <v>32</v>
      </c>
      <c r="B11" s="6"/>
      <c r="C11" s="15">
        <f t="shared" ref="C11:W11" si="3">C85</f>
        <v>24247.600000000002</v>
      </c>
      <c r="D11" s="15">
        <f t="shared" si="3"/>
        <v>21931.7</v>
      </c>
      <c r="E11" s="15">
        <f t="shared" si="3"/>
        <v>22813.5</v>
      </c>
      <c r="F11" s="15">
        <f t="shared" si="3"/>
        <v>25196.499999999996</v>
      </c>
      <c r="G11" s="26">
        <f t="shared" si="3"/>
        <v>6531.7</v>
      </c>
      <c r="H11" s="15">
        <f t="shared" si="3"/>
        <v>6633.9378232974414</v>
      </c>
      <c r="I11" s="15">
        <f t="shared" si="3"/>
        <v>6373.0219509119988</v>
      </c>
      <c r="J11" s="15">
        <f t="shared" si="3"/>
        <v>6499.2037992162432</v>
      </c>
      <c r="K11" s="15">
        <f t="shared" si="3"/>
        <v>26037.863573425682</v>
      </c>
      <c r="L11" s="34">
        <f t="shared" si="3"/>
        <v>6513.6544428824373</v>
      </c>
      <c r="M11" s="15">
        <f t="shared" si="3"/>
        <v>6889.6711037561245</v>
      </c>
      <c r="N11" s="15">
        <f t="shared" si="3"/>
        <v>6980.2720061921236</v>
      </c>
      <c r="O11" s="15">
        <f t="shared" si="3"/>
        <v>7125.9380575255609</v>
      </c>
      <c r="P11" s="15">
        <f t="shared" si="3"/>
        <v>27509.535610356248</v>
      </c>
      <c r="Q11" s="34">
        <f t="shared" si="3"/>
        <v>30366.389466143835</v>
      </c>
      <c r="R11" s="15">
        <f t="shared" si="3"/>
        <v>33841.584916469452</v>
      </c>
      <c r="S11" s="15">
        <f t="shared" si="3"/>
        <v>35982.762278823597</v>
      </c>
      <c r="T11" s="15">
        <f t="shared" si="3"/>
        <v>38272.151901875819</v>
      </c>
      <c r="U11" s="15">
        <f t="shared" si="3"/>
        <v>40691.542977448182</v>
      </c>
      <c r="V11" s="15">
        <f t="shared" si="3"/>
        <v>43266.292447805317</v>
      </c>
      <c r="W11" s="15">
        <f t="shared" si="3"/>
        <v>46106.28268773311</v>
      </c>
    </row>
    <row r="12" spans="1:23" ht="16" customHeight="1">
      <c r="A12" s="2" t="s">
        <v>33</v>
      </c>
      <c r="B12" s="2"/>
      <c r="C12" s="10"/>
      <c r="D12" s="10">
        <f>D11/C11-1</f>
        <v>-9.5510483511770272E-2</v>
      </c>
      <c r="E12" s="10">
        <f>E11/D11-1</f>
        <v>4.0206641528016451E-2</v>
      </c>
      <c r="F12" s="10">
        <f>F11/E11-1</f>
        <v>0.10445569509281771</v>
      </c>
      <c r="G12" s="27"/>
      <c r="H12" s="10"/>
      <c r="I12" s="10"/>
      <c r="J12" s="10"/>
      <c r="K12" s="10">
        <f>K11/F11-1</f>
        <v>3.3392081178960753E-2</v>
      </c>
      <c r="L12" s="35"/>
      <c r="M12" s="10"/>
      <c r="N12" s="10"/>
      <c r="O12" s="10"/>
      <c r="P12" s="10">
        <f>P11/K11-1</f>
        <v>5.6520460397240901E-2</v>
      </c>
      <c r="Q12" s="35">
        <f t="shared" ref="Q12:W12" si="4">Q11/P11-1</f>
        <v>0.10384958496762464</v>
      </c>
      <c r="R12" s="10">
        <f t="shared" si="4"/>
        <v>0.11444216818071795</v>
      </c>
      <c r="S12" s="10">
        <f t="shared" si="4"/>
        <v>6.327059940127433E-2</v>
      </c>
      <c r="T12" s="10">
        <f t="shared" si="4"/>
        <v>6.3624621292611705E-2</v>
      </c>
      <c r="U12" s="10">
        <f t="shared" si="4"/>
        <v>6.3215444006789134E-2</v>
      </c>
      <c r="V12" s="10">
        <f t="shared" si="4"/>
        <v>6.3274805572845816E-2</v>
      </c>
      <c r="W12" s="10">
        <f t="shared" si="4"/>
        <v>6.5639787447788311E-2</v>
      </c>
    </row>
    <row r="13" spans="1:23" ht="13">
      <c r="A13" s="42"/>
      <c r="B13" s="42"/>
      <c r="C13" s="42"/>
      <c r="D13" s="42"/>
      <c r="E13" s="42"/>
      <c r="F13" s="42"/>
      <c r="G13" s="47"/>
      <c r="H13" s="42"/>
      <c r="I13" s="42"/>
      <c r="J13" s="42"/>
      <c r="K13" s="42"/>
      <c r="L13" s="48"/>
      <c r="M13" s="42"/>
      <c r="N13" s="42"/>
      <c r="O13" s="42"/>
      <c r="P13" s="42"/>
      <c r="Q13" s="48"/>
      <c r="R13" s="42"/>
      <c r="S13" s="42"/>
      <c r="T13" s="42"/>
      <c r="U13" s="42"/>
      <c r="V13" s="42"/>
      <c r="W13" s="42"/>
    </row>
    <row r="14" spans="1:23" ht="1" customHeight="1">
      <c r="A14" s="42"/>
      <c r="B14" s="42"/>
      <c r="C14" s="42"/>
      <c r="D14" s="42"/>
      <c r="E14" s="42"/>
      <c r="F14" s="42"/>
      <c r="G14" s="47"/>
      <c r="H14" s="42"/>
      <c r="I14" s="42"/>
      <c r="J14" s="42"/>
      <c r="K14" s="42"/>
      <c r="L14" s="48"/>
      <c r="M14" s="42"/>
      <c r="N14" s="42"/>
      <c r="O14" s="42"/>
      <c r="P14" s="42"/>
      <c r="Q14" s="48"/>
      <c r="R14" s="42"/>
      <c r="S14" s="42"/>
      <c r="T14" s="42"/>
      <c r="U14" s="42"/>
      <c r="V14" s="42"/>
      <c r="W14" s="42"/>
    </row>
    <row r="15" spans="1:23" ht="18" customHeight="1">
      <c r="A15" s="46" t="s">
        <v>34</v>
      </c>
      <c r="B15" s="46"/>
      <c r="C15" s="46"/>
      <c r="D15" s="46"/>
      <c r="E15" s="46"/>
      <c r="F15" s="46"/>
      <c r="G15" s="49"/>
      <c r="H15" s="46"/>
      <c r="I15" s="46"/>
      <c r="J15" s="46"/>
      <c r="K15" s="46"/>
      <c r="L15" s="50"/>
      <c r="M15" s="46"/>
      <c r="N15" s="46"/>
      <c r="O15" s="46"/>
      <c r="P15" s="46"/>
      <c r="Q15" s="50"/>
      <c r="R15" s="46"/>
      <c r="S15" s="46"/>
      <c r="T15" s="46"/>
      <c r="U15" s="46"/>
      <c r="V15" s="46"/>
      <c r="W15" s="46"/>
    </row>
    <row r="16" spans="1:23" ht="30" customHeight="1">
      <c r="A16" s="8" t="s">
        <v>6</v>
      </c>
      <c r="B16" s="8" t="s">
        <v>7</v>
      </c>
      <c r="C16" s="1" t="s">
        <v>8</v>
      </c>
      <c r="D16" s="1" t="s">
        <v>9</v>
      </c>
      <c r="E16" s="1" t="s">
        <v>10</v>
      </c>
      <c r="F16" s="1" t="s">
        <v>11</v>
      </c>
      <c r="G16" s="24" t="s">
        <v>12</v>
      </c>
      <c r="H16" s="8" t="s">
        <v>13</v>
      </c>
      <c r="I16" s="8" t="s">
        <v>14</v>
      </c>
      <c r="J16" s="8" t="s">
        <v>15</v>
      </c>
      <c r="K16" s="8" t="s">
        <v>16</v>
      </c>
      <c r="L16" s="32" t="s">
        <v>17</v>
      </c>
      <c r="M16" s="8" t="s">
        <v>18</v>
      </c>
      <c r="N16" s="8" t="s">
        <v>19</v>
      </c>
      <c r="O16" s="8" t="s">
        <v>20</v>
      </c>
      <c r="P16" s="8" t="s">
        <v>21</v>
      </c>
      <c r="Q16" s="32" t="s">
        <v>22</v>
      </c>
      <c r="R16" s="8" t="s">
        <v>23</v>
      </c>
      <c r="S16" s="8" t="s">
        <v>24</v>
      </c>
      <c r="T16" s="8" t="s">
        <v>25</v>
      </c>
      <c r="U16" s="8" t="s">
        <v>26</v>
      </c>
      <c r="V16" s="8" t="s">
        <v>27</v>
      </c>
      <c r="W16" s="8" t="s">
        <v>28</v>
      </c>
    </row>
    <row r="17" spans="1:23" ht="16" customHeight="1">
      <c r="A17" s="16" t="s">
        <v>35</v>
      </c>
      <c r="B17" s="16"/>
      <c r="C17" s="23"/>
      <c r="D17" s="23"/>
      <c r="E17" s="23"/>
      <c r="F17" s="23"/>
      <c r="G17" s="28"/>
      <c r="H17" s="23"/>
      <c r="I17" s="23"/>
      <c r="J17" s="23"/>
      <c r="K17" s="23"/>
      <c r="L17" s="36"/>
      <c r="M17" s="23"/>
      <c r="N17" s="23"/>
      <c r="O17" s="23"/>
      <c r="P17" s="23"/>
      <c r="Q17" s="36"/>
      <c r="R17" s="23"/>
      <c r="S17" s="23"/>
      <c r="T17" s="23"/>
      <c r="U17" s="23"/>
      <c r="V17" s="23"/>
      <c r="W17" s="23"/>
    </row>
    <row r="18" spans="1:23" ht="16" customHeight="1">
      <c r="A18" s="2"/>
      <c r="B18" s="2" t="s">
        <v>36</v>
      </c>
      <c r="C18" s="14">
        <v>2350</v>
      </c>
      <c r="D18" s="14">
        <v>2450</v>
      </c>
      <c r="E18" s="14">
        <v>2600</v>
      </c>
      <c r="F18" s="14">
        <v>2760</v>
      </c>
      <c r="G18" s="25">
        <f>Assumptions!$G$16</f>
        <v>681.4606901770477</v>
      </c>
      <c r="H18" s="14">
        <f>(($F18*(1+Assumptions!$C$16)*Assumptions!$E$16)-$G18)*Assumptions!$J$16/SUM(Assumptions!$J$16:$L$16)</f>
        <v>636.88310692010418</v>
      </c>
      <c r="I18" s="14">
        <f>(($F18*(1+Assumptions!$C$16)*Assumptions!$E$16)-$G18)*Assumptions!$K$16/SUM(Assumptions!$J$16:$L$16)</f>
        <v>692.26424665228706</v>
      </c>
      <c r="J18" s="14">
        <f>(($F18*(1+Assumptions!$C$16)*Assumptions!$E$16)-$G18)*Assumptions!$L$16/SUM(Assumptions!$J$16:$L$16)</f>
        <v>775.33595625056171</v>
      </c>
      <c r="K18" s="14">
        <f>SUM(G18:J18)</f>
        <v>2785.9440000000004</v>
      </c>
      <c r="L18" s="33">
        <f>($K18*(1+Assumptions!$C$16)*Assumptions!$F$16)*Assumptions!$I$16</f>
        <v>674.91164966400027</v>
      </c>
      <c r="M18" s="14">
        <f>($K18*(1+Assumptions!$C$16)*Assumptions!$F$16)*Assumptions!$J$16</f>
        <v>646.79033092800034</v>
      </c>
      <c r="N18" s="14">
        <f>($K18*(1+Assumptions!$C$16)*Assumptions!$F$16)*Assumptions!$K$16</f>
        <v>703.0329684000003</v>
      </c>
      <c r="O18" s="14">
        <f>($K18*(1+Assumptions!$C$16)*Assumptions!$F$16)*Assumptions!$L$16</f>
        <v>787.3969246080004</v>
      </c>
      <c r="P18" s="14">
        <f>SUM(L18:O18)</f>
        <v>2812.1318736000012</v>
      </c>
      <c r="Q18" s="33">
        <f>$P18*(1+Assumptions!$C$16)*Assumptions!$F$16</f>
        <v>2838.5659132118417</v>
      </c>
      <c r="R18" s="14">
        <f>$Q18*(1+Assumptions!$C$16)*Assumptions!$F$16</f>
        <v>2865.2484327960337</v>
      </c>
      <c r="S18" s="14">
        <f>$R18*(1+Assumptions!$D$16)*Assumptions!$F$16</f>
        <v>2819.4044578712974</v>
      </c>
      <c r="T18" s="14">
        <f>$S18*(1+Assumptions!$D$16)*Assumptions!$F$16</f>
        <v>2774.2939865453568</v>
      </c>
      <c r="U18" s="14">
        <f>$T18*(1+Assumptions!$D$16)*Assumptions!$F$16</f>
        <v>2729.9052827606311</v>
      </c>
      <c r="V18" s="14">
        <f>$U18*(1+Assumptions!$D$16)*Assumptions!$F$16</f>
        <v>2686.226798236461</v>
      </c>
      <c r="W18" s="14">
        <f>$V18*(1+Assumptions!$D$16)*Assumptions!$F$16</f>
        <v>2643.2471694646779</v>
      </c>
    </row>
    <row r="19" spans="1:23" ht="16" customHeight="1">
      <c r="A19" s="2"/>
      <c r="B19" s="2" t="s">
        <v>37</v>
      </c>
      <c r="C19" s="14">
        <v>0</v>
      </c>
      <c r="D19" s="14">
        <v>0</v>
      </c>
      <c r="E19" s="14">
        <v>0</v>
      </c>
      <c r="F19" s="14">
        <v>820</v>
      </c>
      <c r="G19" s="25">
        <f>Assumptions!$G$17</f>
        <v>278.90305531868967</v>
      </c>
      <c r="H19" s="14">
        <f>(($F19*(1+Assumptions!$C$17)*Assumptions!$E$17)-$G19)*Assumptions!$J$17/SUM(Assumptions!$J$17:$L$17)</f>
        <v>260.65868062723865</v>
      </c>
      <c r="I19" s="14">
        <f>(($F19*(1+Assumptions!$C$17)*Assumptions!$E$17)-$G19)*Assumptions!$K$17/SUM(Assumptions!$J$17:$L$17)</f>
        <v>283.32465285569418</v>
      </c>
      <c r="J19" s="14">
        <f>(($F19*(1+Assumptions!$C$17)*Assumptions!$E$17)-$G19)*Assumptions!$L$17/SUM(Assumptions!$J$17:$L$17)</f>
        <v>317.32361119837753</v>
      </c>
      <c r="K19" s="14">
        <f>SUM(G19:J19)</f>
        <v>1140.21</v>
      </c>
      <c r="L19" s="33">
        <f>($K19*(1+Assumptions!$C$17)*Assumptions!$F$17)*Assumptions!$I$17</f>
        <v>380.51088120000014</v>
      </c>
      <c r="M19" s="14">
        <f>($K19*(1+Assumptions!$C$17)*Assumptions!$F$17)*Assumptions!$J$17</f>
        <v>364.65626115000015</v>
      </c>
      <c r="N19" s="14">
        <f>($K19*(1+Assumptions!$C$17)*Assumptions!$F$17)*Assumptions!$K$17</f>
        <v>396.36550125000014</v>
      </c>
      <c r="O19" s="14">
        <f>($K19*(1+Assumptions!$C$17)*Assumptions!$F$17)*Assumptions!$L$17</f>
        <v>443.92936140000018</v>
      </c>
      <c r="P19" s="14">
        <f>SUM(L19:O19)</f>
        <v>1585.4620050000008</v>
      </c>
      <c r="Q19" s="33">
        <f>$P19*(1+Assumptions!$C$17)*Assumptions!$F$17</f>
        <v>2204.5849179525017</v>
      </c>
      <c r="R19" s="14">
        <f>$Q19*(1+Assumptions!$C$17)*Assumptions!$F$17</f>
        <v>3065.4753284129542</v>
      </c>
      <c r="S19" s="14">
        <f>$R19*(1+Assumptions!$D$17)*Assumptions!$F$17</f>
        <v>3519.1656770180721</v>
      </c>
      <c r="T19" s="14">
        <f>$S19*(1+Assumptions!$D$17)*Assumptions!$F$17</f>
        <v>4040.0021972167474</v>
      </c>
      <c r="U19" s="14">
        <f>$T19*(1+Assumptions!$D$17)*Assumptions!$F$17</f>
        <v>4637.9225224048269</v>
      </c>
      <c r="V19" s="14">
        <f>$U19*(1+Assumptions!$D$17)*Assumptions!$F$17</f>
        <v>5324.3350557207414</v>
      </c>
      <c r="W19" s="14">
        <f>$V19*(1+Assumptions!$D$17)*Assumptions!$F$17</f>
        <v>6112.3366439674119</v>
      </c>
    </row>
    <row r="20" spans="1:23" ht="16" customHeight="1">
      <c r="A20" s="2"/>
      <c r="B20" s="2" t="s">
        <v>38</v>
      </c>
      <c r="C20" s="14">
        <v>130</v>
      </c>
      <c r="D20" s="14">
        <v>125</v>
      </c>
      <c r="E20" s="14">
        <v>120</v>
      </c>
      <c r="F20" s="14">
        <v>120</v>
      </c>
      <c r="G20" s="25">
        <f>Assumptions!$G$18</f>
        <v>30.83806140109089</v>
      </c>
      <c r="H20" s="14">
        <f>(($F20*(1+Assumptions!$C$18)*Assumptions!$E$18)-$G20)*Assumptions!$J$18/SUM(Assumptions!$J$18:$L$18)</f>
        <v>28.820797207564599</v>
      </c>
      <c r="I20" s="14">
        <f>(($F20*(1+Assumptions!$C$18)*Assumptions!$E$18)-$G20)*Assumptions!$K$18/SUM(Assumptions!$J$18:$L$18)</f>
        <v>31.326953486483259</v>
      </c>
      <c r="J20" s="14">
        <f>(($F20*(1+Assumptions!$C$18)*Assumptions!$E$18)-$G20)*Assumptions!$L$18/SUM(Assumptions!$J$18:$L$18)</f>
        <v>35.086187904861248</v>
      </c>
      <c r="K20" s="14">
        <f>SUM(G20:J20)</f>
        <v>126.072</v>
      </c>
      <c r="L20" s="33">
        <f>($K20*(1+Assumptions!$C$18)*Assumptions!$F$18)*Assumptions!$I$18</f>
        <v>31.788298368000003</v>
      </c>
      <c r="M20" s="14">
        <f>($K20*(1+Assumptions!$C$18)*Assumptions!$F$18)*Assumptions!$J$18</f>
        <v>30.463785936000008</v>
      </c>
      <c r="N20" s="14">
        <f>($K20*(1+Assumptions!$C$18)*Assumptions!$F$18)*Assumptions!$K$18</f>
        <v>33.112810800000005</v>
      </c>
      <c r="O20" s="14">
        <f>($K20*(1+Assumptions!$C$18)*Assumptions!$F$18)*Assumptions!$L$18</f>
        <v>37.086348096000009</v>
      </c>
      <c r="P20" s="14">
        <f>SUM(L20:O20)</f>
        <v>132.45124320000002</v>
      </c>
      <c r="Q20" s="33">
        <f>$P20*(1+Assumptions!$C$18)*Assumptions!$F$18</f>
        <v>139.15327610592004</v>
      </c>
      <c r="R20" s="14">
        <f>$Q20*(1+Assumptions!$C$18)*Assumptions!$F$18</f>
        <v>146.19443187687963</v>
      </c>
      <c r="S20" s="14">
        <f>$R20*(1+Assumptions!$D$18)*Assumptions!$F$18</f>
        <v>151.34778560053968</v>
      </c>
      <c r="T20" s="14">
        <f>$S20*(1+Assumptions!$D$18)*Assumptions!$F$18</f>
        <v>156.68279504295873</v>
      </c>
      <c r="U20" s="14">
        <f>$T20*(1+Assumptions!$D$18)*Assumptions!$F$18</f>
        <v>162.20586356822307</v>
      </c>
      <c r="V20" s="14">
        <f>$U20*(1+Assumptions!$D$18)*Assumptions!$F$18</f>
        <v>167.92362025900294</v>
      </c>
      <c r="W20" s="14">
        <f>$V20*(1+Assumptions!$D$18)*Assumptions!$F$18</f>
        <v>173.84292787313282</v>
      </c>
    </row>
    <row r="21" spans="1:23" ht="16" customHeight="1">
      <c r="A21" s="2"/>
      <c r="B21" s="2" t="s">
        <v>39</v>
      </c>
      <c r="C21" s="14">
        <v>0</v>
      </c>
      <c r="D21" s="14">
        <v>0</v>
      </c>
      <c r="E21" s="14">
        <v>0</v>
      </c>
      <c r="F21" s="14">
        <v>0</v>
      </c>
      <c r="G21" s="25">
        <v>0</v>
      </c>
      <c r="H21" s="14">
        <v>0</v>
      </c>
      <c r="I21" s="14">
        <v>0</v>
      </c>
      <c r="J21" s="14">
        <v>0</v>
      </c>
      <c r="K21" s="14">
        <v>0</v>
      </c>
      <c r="L21" s="33">
        <v>0</v>
      </c>
      <c r="M21" s="14">
        <v>0</v>
      </c>
      <c r="N21" s="14">
        <v>0</v>
      </c>
      <c r="O21" s="14">
        <v>0</v>
      </c>
      <c r="P21" s="14">
        <v>0</v>
      </c>
      <c r="Q21" s="33">
        <f>Assumptions!$C$72*Assumptions!$D$72</f>
        <v>162</v>
      </c>
      <c r="R21" s="14">
        <f>Assumptions!$C$72*Assumptions!$E$72</f>
        <v>364.5</v>
      </c>
      <c r="S21" s="14">
        <f>Assumptions!$C$72*Assumptions!$F$72</f>
        <v>567</v>
      </c>
      <c r="T21" s="14">
        <f>Assumptions!$C$72*Assumptions!$G$72</f>
        <v>729</v>
      </c>
      <c r="U21" s="14">
        <f>Assumptions!$C$72*Assumptions!$H$72</f>
        <v>810</v>
      </c>
      <c r="V21" s="14">
        <f>Assumptions!$C$72*Assumptions!$I$72</f>
        <v>810</v>
      </c>
      <c r="W21" s="14">
        <f>Assumptions!$C$72*Assumptions!$J$72</f>
        <v>810</v>
      </c>
    </row>
    <row r="22" spans="1:23" ht="16" customHeight="1">
      <c r="A22" s="17" t="s">
        <v>35</v>
      </c>
      <c r="B22" s="17" t="s">
        <v>40</v>
      </c>
      <c r="C22" s="18">
        <f t="shared" ref="C22:W22" si="5">SUM(C18:C21)</f>
        <v>2480</v>
      </c>
      <c r="D22" s="18">
        <f t="shared" si="5"/>
        <v>2575</v>
      </c>
      <c r="E22" s="18">
        <f t="shared" si="5"/>
        <v>2720</v>
      </c>
      <c r="F22" s="18">
        <f t="shared" si="5"/>
        <v>3700</v>
      </c>
      <c r="G22" s="29">
        <f t="shared" si="5"/>
        <v>991.2018068968282</v>
      </c>
      <c r="H22" s="18">
        <f t="shared" si="5"/>
        <v>926.36258475490752</v>
      </c>
      <c r="I22" s="18">
        <f t="shared" si="5"/>
        <v>1006.9158529944646</v>
      </c>
      <c r="J22" s="18">
        <f t="shared" si="5"/>
        <v>1127.7457553538004</v>
      </c>
      <c r="K22" s="18">
        <f t="shared" si="5"/>
        <v>4052.2260000000006</v>
      </c>
      <c r="L22" s="37">
        <f t="shared" si="5"/>
        <v>1087.2108292320004</v>
      </c>
      <c r="M22" s="18">
        <f t="shared" si="5"/>
        <v>1041.9103780140006</v>
      </c>
      <c r="N22" s="18">
        <f t="shared" si="5"/>
        <v>1132.5112804500004</v>
      </c>
      <c r="O22" s="18">
        <f t="shared" si="5"/>
        <v>1268.4126341040005</v>
      </c>
      <c r="P22" s="18">
        <f t="shared" si="5"/>
        <v>4530.0451218000026</v>
      </c>
      <c r="Q22" s="37">
        <f t="shared" si="5"/>
        <v>5344.3041072702626</v>
      </c>
      <c r="R22" s="18">
        <f t="shared" si="5"/>
        <v>6441.4181930858676</v>
      </c>
      <c r="S22" s="18">
        <f t="shared" si="5"/>
        <v>7056.9179204899083</v>
      </c>
      <c r="T22" s="18">
        <f t="shared" si="5"/>
        <v>7699.978978805063</v>
      </c>
      <c r="U22" s="18">
        <f t="shared" si="5"/>
        <v>8340.0336687336821</v>
      </c>
      <c r="V22" s="18">
        <f t="shared" si="5"/>
        <v>8988.4854742162061</v>
      </c>
      <c r="W22" s="18">
        <f t="shared" si="5"/>
        <v>9739.4267413052221</v>
      </c>
    </row>
    <row r="23" spans="1:23" ht="16" customHeight="1">
      <c r="A23" s="2"/>
      <c r="B23" s="2"/>
      <c r="C23" s="14"/>
      <c r="D23" s="14"/>
      <c r="E23" s="14"/>
      <c r="F23" s="14"/>
      <c r="G23" s="25"/>
      <c r="H23" s="14"/>
      <c r="I23" s="14"/>
      <c r="J23" s="14"/>
      <c r="K23" s="14"/>
      <c r="L23" s="33"/>
      <c r="M23" s="14"/>
      <c r="N23" s="14"/>
      <c r="O23" s="14"/>
      <c r="P23" s="14"/>
      <c r="Q23" s="33"/>
      <c r="R23" s="14"/>
      <c r="S23" s="14"/>
      <c r="T23" s="14"/>
      <c r="U23" s="14"/>
      <c r="V23" s="14"/>
      <c r="W23" s="14"/>
    </row>
    <row r="24" spans="1:23" ht="16" customHeight="1">
      <c r="A24" s="16" t="s">
        <v>41</v>
      </c>
      <c r="B24" s="16"/>
      <c r="C24" s="23"/>
      <c r="D24" s="23"/>
      <c r="E24" s="23"/>
      <c r="F24" s="23"/>
      <c r="G24" s="28"/>
      <c r="H24" s="23"/>
      <c r="I24" s="23"/>
      <c r="J24" s="23"/>
      <c r="K24" s="23"/>
      <c r="L24" s="36"/>
      <c r="M24" s="23"/>
      <c r="N24" s="23"/>
      <c r="O24" s="23"/>
      <c r="P24" s="23"/>
      <c r="Q24" s="36"/>
      <c r="R24" s="23"/>
      <c r="S24" s="23"/>
      <c r="T24" s="23"/>
      <c r="U24" s="23"/>
      <c r="V24" s="23"/>
      <c r="W24" s="23"/>
    </row>
    <row r="25" spans="1:23" ht="16" customHeight="1">
      <c r="A25" s="2"/>
      <c r="B25" s="2" t="s">
        <v>42</v>
      </c>
      <c r="C25" s="14">
        <v>1700</v>
      </c>
      <c r="D25" s="14">
        <v>650</v>
      </c>
      <c r="E25" s="14">
        <v>1050</v>
      </c>
      <c r="F25" s="14">
        <v>1400</v>
      </c>
      <c r="G25" s="25">
        <f>Assumptions!$G$20</f>
        <v>379.09153150113161</v>
      </c>
      <c r="H25" s="14">
        <f>(($F25*(1+Assumptions!$C$20)*Assumptions!$E$20)-$G25)*Assumptions!$J$20/SUM(Assumptions!$J$20:$L$20)</f>
        <v>385.10146990094353</v>
      </c>
      <c r="I25" s="14">
        <f>(($F25*(1+Assumptions!$C$20)*Assumptions!$E$20)-$G25)*Assumptions!$K$20/SUM(Assumptions!$J$20:$L$20)</f>
        <v>385.10146990094353</v>
      </c>
      <c r="J25" s="14">
        <f>(($F25*(1+Assumptions!$C$20)*Assumptions!$E$20)-$G25)*Assumptions!$L$20/SUM(Assumptions!$J$20:$L$20)</f>
        <v>400.50552869698123</v>
      </c>
      <c r="K25" s="14">
        <f t="shared" ref="K25:K30" si="6">SUM(G25:J25)</f>
        <v>1549.8</v>
      </c>
      <c r="L25" s="33">
        <f>($K25*(1+Assumptions!$C$20)*Assumptions!$F$20)*Assumptions!$I$20</f>
        <v>411.75086399999998</v>
      </c>
      <c r="M25" s="14">
        <f>($K25*(1+Assumptions!$C$20)*Assumptions!$F$20)*Assumptions!$J$20</f>
        <v>428.90715</v>
      </c>
      <c r="N25" s="14">
        <f>($K25*(1+Assumptions!$C$20)*Assumptions!$F$20)*Assumptions!$K$20</f>
        <v>428.90715</v>
      </c>
      <c r="O25" s="14">
        <f>($K25*(1+Assumptions!$C$20)*Assumptions!$F$20)*Assumptions!$L$20</f>
        <v>446.06343600000002</v>
      </c>
      <c r="P25" s="14">
        <f t="shared" ref="P25:P30" si="7">SUM(L25:O25)</f>
        <v>1715.6286</v>
      </c>
      <c r="Q25" s="33">
        <f>$P25*(1+Assumptions!$C$20)*Assumptions!$F$20</f>
        <v>1899.2008602000001</v>
      </c>
      <c r="R25" s="14">
        <f>$Q25*(1+Assumptions!$C$20)*Assumptions!$F$20</f>
        <v>2102.4153522413999</v>
      </c>
      <c r="S25" s="14">
        <f>$R25*(1+Assumptions!$D$20)*Assumptions!$F$20</f>
        <v>2251.6868422505395</v>
      </c>
      <c r="T25" s="14">
        <f>$S25*(1+Assumptions!$D$20)*Assumptions!$F$20</f>
        <v>2411.5566080503281</v>
      </c>
      <c r="U25" s="14">
        <f>$T25*(1+Assumptions!$D$20)*Assumptions!$F$20</f>
        <v>2582.777127221902</v>
      </c>
      <c r="V25" s="14">
        <f>$U25*(1+Assumptions!$D$20)*Assumptions!$F$20</f>
        <v>2766.1543032546574</v>
      </c>
      <c r="W25" s="14">
        <f>$V25*(1+Assumptions!$D$20)*Assumptions!$F$20</f>
        <v>2962.5512587857384</v>
      </c>
    </row>
    <row r="26" spans="1:23" ht="16" customHeight="1">
      <c r="A26" s="2"/>
      <c r="B26" s="2" t="s">
        <v>43</v>
      </c>
      <c r="C26" s="14">
        <v>880</v>
      </c>
      <c r="D26" s="14">
        <v>820</v>
      </c>
      <c r="E26" s="14">
        <v>870</v>
      </c>
      <c r="F26" s="14">
        <v>920</v>
      </c>
      <c r="G26" s="25">
        <f>Assumptions!$G$21</f>
        <v>242.19736734794517</v>
      </c>
      <c r="H26" s="14">
        <f>(($F26*(1+Assumptions!$C$21)*Assumptions!$E$21)-$G26)*Assumptions!$J$21/SUM(Assumptions!$J$21:$L$21)</f>
        <v>246.03705021449173</v>
      </c>
      <c r="I26" s="14">
        <f>(($F26*(1+Assumptions!$C$21)*Assumptions!$E$21)-$G26)*Assumptions!$K$21/SUM(Assumptions!$J$21:$L$21)</f>
        <v>246.03705021449173</v>
      </c>
      <c r="J26" s="14">
        <f>(($F26*(1+Assumptions!$C$21)*Assumptions!$E$21)-$G26)*Assumptions!$L$21/SUM(Assumptions!$J$21:$L$21)</f>
        <v>255.8785322230714</v>
      </c>
      <c r="K26" s="14">
        <f t="shared" si="6"/>
        <v>990.15</v>
      </c>
      <c r="L26" s="33">
        <f>($K26*(1+Assumptions!$C$21)*Assumptions!$F$21)*Assumptions!$I$21</f>
        <v>255.75574500000002</v>
      </c>
      <c r="M26" s="14">
        <f>($K26*(1+Assumptions!$C$21)*Assumptions!$F$21)*Assumptions!$J$21</f>
        <v>266.41223437500003</v>
      </c>
      <c r="N26" s="14">
        <f>($K26*(1+Assumptions!$C$21)*Assumptions!$F$21)*Assumptions!$K$21</f>
        <v>266.41223437500003</v>
      </c>
      <c r="O26" s="14">
        <f>($K26*(1+Assumptions!$C$21)*Assumptions!$F$21)*Assumptions!$L$21</f>
        <v>277.06872375000006</v>
      </c>
      <c r="P26" s="14">
        <f t="shared" si="7"/>
        <v>1065.6489375000001</v>
      </c>
      <c r="Q26" s="33">
        <f>$P26*(1+Assumptions!$C$21)*Assumptions!$F$21</f>
        <v>1146.9046689843753</v>
      </c>
      <c r="R26" s="14">
        <f>$Q26*(1+Assumptions!$C$21)*Assumptions!$F$21</f>
        <v>1234.3561499944342</v>
      </c>
      <c r="S26" s="14">
        <f>$R26*(1+Assumptions!$D$21)*Assumptions!$F$21</f>
        <v>1296.8145711841528</v>
      </c>
      <c r="T26" s="14">
        <f>$S26*(1+Assumptions!$D$21)*Assumptions!$F$21</f>
        <v>1362.4333884860712</v>
      </c>
      <c r="U26" s="14">
        <f>$T26*(1+Assumptions!$D$21)*Assumptions!$F$21</f>
        <v>1431.3725179434666</v>
      </c>
      <c r="V26" s="14">
        <f>$U26*(1+Assumptions!$D$21)*Assumptions!$F$21</f>
        <v>1503.7999673514062</v>
      </c>
      <c r="W26" s="14">
        <f>$V26*(1+Assumptions!$D$21)*Assumptions!$F$21</f>
        <v>1579.8922456993878</v>
      </c>
    </row>
    <row r="27" spans="1:23" ht="16" customHeight="1">
      <c r="A27" s="2"/>
      <c r="B27" s="2" t="s">
        <v>44</v>
      </c>
      <c r="C27" s="14">
        <v>650</v>
      </c>
      <c r="D27" s="14">
        <v>720</v>
      </c>
      <c r="E27" s="14">
        <v>800</v>
      </c>
      <c r="F27" s="14">
        <v>880</v>
      </c>
      <c r="G27" s="25">
        <f>Assumptions!$G$22</f>
        <v>238.28610551499699</v>
      </c>
      <c r="H27" s="14">
        <f>(($F27*(1+Assumptions!$C$22)*Assumptions!$E$22)-$G27)*Assumptions!$J$22/SUM(Assumptions!$J$22:$L$22)</f>
        <v>242.06378108059317</v>
      </c>
      <c r="I27" s="14">
        <f>(($F27*(1+Assumptions!$C$22)*Assumptions!$E$22)-$G27)*Assumptions!$K$22/SUM(Assumptions!$J$22:$L$22)</f>
        <v>242.06378108059317</v>
      </c>
      <c r="J27" s="14">
        <f>(($F27*(1+Assumptions!$C$22)*Assumptions!$E$22)-$G27)*Assumptions!$L$22/SUM(Assumptions!$J$22:$L$22)</f>
        <v>251.74633232381692</v>
      </c>
      <c r="K27" s="14">
        <f t="shared" si="6"/>
        <v>974.16000000000031</v>
      </c>
      <c r="L27" s="33">
        <f>($K27*(1+Assumptions!$C$22)*Assumptions!$F$22)*Assumptions!$I$22</f>
        <v>258.8148288000001</v>
      </c>
      <c r="M27" s="14">
        <f>($K27*(1+Assumptions!$C$22)*Assumptions!$F$22)*Assumptions!$J$22</f>
        <v>269.59878000000009</v>
      </c>
      <c r="N27" s="14">
        <f>($K27*(1+Assumptions!$C$22)*Assumptions!$F$22)*Assumptions!$K$22</f>
        <v>269.59878000000009</v>
      </c>
      <c r="O27" s="14">
        <f>($K27*(1+Assumptions!$C$22)*Assumptions!$F$22)*Assumptions!$L$22</f>
        <v>280.38273120000008</v>
      </c>
      <c r="P27" s="14">
        <f t="shared" si="7"/>
        <v>1078.3951200000004</v>
      </c>
      <c r="Q27" s="33">
        <f>$P27*(1+Assumptions!$C$22)*Assumptions!$F$22</f>
        <v>1193.7833978400004</v>
      </c>
      <c r="R27" s="14">
        <f>$Q27*(1+Assumptions!$C$22)*Assumptions!$F$22</f>
        <v>1321.5182214088804</v>
      </c>
      <c r="S27" s="14">
        <f>$R27*(1+Assumptions!$D$22)*Assumptions!$F$22</f>
        <v>1415.3460151289112</v>
      </c>
      <c r="T27" s="14">
        <f>$S27*(1+Assumptions!$D$22)*Assumptions!$F$22</f>
        <v>1515.8355822030642</v>
      </c>
      <c r="U27" s="14">
        <f>$T27*(1+Assumptions!$D$22)*Assumptions!$F$22</f>
        <v>1623.4599085394821</v>
      </c>
      <c r="V27" s="14">
        <f>$U27*(1+Assumptions!$D$22)*Assumptions!$F$22</f>
        <v>1738.7255620457856</v>
      </c>
      <c r="W27" s="14">
        <f>$V27*(1+Assumptions!$D$22)*Assumptions!$F$22</f>
        <v>1862.1750769510368</v>
      </c>
    </row>
    <row r="28" spans="1:23" ht="16" customHeight="1">
      <c r="A28" s="2"/>
      <c r="B28" s="2" t="s">
        <v>45</v>
      </c>
      <c r="C28" s="14">
        <v>350</v>
      </c>
      <c r="D28" s="14">
        <v>330</v>
      </c>
      <c r="E28" s="14">
        <v>315</v>
      </c>
      <c r="F28" s="14">
        <v>300</v>
      </c>
      <c r="G28" s="25">
        <f>Assumptions!$G$23</f>
        <v>75.216573710541979</v>
      </c>
      <c r="H28" s="14">
        <f>(($F28*(1+Assumptions!$C$23)*Assumptions!$E$23)-$G28)*Assumptions!$J$23/SUM(Assumptions!$J$23:$L$23)</f>
        <v>76.409021805742768</v>
      </c>
      <c r="I28" s="14">
        <f>(($F28*(1+Assumptions!$C$23)*Assumptions!$E$23)-$G28)*Assumptions!$K$23/SUM(Assumptions!$J$23:$L$23)</f>
        <v>76.409021805742768</v>
      </c>
      <c r="J28" s="14">
        <f>(($F28*(1+Assumptions!$C$23)*Assumptions!$E$23)-$G28)*Assumptions!$L$23/SUM(Assumptions!$J$23:$L$23)</f>
        <v>79.465382677972485</v>
      </c>
      <c r="K28" s="14">
        <f t="shared" si="6"/>
        <v>307.5</v>
      </c>
      <c r="L28" s="33">
        <f>($K28*(1+Assumptions!$C$23)*Assumptions!$F$23)*Assumptions!$I$23</f>
        <v>75.644999999999996</v>
      </c>
      <c r="M28" s="14">
        <f>($K28*(1+Assumptions!$C$23)*Assumptions!$F$23)*Assumptions!$J$23</f>
        <v>78.796875</v>
      </c>
      <c r="N28" s="14">
        <f>($K28*(1+Assumptions!$C$23)*Assumptions!$F$23)*Assumptions!$K$23</f>
        <v>78.796875</v>
      </c>
      <c r="O28" s="14">
        <f>($K28*(1+Assumptions!$C$23)*Assumptions!$F$23)*Assumptions!$L$23</f>
        <v>81.948750000000004</v>
      </c>
      <c r="P28" s="14">
        <f t="shared" si="7"/>
        <v>315.1875</v>
      </c>
      <c r="Q28" s="33">
        <f>$P28*(1+Assumptions!$C$23)*Assumptions!$F$23</f>
        <v>323.06718749999999</v>
      </c>
      <c r="R28" s="14">
        <f>$Q28*(1+Assumptions!$C$23)*Assumptions!$F$23</f>
        <v>331.14386718749995</v>
      </c>
      <c r="S28" s="14">
        <f>$R28*(1+Assumptions!$D$23)*Assumptions!$F$23</f>
        <v>331.01140964062495</v>
      </c>
      <c r="T28" s="14">
        <f>$S28*(1+Assumptions!$D$23)*Assumptions!$F$23</f>
        <v>330.87900507676869</v>
      </c>
      <c r="U28" s="14">
        <f>$T28*(1+Assumptions!$D$23)*Assumptions!$F$23</f>
        <v>330.74665347473803</v>
      </c>
      <c r="V28" s="14">
        <f>$U28*(1+Assumptions!$D$23)*Assumptions!$F$23</f>
        <v>330.61435481334814</v>
      </c>
      <c r="W28" s="14">
        <f>$V28*(1+Assumptions!$D$23)*Assumptions!$F$23</f>
        <v>330.48210907142283</v>
      </c>
    </row>
    <row r="29" spans="1:23" ht="16" customHeight="1">
      <c r="A29" s="2"/>
      <c r="B29" s="2" t="s">
        <v>46</v>
      </c>
      <c r="C29" s="14">
        <v>0</v>
      </c>
      <c r="D29" s="14">
        <v>0</v>
      </c>
      <c r="E29" s="14">
        <v>0</v>
      </c>
      <c r="F29" s="14">
        <v>180</v>
      </c>
      <c r="G29" s="25">
        <f>Assumptions!$G$24</f>
        <v>65.438419128171518</v>
      </c>
      <c r="H29" s="14">
        <f>(($F29*(1+Assumptions!$C$24)*Assumptions!$E$24)-$G29)*Assumptions!$J$24/SUM(Assumptions!$J$24:$L$24)</f>
        <v>66.475848970996196</v>
      </c>
      <c r="I29" s="14">
        <f>(($F29*(1+Assumptions!$C$24)*Assumptions!$E$24)-$G29)*Assumptions!$K$24/SUM(Assumptions!$J$24:$L$24)</f>
        <v>66.475848970996196</v>
      </c>
      <c r="J29" s="14">
        <f>(($F29*(1+Assumptions!$C$24)*Assumptions!$E$24)-$G29)*Assumptions!$L$24/SUM(Assumptions!$J$24:$L$24)</f>
        <v>69.134882929836053</v>
      </c>
      <c r="K29" s="14">
        <f t="shared" si="6"/>
        <v>267.52499999999998</v>
      </c>
      <c r="L29" s="33">
        <f>($K29*(1+Assumptions!$C$24)*Assumptions!$F$24)*Assumptions!$I$24</f>
        <v>95.426167499999977</v>
      </c>
      <c r="M29" s="14">
        <f>($K29*(1+Assumptions!$C$24)*Assumptions!$F$24)*Assumptions!$J$24</f>
        <v>99.402257812499982</v>
      </c>
      <c r="N29" s="14">
        <f>($K29*(1+Assumptions!$C$24)*Assumptions!$F$24)*Assumptions!$K$24</f>
        <v>99.402257812499982</v>
      </c>
      <c r="O29" s="14">
        <f>($K29*(1+Assumptions!$C$24)*Assumptions!$F$24)*Assumptions!$L$24</f>
        <v>103.37834812499999</v>
      </c>
      <c r="P29" s="14">
        <f t="shared" si="7"/>
        <v>397.60903124999993</v>
      </c>
      <c r="Q29" s="33">
        <f>$P29*(1+Assumptions!$C$24)*Assumptions!$F$24</f>
        <v>590.94642269531232</v>
      </c>
      <c r="R29" s="14">
        <f>$Q29*(1+Assumptions!$C$24)*Assumptions!$F$24</f>
        <v>878.29412073090782</v>
      </c>
      <c r="S29" s="14">
        <f>$R29*(1+Assumptions!$D$24)*Assumptions!$F$24</f>
        <v>1030.2390036173547</v>
      </c>
      <c r="T29" s="14">
        <f>$S29*(1+Assumptions!$D$24)*Assumptions!$F$24</f>
        <v>1208.4703512431568</v>
      </c>
      <c r="U29" s="14">
        <f>$T29*(1+Assumptions!$D$24)*Assumptions!$F$24</f>
        <v>1417.5357220082226</v>
      </c>
      <c r="V29" s="14">
        <f>$U29*(1+Assumptions!$D$24)*Assumptions!$F$24</f>
        <v>1662.7694019156449</v>
      </c>
      <c r="W29" s="14">
        <f>$V29*(1+Assumptions!$D$24)*Assumptions!$F$24</f>
        <v>1950.4285084470512</v>
      </c>
    </row>
    <row r="30" spans="1:23" ht="16" customHeight="1">
      <c r="A30" s="2"/>
      <c r="B30" s="2" t="s">
        <v>47</v>
      </c>
      <c r="C30" s="14">
        <v>680</v>
      </c>
      <c r="D30" s="14">
        <v>480</v>
      </c>
      <c r="E30" s="14">
        <v>540</v>
      </c>
      <c r="F30" s="14">
        <v>600</v>
      </c>
      <c r="G30" s="25">
        <f>Assumptions!$G$25</f>
        <v>154.94614184371648</v>
      </c>
      <c r="H30" s="14">
        <f>(($F30*(1+Assumptions!$C$25)*Assumptions!$E$25)-$G30)*Assumptions!$J$25/SUM(Assumptions!$J$25:$L$25)</f>
        <v>157.40258491983008</v>
      </c>
      <c r="I30" s="14">
        <f>(($F30*(1+Assumptions!$C$25)*Assumptions!$E$25)-$G30)*Assumptions!$K$25/SUM(Assumptions!$J$25:$L$25)</f>
        <v>157.40258491983008</v>
      </c>
      <c r="J30" s="14">
        <f>(($F30*(1+Assumptions!$C$25)*Assumptions!$E$25)-$G30)*Assumptions!$L$25/SUM(Assumptions!$J$25:$L$25)</f>
        <v>163.6986883166233</v>
      </c>
      <c r="K30" s="14">
        <f t="shared" si="6"/>
        <v>633.44999999999993</v>
      </c>
      <c r="L30" s="33">
        <f>($K30*(1+Assumptions!$C$25)*Assumptions!$F$25)*Assumptions!$I$25</f>
        <v>160.50356099999996</v>
      </c>
      <c r="M30" s="14">
        <f>($K30*(1+Assumptions!$C$25)*Assumptions!$F$25)*Assumptions!$J$25</f>
        <v>167.19120937499997</v>
      </c>
      <c r="N30" s="14">
        <f>($K30*(1+Assumptions!$C$25)*Assumptions!$F$25)*Assumptions!$K$25</f>
        <v>167.19120937499997</v>
      </c>
      <c r="O30" s="14">
        <f>($K30*(1+Assumptions!$C$25)*Assumptions!$F$25)*Assumptions!$L$25</f>
        <v>173.87885774999998</v>
      </c>
      <c r="P30" s="14">
        <f t="shared" si="7"/>
        <v>668.76483749999989</v>
      </c>
      <c r="Q30" s="33">
        <f>$P30*(1+Assumptions!$C$25)*Assumptions!$F$25</f>
        <v>706.04847719062491</v>
      </c>
      <c r="R30" s="14">
        <f>$Q30*(1+Assumptions!$C$25)*Assumptions!$F$25</f>
        <v>745.41067979400225</v>
      </c>
      <c r="S30" s="14">
        <f>$R30*(1+Assumptions!$D$25)*Assumptions!$F$25</f>
        <v>775.52527125767995</v>
      </c>
      <c r="T30" s="14">
        <f>$S30*(1+Assumptions!$D$25)*Assumptions!$F$25</f>
        <v>806.85649221649021</v>
      </c>
      <c r="U30" s="14">
        <f>$T30*(1+Assumptions!$D$25)*Assumptions!$F$25</f>
        <v>839.45349450203639</v>
      </c>
      <c r="V30" s="14">
        <f>$U30*(1+Assumptions!$D$25)*Assumptions!$F$25</f>
        <v>873.36741567991862</v>
      </c>
      <c r="W30" s="14">
        <f>$V30*(1+Assumptions!$D$25)*Assumptions!$F$25</f>
        <v>908.65145927338733</v>
      </c>
    </row>
    <row r="31" spans="1:23" ht="16" customHeight="1">
      <c r="A31" s="17" t="s">
        <v>41</v>
      </c>
      <c r="B31" s="17" t="s">
        <v>40</v>
      </c>
      <c r="C31" s="18">
        <f t="shared" ref="C31:W31" si="8">SUM(C25:C30)</f>
        <v>4260</v>
      </c>
      <c r="D31" s="18">
        <f t="shared" si="8"/>
        <v>3000</v>
      </c>
      <c r="E31" s="18">
        <f t="shared" si="8"/>
        <v>3575</v>
      </c>
      <c r="F31" s="18">
        <f t="shared" si="8"/>
        <v>4280</v>
      </c>
      <c r="G31" s="29">
        <f t="shared" si="8"/>
        <v>1155.1761390465037</v>
      </c>
      <c r="H31" s="18">
        <f t="shared" si="8"/>
        <v>1173.4897568925976</v>
      </c>
      <c r="I31" s="18">
        <f t="shared" si="8"/>
        <v>1173.4897568925976</v>
      </c>
      <c r="J31" s="18">
        <f t="shared" si="8"/>
        <v>1220.4293471683013</v>
      </c>
      <c r="K31" s="18">
        <f t="shared" si="8"/>
        <v>4722.585</v>
      </c>
      <c r="L31" s="37">
        <f t="shared" si="8"/>
        <v>1257.8961663</v>
      </c>
      <c r="M31" s="18">
        <f t="shared" si="8"/>
        <v>1310.3085065625</v>
      </c>
      <c r="N31" s="18">
        <f t="shared" si="8"/>
        <v>1310.3085065625</v>
      </c>
      <c r="O31" s="18">
        <f t="shared" si="8"/>
        <v>1362.7208468250001</v>
      </c>
      <c r="P31" s="18">
        <f t="shared" si="8"/>
        <v>5241.2340262500002</v>
      </c>
      <c r="Q31" s="37">
        <f t="shared" si="8"/>
        <v>5859.9510144103133</v>
      </c>
      <c r="R31" s="18">
        <f t="shared" si="8"/>
        <v>6613.1383913571253</v>
      </c>
      <c r="S31" s="18">
        <f t="shared" si="8"/>
        <v>7100.623113079263</v>
      </c>
      <c r="T31" s="18">
        <f t="shared" si="8"/>
        <v>7636.0314272758797</v>
      </c>
      <c r="U31" s="18">
        <f t="shared" si="8"/>
        <v>8225.3454236898469</v>
      </c>
      <c r="V31" s="18">
        <f t="shared" si="8"/>
        <v>8875.4310050607601</v>
      </c>
      <c r="W31" s="18">
        <f t="shared" si="8"/>
        <v>9594.180658228026</v>
      </c>
    </row>
    <row r="32" spans="1:23" ht="16" customHeight="1">
      <c r="A32" s="2"/>
      <c r="B32" s="2"/>
      <c r="C32" s="14"/>
      <c r="D32" s="14"/>
      <c r="E32" s="14"/>
      <c r="F32" s="14"/>
      <c r="G32" s="25"/>
      <c r="H32" s="14"/>
      <c r="I32" s="14"/>
      <c r="J32" s="14"/>
      <c r="K32" s="14"/>
      <c r="L32" s="33"/>
      <c r="M32" s="14"/>
      <c r="N32" s="14"/>
      <c r="O32" s="14"/>
      <c r="P32" s="14"/>
      <c r="Q32" s="33"/>
      <c r="R32" s="14"/>
      <c r="S32" s="14"/>
      <c r="T32" s="14"/>
      <c r="U32" s="14"/>
      <c r="V32" s="14"/>
      <c r="W32" s="14"/>
    </row>
    <row r="33" spans="1:23" ht="16" customHeight="1">
      <c r="A33" s="16" t="s">
        <v>48</v>
      </c>
      <c r="B33" s="16"/>
      <c r="C33" s="23"/>
      <c r="D33" s="23"/>
      <c r="E33" s="23"/>
      <c r="F33" s="23"/>
      <c r="G33" s="28"/>
      <c r="H33" s="23"/>
      <c r="I33" s="23"/>
      <c r="J33" s="23"/>
      <c r="K33" s="23"/>
      <c r="L33" s="36"/>
      <c r="M33" s="23"/>
      <c r="N33" s="23"/>
      <c r="O33" s="23"/>
      <c r="P33" s="23"/>
      <c r="Q33" s="36"/>
      <c r="R33" s="23"/>
      <c r="S33" s="23"/>
      <c r="T33" s="23"/>
      <c r="U33" s="23"/>
      <c r="V33" s="23"/>
      <c r="W33" s="23"/>
    </row>
    <row r="34" spans="1:23" ht="16" customHeight="1">
      <c r="A34" s="2"/>
      <c r="B34" s="2" t="s">
        <v>49</v>
      </c>
      <c r="C34" s="14">
        <v>1150</v>
      </c>
      <c r="D34" s="14">
        <v>1300</v>
      </c>
      <c r="E34" s="14">
        <v>1446</v>
      </c>
      <c r="F34" s="14">
        <v>1880</v>
      </c>
      <c r="G34" s="25">
        <f>Assumptions!$G$26</f>
        <v>527.92005868305739</v>
      </c>
      <c r="H34" s="14">
        <f>(($F34*(1+Assumptions!$C$26)*Assumptions!$E$26)-$G34)*Assumptions!$J$26/SUM(Assumptions!$J$26:$L$26)</f>
        <v>536.28945438057326</v>
      </c>
      <c r="I34" s="14">
        <f>(($F34*(1+Assumptions!$C$26)*Assumptions!$E$26)-$G34)*Assumptions!$K$26/SUM(Assumptions!$J$26:$L$26)</f>
        <v>536.28945438057326</v>
      </c>
      <c r="J34" s="14">
        <f>(($F34*(1+Assumptions!$C$26)*Assumptions!$E$26)-$G34)*Assumptions!$L$26/SUM(Assumptions!$J$26:$L$26)</f>
        <v>557.74103255579621</v>
      </c>
      <c r="K34" s="14">
        <f>SUM(G34:J34)</f>
        <v>2158.2400000000002</v>
      </c>
      <c r="L34" s="33">
        <f>($K34*(1+Assumptions!$C$26)*Assumptions!$F$26)*Assumptions!$I$26</f>
        <v>594.63828480000006</v>
      </c>
      <c r="M34" s="14">
        <f>($K34*(1+Assumptions!$C$26)*Assumptions!$F$26)*Assumptions!$J$26</f>
        <v>619.41488000000004</v>
      </c>
      <c r="N34" s="14">
        <f>($K34*(1+Assumptions!$C$26)*Assumptions!$F$26)*Assumptions!$K$26</f>
        <v>619.41488000000004</v>
      </c>
      <c r="O34" s="14">
        <f>($K34*(1+Assumptions!$C$26)*Assumptions!$F$26)*Assumptions!$L$26</f>
        <v>644.19147520000001</v>
      </c>
      <c r="P34" s="14">
        <f>SUM(L34:O34)</f>
        <v>2477.6595200000002</v>
      </c>
      <c r="Q34" s="33">
        <f>$P34*(1+Assumptions!$C$26)*Assumptions!$F$26</f>
        <v>2844.35312896</v>
      </c>
      <c r="R34" s="14">
        <f>$Q34*(1+Assumptions!$C$26)*Assumptions!$F$26</f>
        <v>3265.3173920460799</v>
      </c>
      <c r="S34" s="14">
        <f>$R34*(1+Assumptions!$D$26)*Assumptions!$F$26</f>
        <v>3530.461164280222</v>
      </c>
      <c r="T34" s="14">
        <f>$S34*(1+Assumptions!$D$26)*Assumptions!$F$26</f>
        <v>3817.1346108197768</v>
      </c>
      <c r="U34" s="14">
        <f>$T34*(1+Assumptions!$D$26)*Assumptions!$F$26</f>
        <v>4127.0859412183436</v>
      </c>
      <c r="V34" s="14">
        <f>$U34*(1+Assumptions!$D$26)*Assumptions!$F$26</f>
        <v>4462.2053196452734</v>
      </c>
      <c r="W34" s="14">
        <f>$V34*(1+Assumptions!$D$26)*Assumptions!$F$26</f>
        <v>4824.5363916004708</v>
      </c>
    </row>
    <row r="35" spans="1:23" ht="16" customHeight="1">
      <c r="A35" s="2"/>
      <c r="B35" s="2" t="s">
        <v>50</v>
      </c>
      <c r="C35" s="14">
        <v>1400</v>
      </c>
      <c r="D35" s="14">
        <v>1500</v>
      </c>
      <c r="E35" s="14">
        <v>1600</v>
      </c>
      <c r="F35" s="14">
        <v>1725</v>
      </c>
      <c r="G35" s="25">
        <f>Assumptions!$G$27</f>
        <v>445.47015780068483</v>
      </c>
      <c r="H35" s="14">
        <f>(($F35*(1+Assumptions!$C$27)*Assumptions!$E$27)-$G35)*Assumptions!$J$27/SUM(Assumptions!$J$27:$L$27)</f>
        <v>341.46914062499997</v>
      </c>
      <c r="I35" s="14">
        <f>(($F35*(1+Assumptions!$C$27)*Assumptions!$E$27)-$G35)*Assumptions!$K$27/SUM(Assumptions!$J$27:$L$27)</f>
        <v>0</v>
      </c>
      <c r="J35" s="14">
        <f>(($F35*(1+Assumptions!$C$27)*Assumptions!$E$27)-$G35)*Assumptions!$L$27/SUM(Assumptions!$J$27:$L$27)</f>
        <v>0</v>
      </c>
      <c r="K35" s="14">
        <f>SUM(G35:J35)</f>
        <v>786.9392984256848</v>
      </c>
      <c r="L35" s="33">
        <f>($K35*(1+Assumptions!$C$27)*Assumptions!$F$27)*Assumptions!$I$27</f>
        <v>0</v>
      </c>
      <c r="M35" s="14">
        <f>($K35*(1+Assumptions!$C$27)*Assumptions!$F$27)*Assumptions!$J$27</f>
        <v>0</v>
      </c>
      <c r="N35" s="14">
        <f>($K35*(1+Assumptions!$C$27)*Assumptions!$F$27)*Assumptions!$K$27</f>
        <v>0</v>
      </c>
      <c r="O35" s="14">
        <f>($K35*(1+Assumptions!$C$27)*Assumptions!$F$27)*Assumptions!$L$27</f>
        <v>0</v>
      </c>
      <c r="P35" s="14">
        <f>SUM(L35:O35)</f>
        <v>0</v>
      </c>
      <c r="Q35" s="33">
        <f>$P35*(1+Assumptions!$C$27)*Assumptions!$F$27</f>
        <v>0</v>
      </c>
      <c r="R35" s="14">
        <f>$Q35*(1+Assumptions!$C$27)*Assumptions!$F$27</f>
        <v>0</v>
      </c>
      <c r="S35" s="14">
        <f>$R35*(1+Assumptions!$D$27)*Assumptions!$F$27</f>
        <v>0</v>
      </c>
      <c r="T35" s="14">
        <f>$S35*(1+Assumptions!$D$27)*Assumptions!$F$27</f>
        <v>0</v>
      </c>
      <c r="U35" s="14">
        <f>$T35*(1+Assumptions!$D$27)*Assumptions!$F$27</f>
        <v>0</v>
      </c>
      <c r="V35" s="14">
        <f>$U35*(1+Assumptions!$D$27)*Assumptions!$F$27</f>
        <v>0</v>
      </c>
      <c r="W35" s="14">
        <f>$V35*(1+Assumptions!$D$27)*Assumptions!$F$27</f>
        <v>0</v>
      </c>
    </row>
    <row r="36" spans="1:23" ht="16" customHeight="1">
      <c r="A36" s="2"/>
      <c r="B36" s="2" t="s">
        <v>51</v>
      </c>
      <c r="C36" s="14">
        <v>250</v>
      </c>
      <c r="D36" s="14">
        <v>0</v>
      </c>
      <c r="E36" s="14">
        <v>0</v>
      </c>
      <c r="F36" s="14">
        <v>0</v>
      </c>
      <c r="G36" s="25">
        <f>Assumptions!$G$28</f>
        <v>0</v>
      </c>
      <c r="H36" s="14">
        <f>(($F36*(1+Assumptions!$C$28)*Assumptions!$E$28)-$G36)*Assumptions!$J$28/SUM(Assumptions!$J$28:$L$28)</f>
        <v>0</v>
      </c>
      <c r="I36" s="14">
        <f>(($F36*(1+Assumptions!$C$28)*Assumptions!$E$28)-$G36)*Assumptions!$K$28/SUM(Assumptions!$J$28:$L$28)</f>
        <v>0</v>
      </c>
      <c r="J36" s="14">
        <f>(($F36*(1+Assumptions!$C$28)*Assumptions!$E$28)-$G36)*Assumptions!$L$28/SUM(Assumptions!$J$28:$L$28)</f>
        <v>0</v>
      </c>
      <c r="K36" s="14">
        <f>SUM(G36:J36)</f>
        <v>0</v>
      </c>
      <c r="L36" s="33">
        <f>($K36*(1+Assumptions!$C$28)*Assumptions!$F$28)*Assumptions!$I$28</f>
        <v>0</v>
      </c>
      <c r="M36" s="14">
        <f>($K36*(1+Assumptions!$C$28)*Assumptions!$F$28)*Assumptions!$J$28</f>
        <v>0</v>
      </c>
      <c r="N36" s="14">
        <f>($K36*(1+Assumptions!$C$28)*Assumptions!$F$28)*Assumptions!$K$28</f>
        <v>0</v>
      </c>
      <c r="O36" s="14">
        <f>($K36*(1+Assumptions!$C$28)*Assumptions!$F$28)*Assumptions!$L$28</f>
        <v>0</v>
      </c>
      <c r="P36" s="14">
        <f>SUM(L36:O36)</f>
        <v>0</v>
      </c>
      <c r="Q36" s="33">
        <f>$P36*(1+Assumptions!$C$28)*Assumptions!$F$28</f>
        <v>0</v>
      </c>
      <c r="R36" s="14">
        <f>$Q36*(1+Assumptions!$C$28)*Assumptions!$F$28</f>
        <v>0</v>
      </c>
      <c r="S36" s="14">
        <f>$R36*(1+Assumptions!$D$28)*Assumptions!$F$28</f>
        <v>0</v>
      </c>
      <c r="T36" s="14">
        <f>$S36*(1+Assumptions!$D$28)*Assumptions!$F$28</f>
        <v>0</v>
      </c>
      <c r="U36" s="14">
        <f>$T36*(1+Assumptions!$D$28)*Assumptions!$F$28</f>
        <v>0</v>
      </c>
      <c r="V36" s="14">
        <f>$U36*(1+Assumptions!$D$28)*Assumptions!$F$28</f>
        <v>0</v>
      </c>
      <c r="W36" s="14">
        <f>$V36*(1+Assumptions!$D$28)*Assumptions!$F$28</f>
        <v>0</v>
      </c>
    </row>
    <row r="37" spans="1:23" ht="16" customHeight="1">
      <c r="A37" s="2"/>
      <c r="B37" s="2" t="s">
        <v>52</v>
      </c>
      <c r="C37" s="14">
        <v>350</v>
      </c>
      <c r="D37" s="14">
        <v>320</v>
      </c>
      <c r="E37" s="14">
        <v>310</v>
      </c>
      <c r="F37" s="14">
        <v>300</v>
      </c>
      <c r="G37" s="25">
        <f>Assumptions!$G$29</f>
        <v>76.720905184752823</v>
      </c>
      <c r="H37" s="14">
        <f>(($F37*(1+Assumptions!$C$29)*Assumptions!$E$29)-$G37)*Assumptions!$J$29/SUM(Assumptions!$J$29:$L$29)</f>
        <v>77.937202241857591</v>
      </c>
      <c r="I37" s="14">
        <f>(($F37*(1+Assumptions!$C$29)*Assumptions!$E$29)-$G37)*Assumptions!$K$29/SUM(Assumptions!$J$29:$L$29)</f>
        <v>77.937202241857591</v>
      </c>
      <c r="J37" s="14">
        <f>(($F37*(1+Assumptions!$C$29)*Assumptions!$E$29)-$G37)*Assumptions!$L$29/SUM(Assumptions!$J$29:$L$29)</f>
        <v>81.054690331531901</v>
      </c>
      <c r="K37" s="14">
        <f>SUM(G37:J37)</f>
        <v>313.64999999999986</v>
      </c>
      <c r="L37" s="33">
        <f>($K37*(1+Assumptions!$C$29)*Assumptions!$F$29)*Assumptions!$I$29</f>
        <v>78.701057999999961</v>
      </c>
      <c r="M37" s="14">
        <f>($K37*(1+Assumptions!$C$29)*Assumptions!$F$29)*Assumptions!$J$29</f>
        <v>81.980268749999965</v>
      </c>
      <c r="N37" s="14">
        <f>($K37*(1+Assumptions!$C$29)*Assumptions!$F$29)*Assumptions!$K$29</f>
        <v>81.980268749999965</v>
      </c>
      <c r="O37" s="14">
        <f>($K37*(1+Assumptions!$C$29)*Assumptions!$F$29)*Assumptions!$L$29</f>
        <v>85.259479499999969</v>
      </c>
      <c r="P37" s="14">
        <f>SUM(L37:O37)</f>
        <v>327.92107499999986</v>
      </c>
      <c r="Q37" s="33">
        <f>$P37*(1+Assumptions!$C$29)*Assumptions!$F$29</f>
        <v>342.84148391249988</v>
      </c>
      <c r="R37" s="14">
        <f>$Q37*(1+Assumptions!$C$29)*Assumptions!$F$29</f>
        <v>358.44077143051862</v>
      </c>
      <c r="S37" s="14">
        <f>$R37*(1+Assumptions!$D$29)*Assumptions!$F$29</f>
        <v>369.26568272772033</v>
      </c>
      <c r="T37" s="14">
        <f>$S37*(1+Assumptions!$D$29)*Assumptions!$F$29</f>
        <v>380.41750634609753</v>
      </c>
      <c r="U37" s="14">
        <f>$T37*(1+Assumptions!$D$29)*Assumptions!$F$29</f>
        <v>391.90611503774977</v>
      </c>
      <c r="V37" s="14">
        <f>$U37*(1+Assumptions!$D$29)*Assumptions!$F$29</f>
        <v>403.74167971188996</v>
      </c>
      <c r="W37" s="14">
        <f>$V37*(1+Assumptions!$D$29)*Assumptions!$F$29</f>
        <v>415.93467843918916</v>
      </c>
    </row>
    <row r="38" spans="1:23" ht="16" customHeight="1">
      <c r="A38" s="17" t="s">
        <v>48</v>
      </c>
      <c r="B38" s="17" t="s">
        <v>40</v>
      </c>
      <c r="C38" s="18">
        <f t="shared" ref="C38:W38" si="9">SUM(C34:C37)</f>
        <v>3150</v>
      </c>
      <c r="D38" s="18">
        <f t="shared" si="9"/>
        <v>3120</v>
      </c>
      <c r="E38" s="18">
        <f t="shared" si="9"/>
        <v>3356</v>
      </c>
      <c r="F38" s="18">
        <f t="shared" si="9"/>
        <v>3905</v>
      </c>
      <c r="G38" s="29">
        <f t="shared" si="9"/>
        <v>1050.1111216684951</v>
      </c>
      <c r="H38" s="18">
        <f t="shared" si="9"/>
        <v>955.69579724743073</v>
      </c>
      <c r="I38" s="18">
        <f t="shared" si="9"/>
        <v>614.22665662243082</v>
      </c>
      <c r="J38" s="18">
        <f t="shared" si="9"/>
        <v>638.79572288732811</v>
      </c>
      <c r="K38" s="18">
        <f t="shared" si="9"/>
        <v>3258.829298425685</v>
      </c>
      <c r="L38" s="37">
        <f t="shared" si="9"/>
        <v>673.33934280000005</v>
      </c>
      <c r="M38" s="18">
        <f t="shared" si="9"/>
        <v>701.39514874999998</v>
      </c>
      <c r="N38" s="18">
        <f t="shared" si="9"/>
        <v>701.39514874999998</v>
      </c>
      <c r="O38" s="18">
        <f t="shared" si="9"/>
        <v>729.45095470000001</v>
      </c>
      <c r="P38" s="18">
        <f t="shared" si="9"/>
        <v>2805.5805949999999</v>
      </c>
      <c r="Q38" s="37">
        <f t="shared" si="9"/>
        <v>3187.1946128724999</v>
      </c>
      <c r="R38" s="18">
        <f t="shared" si="9"/>
        <v>3623.7581634765984</v>
      </c>
      <c r="S38" s="18">
        <f t="shared" si="9"/>
        <v>3899.7268470079425</v>
      </c>
      <c r="T38" s="18">
        <f t="shared" si="9"/>
        <v>4197.5521171658747</v>
      </c>
      <c r="U38" s="18">
        <f t="shared" si="9"/>
        <v>4518.9920562560937</v>
      </c>
      <c r="V38" s="18">
        <f t="shared" si="9"/>
        <v>4865.9469993571638</v>
      </c>
      <c r="W38" s="18">
        <f t="shared" si="9"/>
        <v>5240.4710700396599</v>
      </c>
    </row>
    <row r="39" spans="1:23" ht="16" customHeight="1">
      <c r="A39" s="2"/>
      <c r="B39" s="2"/>
      <c r="C39" s="14"/>
      <c r="D39" s="14"/>
      <c r="E39" s="14"/>
      <c r="F39" s="14"/>
      <c r="G39" s="25"/>
      <c r="H39" s="14"/>
      <c r="I39" s="14"/>
      <c r="J39" s="14"/>
      <c r="K39" s="14"/>
      <c r="L39" s="33"/>
      <c r="M39" s="14"/>
      <c r="N39" s="14"/>
      <c r="O39" s="14"/>
      <c r="P39" s="14"/>
      <c r="Q39" s="33"/>
      <c r="R39" s="14"/>
      <c r="S39" s="14"/>
      <c r="T39" s="14"/>
      <c r="U39" s="14"/>
      <c r="V39" s="14"/>
      <c r="W39" s="14"/>
    </row>
    <row r="40" spans="1:23" ht="16" customHeight="1">
      <c r="A40" s="16" t="s">
        <v>53</v>
      </c>
      <c r="B40" s="16"/>
      <c r="C40" s="23"/>
      <c r="D40" s="23"/>
      <c r="E40" s="23"/>
      <c r="F40" s="23"/>
      <c r="G40" s="28"/>
      <c r="H40" s="23"/>
      <c r="I40" s="23"/>
      <c r="J40" s="23"/>
      <c r="K40" s="23"/>
      <c r="L40" s="36"/>
      <c r="M40" s="23"/>
      <c r="N40" s="23"/>
      <c r="O40" s="23"/>
      <c r="P40" s="23"/>
      <c r="Q40" s="36"/>
      <c r="R40" s="23"/>
      <c r="S40" s="23"/>
      <c r="T40" s="23"/>
      <c r="U40" s="23"/>
      <c r="V40" s="23"/>
      <c r="W40" s="23"/>
    </row>
    <row r="41" spans="1:23" ht="16" customHeight="1">
      <c r="A41" s="2"/>
      <c r="B41" s="2" t="s">
        <v>54</v>
      </c>
      <c r="C41" s="14">
        <v>1900</v>
      </c>
      <c r="D41" s="14">
        <v>1980</v>
      </c>
      <c r="E41" s="14">
        <v>2100</v>
      </c>
      <c r="F41" s="14">
        <v>2230</v>
      </c>
      <c r="G41" s="25">
        <f>Assumptions!$G$30</f>
        <v>565.34871246086925</v>
      </c>
      <c r="H41" s="14">
        <f>(($F41*(1+Assumptions!$C$30)*Assumptions!$E$30)-$G41)*Assumptions!$J$30/SUM(Assumptions!$J$30:$L$30)</f>
        <v>623.45848670152463</v>
      </c>
      <c r="I41" s="14">
        <f>(($F41*(1+Assumptions!$C$30)*Assumptions!$E$30)-$G41)*Assumptions!$K$30/SUM(Assumptions!$J$30:$L$30)</f>
        <v>623.45848670152463</v>
      </c>
      <c r="J41" s="14">
        <f>(($F41*(1+Assumptions!$C$30)*Assumptions!$E$30)-$G41)*Assumptions!$L$30/SUM(Assumptions!$J$30:$L$30)</f>
        <v>599.47931413608137</v>
      </c>
      <c r="K41" s="14">
        <f>SUM(G41:J41)</f>
        <v>2411.7449999999999</v>
      </c>
      <c r="L41" s="33">
        <f>($K41*(1+Assumptions!$C$30)*Assumptions!$F$30)*Assumptions!$I$30</f>
        <v>599.90951002500003</v>
      </c>
      <c r="M41" s="14">
        <f>($K41*(1+Assumptions!$C$30)*Assumptions!$F$30)*Assumptions!$J$30</f>
        <v>678.15857655000002</v>
      </c>
      <c r="N41" s="14">
        <f>($K41*(1+Assumptions!$C$30)*Assumptions!$F$30)*Assumptions!$K$30</f>
        <v>678.15857655000002</v>
      </c>
      <c r="O41" s="14">
        <f>($K41*(1+Assumptions!$C$30)*Assumptions!$F$30)*Assumptions!$L$30</f>
        <v>652.07555437500002</v>
      </c>
      <c r="P41" s="14">
        <f>SUM(L41:O41)</f>
        <v>2608.3022175000001</v>
      </c>
      <c r="Q41" s="33">
        <f>$P41*(1+Assumptions!$C$30)*Assumptions!$F$30</f>
        <v>2820.8788482262503</v>
      </c>
      <c r="R41" s="14">
        <f>$Q41*(1+Assumptions!$C$30)*Assumptions!$F$30</f>
        <v>3050.7804743566899</v>
      </c>
      <c r="S41" s="14">
        <f>$R41*(1+Assumptions!$D$30)*Assumptions!$F$30</f>
        <v>3220.8614858020751</v>
      </c>
      <c r="T41" s="14">
        <f>$S41*(1+Assumptions!$D$30)*Assumptions!$F$30</f>
        <v>3400.4245136355407</v>
      </c>
      <c r="U41" s="14">
        <f>$T41*(1+Assumptions!$D$30)*Assumptions!$F$30</f>
        <v>3589.9981802707221</v>
      </c>
      <c r="V41" s="14">
        <f>$U41*(1+Assumptions!$D$30)*Assumptions!$F$30</f>
        <v>3790.1405788208149</v>
      </c>
      <c r="W41" s="14">
        <f>$V41*(1+Assumptions!$D$30)*Assumptions!$F$30</f>
        <v>4001.440916090075</v>
      </c>
    </row>
    <row r="42" spans="1:23" ht="16" customHeight="1">
      <c r="A42" s="2"/>
      <c r="B42" s="2" t="s">
        <v>55</v>
      </c>
      <c r="C42" s="14">
        <v>170</v>
      </c>
      <c r="D42" s="14">
        <v>160</v>
      </c>
      <c r="E42" s="14">
        <v>155</v>
      </c>
      <c r="F42" s="14">
        <v>150</v>
      </c>
      <c r="G42" s="25">
        <f>Assumptions!$G$31</f>
        <v>36.941427720056794</v>
      </c>
      <c r="H42" s="14">
        <f>(($F42*(1+Assumptions!$C$31)*Assumptions!$E$31)-$G42)*Assumptions!$J$31/SUM(Assumptions!$J$31:$L$31)</f>
        <v>40.738478951669137</v>
      </c>
      <c r="I42" s="14">
        <f>(($F42*(1+Assumptions!$C$31)*Assumptions!$E$31)-$G42)*Assumptions!$K$31/SUM(Assumptions!$J$31:$L$31)</f>
        <v>40.738478951669137</v>
      </c>
      <c r="J42" s="14">
        <f>(($F42*(1+Assumptions!$C$31)*Assumptions!$E$31)-$G42)*Assumptions!$L$31/SUM(Assumptions!$J$31:$L$31)</f>
        <v>39.171614376604936</v>
      </c>
      <c r="K42" s="14">
        <f>SUM(G42:J42)</f>
        <v>157.59</v>
      </c>
      <c r="L42" s="33">
        <f>($K42*(1+Assumptions!$C$31)*Assumptions!$F$31)*Assumptions!$I$31</f>
        <v>38.079732420000006</v>
      </c>
      <c r="M42" s="14">
        <f>($K42*(1+Assumptions!$C$31)*Assumptions!$F$31)*Assumptions!$J$31</f>
        <v>43.046654040000007</v>
      </c>
      <c r="N42" s="14">
        <f>($K42*(1+Assumptions!$C$31)*Assumptions!$F$31)*Assumptions!$K$31</f>
        <v>43.046654040000007</v>
      </c>
      <c r="O42" s="14">
        <f>($K42*(1+Assumptions!$C$31)*Assumptions!$F$31)*Assumptions!$L$31</f>
        <v>41.391013500000007</v>
      </c>
      <c r="P42" s="14">
        <f>SUM(L42:O42)</f>
        <v>165.56405400000003</v>
      </c>
      <c r="Q42" s="33">
        <f>$P42*(1+Assumptions!$C$31)*Assumptions!$F$31</f>
        <v>173.94159513240007</v>
      </c>
      <c r="R42" s="14">
        <f>$Q42*(1+Assumptions!$C$31)*Assumptions!$F$31</f>
        <v>182.74303984609955</v>
      </c>
      <c r="S42" s="14">
        <f>$R42*(1+Assumptions!$D$31)*Assumptions!$F$31</f>
        <v>189.18473200067459</v>
      </c>
      <c r="T42" s="14">
        <f>$S42*(1+Assumptions!$D$31)*Assumptions!$F$31</f>
        <v>195.85349380369843</v>
      </c>
      <c r="U42" s="14">
        <f>$T42*(1+Assumptions!$D$31)*Assumptions!$F$31</f>
        <v>202.75732946027887</v>
      </c>
      <c r="V42" s="14">
        <f>$U42*(1+Assumptions!$D$31)*Assumptions!$F$31</f>
        <v>209.90452532375375</v>
      </c>
      <c r="W42" s="14">
        <f>$V42*(1+Assumptions!$D$31)*Assumptions!$F$31</f>
        <v>217.30365984141613</v>
      </c>
    </row>
    <row r="43" spans="1:23" ht="16" customHeight="1">
      <c r="A43" s="17" t="s">
        <v>53</v>
      </c>
      <c r="B43" s="17" t="s">
        <v>40</v>
      </c>
      <c r="C43" s="18">
        <f t="shared" ref="C43:W43" si="10">SUM(C41:C42)</f>
        <v>2070</v>
      </c>
      <c r="D43" s="18">
        <f t="shared" si="10"/>
        <v>2140</v>
      </c>
      <c r="E43" s="18">
        <f t="shared" si="10"/>
        <v>2255</v>
      </c>
      <c r="F43" s="18">
        <f t="shared" si="10"/>
        <v>2380</v>
      </c>
      <c r="G43" s="29">
        <f t="shared" si="10"/>
        <v>602.29014018092607</v>
      </c>
      <c r="H43" s="18">
        <f t="shared" si="10"/>
        <v>664.19696565319373</v>
      </c>
      <c r="I43" s="18">
        <f t="shared" si="10"/>
        <v>664.19696565319373</v>
      </c>
      <c r="J43" s="18">
        <f t="shared" si="10"/>
        <v>638.65092851268628</v>
      </c>
      <c r="K43" s="18">
        <f t="shared" si="10"/>
        <v>2569.335</v>
      </c>
      <c r="L43" s="37">
        <f t="shared" si="10"/>
        <v>637.98924244500006</v>
      </c>
      <c r="M43" s="18">
        <f t="shared" si="10"/>
        <v>721.20523059000004</v>
      </c>
      <c r="N43" s="18">
        <f t="shared" si="10"/>
        <v>721.20523059000004</v>
      </c>
      <c r="O43" s="18">
        <f t="shared" si="10"/>
        <v>693.46656787500001</v>
      </c>
      <c r="P43" s="18">
        <f t="shared" si="10"/>
        <v>2773.8662715</v>
      </c>
      <c r="Q43" s="37">
        <f t="shared" si="10"/>
        <v>2994.8204433586502</v>
      </c>
      <c r="R43" s="18">
        <f t="shared" si="10"/>
        <v>3233.5235142027896</v>
      </c>
      <c r="S43" s="18">
        <f t="shared" si="10"/>
        <v>3410.0462178027497</v>
      </c>
      <c r="T43" s="18">
        <f t="shared" si="10"/>
        <v>3596.278007439239</v>
      </c>
      <c r="U43" s="18">
        <f t="shared" si="10"/>
        <v>3792.755509731001</v>
      </c>
      <c r="V43" s="18">
        <f t="shared" si="10"/>
        <v>4000.0451041445685</v>
      </c>
      <c r="W43" s="18">
        <f t="shared" si="10"/>
        <v>4218.7445759314915</v>
      </c>
    </row>
    <row r="44" spans="1:23" ht="16" customHeight="1">
      <c r="A44" s="2"/>
      <c r="B44" s="2"/>
      <c r="C44" s="14"/>
      <c r="D44" s="14"/>
      <c r="E44" s="14"/>
      <c r="F44" s="14"/>
      <c r="G44" s="25"/>
      <c r="H44" s="14"/>
      <c r="I44" s="14"/>
      <c r="J44" s="14"/>
      <c r="K44" s="14"/>
      <c r="L44" s="33"/>
      <c r="M44" s="14"/>
      <c r="N44" s="14"/>
      <c r="O44" s="14"/>
      <c r="P44" s="14"/>
      <c r="Q44" s="33"/>
      <c r="R44" s="14"/>
      <c r="S44" s="14"/>
      <c r="T44" s="14"/>
      <c r="U44" s="14"/>
      <c r="V44" s="14"/>
      <c r="W44" s="14"/>
    </row>
    <row r="45" spans="1:23" ht="16" customHeight="1">
      <c r="A45" s="16" t="s">
        <v>56</v>
      </c>
      <c r="B45" s="16"/>
      <c r="C45" s="23"/>
      <c r="D45" s="23"/>
      <c r="E45" s="23"/>
      <c r="F45" s="23"/>
      <c r="G45" s="28"/>
      <c r="H45" s="23"/>
      <c r="I45" s="23"/>
      <c r="J45" s="23"/>
      <c r="K45" s="23"/>
      <c r="L45" s="36"/>
      <c r="M45" s="23"/>
      <c r="N45" s="23"/>
      <c r="O45" s="23"/>
      <c r="P45" s="23"/>
      <c r="Q45" s="36"/>
      <c r="R45" s="23"/>
      <c r="S45" s="23"/>
      <c r="T45" s="23"/>
      <c r="U45" s="23"/>
      <c r="V45" s="23"/>
      <c r="W45" s="23"/>
    </row>
    <row r="46" spans="1:23" ht="16" customHeight="1">
      <c r="A46" s="2"/>
      <c r="B46" s="2" t="s">
        <v>57</v>
      </c>
      <c r="C46" s="14">
        <v>1100</v>
      </c>
      <c r="D46" s="14">
        <v>1150</v>
      </c>
      <c r="E46" s="14">
        <v>1220</v>
      </c>
      <c r="F46" s="14">
        <v>1310</v>
      </c>
      <c r="G46" s="25">
        <f>Assumptions!$G$32</f>
        <v>332.11067862051067</v>
      </c>
      <c r="H46" s="14">
        <f>(($F46*(1+Assumptions!$C$32)*Assumptions!$E$32)-$G46)*Assumptions!$J$32/SUM(Assumptions!$J$32:$L$32)</f>
        <v>366.24691371255489</v>
      </c>
      <c r="I46" s="14">
        <f>(($F46*(1+Assumptions!$C$32)*Assumptions!$E$32)-$G46)*Assumptions!$K$32/SUM(Assumptions!$J$32:$L$32)</f>
        <v>366.24691371255489</v>
      </c>
      <c r="J46" s="14">
        <f>(($F46*(1+Assumptions!$C$32)*Assumptions!$E$32)-$G46)*Assumptions!$L$32/SUM(Assumptions!$J$32:$L$32)</f>
        <v>352.16049395437966</v>
      </c>
      <c r="K46" s="14">
        <f>SUM(G46:J46)</f>
        <v>1416.7650000000001</v>
      </c>
      <c r="L46" s="33">
        <f>($K46*(1+Assumptions!$C$32)*Assumptions!$F$32)*Assumptions!$I$32</f>
        <v>352.41320992500005</v>
      </c>
      <c r="M46" s="14">
        <f>($K46*(1+Assumptions!$C$32)*Assumptions!$F$32)*Assumptions!$J$32</f>
        <v>398.38015035000001</v>
      </c>
      <c r="N46" s="14">
        <f>($K46*(1+Assumptions!$C$32)*Assumptions!$F$32)*Assumptions!$K$32</f>
        <v>398.38015035000001</v>
      </c>
      <c r="O46" s="14">
        <f>($K46*(1+Assumptions!$C$32)*Assumptions!$F$32)*Assumptions!$L$32</f>
        <v>383.05783687500002</v>
      </c>
      <c r="P46" s="14">
        <f>SUM(L46:O46)</f>
        <v>1532.2313475000001</v>
      </c>
      <c r="Q46" s="33">
        <f>$P46*(1+Assumptions!$C$32)*Assumptions!$F$32</f>
        <v>1657.10820232125</v>
      </c>
      <c r="R46" s="14">
        <f>$Q46*(1+Assumptions!$C$32)*Assumptions!$F$32</f>
        <v>1792.1625208104319</v>
      </c>
      <c r="S46" s="14">
        <f>$R46*(1+Assumptions!$D$32)*Assumptions!$F$32</f>
        <v>1892.0755813456133</v>
      </c>
      <c r="T46" s="14">
        <f>$S46*(1+Assumptions!$D$32)*Assumptions!$F$32</f>
        <v>1997.5587950056308</v>
      </c>
      <c r="U46" s="14">
        <f>$T46*(1+Assumptions!$D$32)*Assumptions!$F$32</f>
        <v>2108.922697827194</v>
      </c>
      <c r="V46" s="14">
        <f>$U46*(1+Assumptions!$D$32)*Assumptions!$F$32</f>
        <v>2226.4951382310596</v>
      </c>
      <c r="W46" s="14">
        <f>$V46*(1+Assumptions!$D$32)*Assumptions!$F$32</f>
        <v>2350.6222421874409</v>
      </c>
    </row>
    <row r="47" spans="1:23" ht="16" customHeight="1">
      <c r="A47" s="2"/>
      <c r="B47" s="2" t="s">
        <v>58</v>
      </c>
      <c r="C47" s="14">
        <v>800</v>
      </c>
      <c r="D47" s="14">
        <v>820</v>
      </c>
      <c r="E47" s="14">
        <v>850</v>
      </c>
      <c r="F47" s="14">
        <v>900</v>
      </c>
      <c r="G47" s="25">
        <f>Assumptions!$G$33</f>
        <v>225.99461664034749</v>
      </c>
      <c r="H47" s="14">
        <f>(($F47*(1+Assumptions!$C$33)*Assumptions!$E$33)-$G47)*Assumptions!$J$33/SUM(Assumptions!$J$33:$L$33)</f>
        <v>249.22363593962291</v>
      </c>
      <c r="I47" s="14">
        <f>(($F47*(1+Assumptions!$C$33)*Assumptions!$E$33)-$G47)*Assumptions!$K$33/SUM(Assumptions!$J$33:$L$33)</f>
        <v>249.22363593962291</v>
      </c>
      <c r="J47" s="14">
        <f>(($F47*(1+Assumptions!$C$33)*Assumptions!$E$33)-$G47)*Assumptions!$L$33/SUM(Assumptions!$J$33:$L$33)</f>
        <v>239.63811148040665</v>
      </c>
      <c r="K47" s="14">
        <f>SUM(G47:J47)</f>
        <v>964.07999999999993</v>
      </c>
      <c r="L47" s="33">
        <f>($K47*(1+Assumptions!$C$33)*Assumptions!$F$33)*Assumptions!$I$33</f>
        <v>237.52617408000003</v>
      </c>
      <c r="M47" s="14">
        <f>($K47*(1+Assumptions!$C$33)*Assumptions!$F$33)*Assumptions!$J$33</f>
        <v>268.50784896000005</v>
      </c>
      <c r="N47" s="14">
        <f>($K47*(1+Assumptions!$C$33)*Assumptions!$F$33)*Assumptions!$K$33</f>
        <v>268.50784896000005</v>
      </c>
      <c r="O47" s="14">
        <f>($K47*(1+Assumptions!$C$33)*Assumptions!$F$33)*Assumptions!$L$33</f>
        <v>258.18062400000002</v>
      </c>
      <c r="P47" s="14">
        <f>SUM(L47:O47)</f>
        <v>1032.7224960000001</v>
      </c>
      <c r="Q47" s="33">
        <f>$P47*(1+Assumptions!$C$33)*Assumptions!$F$33</f>
        <v>1106.2523377152002</v>
      </c>
      <c r="R47" s="14">
        <f>$Q47*(1+Assumptions!$C$33)*Assumptions!$F$33</f>
        <v>1185.0175041605225</v>
      </c>
      <c r="S47" s="14">
        <f>$R47*(1+Assumptions!$D$33)*Assumptions!$F$33</f>
        <v>1238.9358005998263</v>
      </c>
      <c r="T47" s="14">
        <f>$S47*(1+Assumptions!$D$33)*Assumptions!$F$33</f>
        <v>1295.3073795271182</v>
      </c>
      <c r="U47" s="14">
        <f>$T47*(1+Assumptions!$D$33)*Assumptions!$F$33</f>
        <v>1354.2438652956018</v>
      </c>
      <c r="V47" s="14">
        <f>$U47*(1+Assumptions!$D$33)*Assumptions!$F$33</f>
        <v>1415.8619611665515</v>
      </c>
      <c r="W47" s="14">
        <f>$V47*(1+Assumptions!$D$33)*Assumptions!$F$33</f>
        <v>1480.2836803996295</v>
      </c>
    </row>
    <row r="48" spans="1:23" ht="16" customHeight="1">
      <c r="A48" s="2"/>
      <c r="B48" s="2" t="s">
        <v>59</v>
      </c>
      <c r="C48" s="14">
        <v>360</v>
      </c>
      <c r="D48" s="14">
        <v>350</v>
      </c>
      <c r="E48" s="14">
        <v>345</v>
      </c>
      <c r="F48" s="14">
        <v>350</v>
      </c>
      <c r="G48" s="25">
        <f>Assumptions!$G$34</f>
        <v>83.053021615327708</v>
      </c>
      <c r="H48" s="14">
        <f>(($F48*(1+Assumptions!$C$34)*Assumptions!$E$34)-$G48)*Assumptions!$J$34/SUM(Assumptions!$J$34:$L$34)</f>
        <v>91.58968620781144</v>
      </c>
      <c r="I48" s="14">
        <f>(($F48*(1+Assumptions!$C$34)*Assumptions!$E$34)-$G48)*Assumptions!$K$34/SUM(Assumptions!$J$34:$L$34)</f>
        <v>91.58968620781144</v>
      </c>
      <c r="J48" s="14">
        <f>(($F48*(1+Assumptions!$C$34)*Assumptions!$E$34)-$G48)*Assumptions!$L$34/SUM(Assumptions!$J$34:$L$34)</f>
        <v>88.067005969049447</v>
      </c>
      <c r="K48" s="14">
        <f>SUM(G48:J48)</f>
        <v>354.29939999999999</v>
      </c>
      <c r="L48" s="33">
        <f>($K48*(1+Assumptions!$C$34)*Assumptions!$F$34)*Assumptions!$I$34</f>
        <v>90.648210088799999</v>
      </c>
      <c r="M48" s="14">
        <f>($K48*(1+Assumptions!$C$34)*Assumptions!$F$34)*Assumptions!$J$34</f>
        <v>102.4718896656</v>
      </c>
      <c r="N48" s="14">
        <f>($K48*(1+Assumptions!$C$34)*Assumptions!$F$34)*Assumptions!$K$34</f>
        <v>102.4718896656</v>
      </c>
      <c r="O48" s="14">
        <f>($K48*(1+Assumptions!$C$34)*Assumptions!$F$34)*Assumptions!$L$34</f>
        <v>98.530663140000001</v>
      </c>
      <c r="P48" s="14">
        <f>SUM(L48:O48)</f>
        <v>394.12265256000001</v>
      </c>
      <c r="Q48" s="33">
        <f>$P48*(1+Assumptions!$C$34)*Assumptions!$F$34</f>
        <v>438.42203870774404</v>
      </c>
      <c r="R48" s="14">
        <f>$Q48*(1+Assumptions!$C$34)*Assumptions!$F$34</f>
        <v>487.70067585849449</v>
      </c>
      <c r="S48" s="14">
        <f>$R48*(1+Assumptions!$D$34)*Assumptions!$F$34</f>
        <v>519.88892046515502</v>
      </c>
      <c r="T48" s="14">
        <f>$S48*(1+Assumptions!$D$34)*Assumptions!$F$34</f>
        <v>554.20158921585517</v>
      </c>
      <c r="U48" s="14">
        <f>$T48*(1+Assumptions!$D$34)*Assumptions!$F$34</f>
        <v>590.77889410410148</v>
      </c>
      <c r="V48" s="14">
        <f>$U48*(1+Assumptions!$D$34)*Assumptions!$F$34</f>
        <v>629.77030111497209</v>
      </c>
      <c r="W48" s="14">
        <f>$V48*(1+Assumptions!$D$34)*Assumptions!$F$34</f>
        <v>671.33514098856017</v>
      </c>
    </row>
    <row r="49" spans="1:23" ht="16" customHeight="1">
      <c r="A49" s="2"/>
      <c r="B49" s="2" t="s">
        <v>60</v>
      </c>
      <c r="C49" s="14">
        <v>190</v>
      </c>
      <c r="D49" s="14">
        <v>180</v>
      </c>
      <c r="E49" s="14">
        <v>175</v>
      </c>
      <c r="F49" s="14">
        <v>180</v>
      </c>
      <c r="G49" s="25">
        <f>Assumptions!$G$35</f>
        <v>44.329713264068161</v>
      </c>
      <c r="H49" s="14">
        <f>(($F49*(1+Assumptions!$C$35)*Assumptions!$E$35)-$G49)*Assumptions!$J$35/SUM(Assumptions!$J$35:$L$35)</f>
        <v>48.886174742002957</v>
      </c>
      <c r="I49" s="14">
        <f>(($F49*(1+Assumptions!$C$35)*Assumptions!$E$35)-$G49)*Assumptions!$K$35/SUM(Assumptions!$J$35:$L$35)</f>
        <v>48.886174742002957</v>
      </c>
      <c r="J49" s="14">
        <f>(($F49*(1+Assumptions!$C$35)*Assumptions!$E$35)-$G49)*Assumptions!$L$35/SUM(Assumptions!$J$35:$L$35)</f>
        <v>47.005937251925914</v>
      </c>
      <c r="K49" s="14">
        <f>SUM(G49:J49)</f>
        <v>189.108</v>
      </c>
      <c r="L49" s="33">
        <f>($K49*(1+Assumptions!$C$35)*Assumptions!$F$35)*Assumptions!$I$35</f>
        <v>45.695678904000005</v>
      </c>
      <c r="M49" s="14">
        <f>($K49*(1+Assumptions!$C$35)*Assumptions!$F$35)*Assumptions!$J$35</f>
        <v>51.655984848000003</v>
      </c>
      <c r="N49" s="14">
        <f>($K49*(1+Assumptions!$C$35)*Assumptions!$F$35)*Assumptions!$K$35</f>
        <v>51.655984848000003</v>
      </c>
      <c r="O49" s="14">
        <f>($K49*(1+Assumptions!$C$35)*Assumptions!$F$35)*Assumptions!$L$35</f>
        <v>49.669216200000001</v>
      </c>
      <c r="P49" s="14">
        <f>SUM(L49:O49)</f>
        <v>198.6768648</v>
      </c>
      <c r="Q49" s="33">
        <f>$P49*(1+Assumptions!$C$35)*Assumptions!$F$35</f>
        <v>208.72991415888001</v>
      </c>
      <c r="R49" s="14">
        <f>$Q49*(1+Assumptions!$C$35)*Assumptions!$F$35</f>
        <v>219.29164781531932</v>
      </c>
      <c r="S49" s="14">
        <f>$R49*(1+Assumptions!$D$35)*Assumptions!$F$35</f>
        <v>227.02167840080932</v>
      </c>
      <c r="T49" s="14">
        <f>$S49*(1+Assumptions!$D$35)*Assumptions!$F$35</f>
        <v>235.02419256443784</v>
      </c>
      <c r="U49" s="14">
        <f>$T49*(1+Assumptions!$D$35)*Assumptions!$F$35</f>
        <v>243.30879535233427</v>
      </c>
      <c r="V49" s="14">
        <f>$U49*(1+Assumptions!$D$35)*Assumptions!$F$35</f>
        <v>251.88543038850406</v>
      </c>
      <c r="W49" s="14">
        <f>$V49*(1+Assumptions!$D$35)*Assumptions!$F$35</f>
        <v>260.76439180969885</v>
      </c>
    </row>
    <row r="50" spans="1:23" ht="16" customHeight="1">
      <c r="A50" s="17" t="s">
        <v>56</v>
      </c>
      <c r="B50" s="17" t="s">
        <v>40</v>
      </c>
      <c r="C50" s="18">
        <f t="shared" ref="C50:W50" si="11">SUM(C46:C49)</f>
        <v>2450</v>
      </c>
      <c r="D50" s="18">
        <f t="shared" si="11"/>
        <v>2500</v>
      </c>
      <c r="E50" s="18">
        <f t="shared" si="11"/>
        <v>2590</v>
      </c>
      <c r="F50" s="18">
        <f t="shared" si="11"/>
        <v>2740</v>
      </c>
      <c r="G50" s="29">
        <f t="shared" si="11"/>
        <v>685.48803014025395</v>
      </c>
      <c r="H50" s="18">
        <f t="shared" si="11"/>
        <v>755.94641060199217</v>
      </c>
      <c r="I50" s="18">
        <f t="shared" si="11"/>
        <v>755.94641060199217</v>
      </c>
      <c r="J50" s="18">
        <f t="shared" si="11"/>
        <v>726.87154865576167</v>
      </c>
      <c r="K50" s="18">
        <f t="shared" si="11"/>
        <v>2924.2524000000003</v>
      </c>
      <c r="L50" s="37">
        <f t="shared" si="11"/>
        <v>726.28327299780017</v>
      </c>
      <c r="M50" s="18">
        <f t="shared" si="11"/>
        <v>821.01587382360003</v>
      </c>
      <c r="N50" s="18">
        <f t="shared" si="11"/>
        <v>821.01587382360003</v>
      </c>
      <c r="O50" s="18">
        <f t="shared" si="11"/>
        <v>789.43834021500015</v>
      </c>
      <c r="P50" s="18">
        <f t="shared" si="11"/>
        <v>3157.7533608600006</v>
      </c>
      <c r="Q50" s="37">
        <f t="shared" si="11"/>
        <v>3410.5124929030744</v>
      </c>
      <c r="R50" s="18">
        <f t="shared" si="11"/>
        <v>3684.1723486447681</v>
      </c>
      <c r="S50" s="18">
        <f t="shared" si="11"/>
        <v>3877.921980811404</v>
      </c>
      <c r="T50" s="18">
        <f t="shared" si="11"/>
        <v>4082.0919563130419</v>
      </c>
      <c r="U50" s="18">
        <f t="shared" si="11"/>
        <v>4297.2542525792323</v>
      </c>
      <c r="V50" s="18">
        <f t="shared" si="11"/>
        <v>4524.012830901087</v>
      </c>
      <c r="W50" s="18">
        <f t="shared" si="11"/>
        <v>4763.0054553853297</v>
      </c>
    </row>
    <row r="51" spans="1:23" ht="16" customHeight="1">
      <c r="A51" s="2"/>
      <c r="B51" s="2"/>
      <c r="C51" s="14"/>
      <c r="D51" s="14"/>
      <c r="E51" s="14"/>
      <c r="F51" s="14"/>
      <c r="G51" s="25"/>
      <c r="H51" s="14"/>
      <c r="I51" s="14"/>
      <c r="J51" s="14"/>
      <c r="K51" s="14"/>
      <c r="L51" s="33"/>
      <c r="M51" s="14"/>
      <c r="N51" s="14"/>
      <c r="O51" s="14"/>
      <c r="P51" s="14"/>
      <c r="Q51" s="33"/>
      <c r="R51" s="14"/>
      <c r="S51" s="14"/>
      <c r="T51" s="14"/>
      <c r="U51" s="14"/>
      <c r="V51" s="14"/>
      <c r="W51" s="14"/>
    </row>
    <row r="52" spans="1:23" ht="16" customHeight="1">
      <c r="A52" s="16" t="s">
        <v>61</v>
      </c>
      <c r="B52" s="16"/>
      <c r="C52" s="23"/>
      <c r="D52" s="23"/>
      <c r="E52" s="23"/>
      <c r="F52" s="23"/>
      <c r="G52" s="28"/>
      <c r="H52" s="23"/>
      <c r="I52" s="23"/>
      <c r="J52" s="23"/>
      <c r="K52" s="23"/>
      <c r="L52" s="36"/>
      <c r="M52" s="23"/>
      <c r="N52" s="23"/>
      <c r="O52" s="23"/>
      <c r="P52" s="23"/>
      <c r="Q52" s="36"/>
      <c r="R52" s="23"/>
      <c r="S52" s="23"/>
      <c r="T52" s="23"/>
      <c r="U52" s="23"/>
      <c r="V52" s="23"/>
      <c r="W52" s="23"/>
    </row>
    <row r="53" spans="1:23" ht="16" customHeight="1">
      <c r="A53" s="2"/>
      <c r="B53" s="2" t="s">
        <v>62</v>
      </c>
      <c r="C53" s="14">
        <v>520</v>
      </c>
      <c r="D53" s="14">
        <v>510</v>
      </c>
      <c r="E53" s="14">
        <v>500</v>
      </c>
      <c r="F53" s="14">
        <v>500</v>
      </c>
      <c r="G53" s="25">
        <f>Assumptions!$G$36</f>
        <v>118.64717373618244</v>
      </c>
      <c r="H53" s="14">
        <f>(($F53*(1+Assumptions!$C$36)*Assumptions!$E$36)-$G53)*Assumptions!$J$36/SUM(Assumptions!$J$36:$L$36)</f>
        <v>130.84240886830207</v>
      </c>
      <c r="I53" s="14">
        <f>(($F53*(1+Assumptions!$C$36)*Assumptions!$E$36)-$G53)*Assumptions!$K$36/SUM(Assumptions!$J$36:$L$36)</f>
        <v>130.84240886830207</v>
      </c>
      <c r="J53" s="14">
        <f>(($F53*(1+Assumptions!$C$36)*Assumptions!$E$36)-$G53)*Assumptions!$L$36/SUM(Assumptions!$J$36:$L$36)</f>
        <v>125.81000852721351</v>
      </c>
      <c r="K53" s="14">
        <f>SUM(G53:J53)</f>
        <v>506.14200000000005</v>
      </c>
      <c r="L53" s="33">
        <f>($K53*(1+Assumptions!$C$36)*Assumptions!$F$36)*Assumptions!$I$36</f>
        <v>129.49744298400003</v>
      </c>
      <c r="M53" s="14">
        <f>($K53*(1+Assumptions!$C$36)*Assumptions!$F$36)*Assumptions!$J$36</f>
        <v>146.38841380800002</v>
      </c>
      <c r="N53" s="14">
        <f>($K53*(1+Assumptions!$C$36)*Assumptions!$F$36)*Assumptions!$K$36</f>
        <v>146.38841380800002</v>
      </c>
      <c r="O53" s="14">
        <f>($K53*(1+Assumptions!$C$36)*Assumptions!$F$36)*Assumptions!$L$36</f>
        <v>140.75809020000003</v>
      </c>
      <c r="P53" s="14">
        <f>SUM(L53:O53)</f>
        <v>563.03236080000011</v>
      </c>
      <c r="Q53" s="33">
        <f>$P53*(1+Assumptions!$C$36)*Assumptions!$F$36</f>
        <v>626.31719815392012</v>
      </c>
      <c r="R53" s="14">
        <f>$Q53*(1+Assumptions!$C$36)*Assumptions!$F$36</f>
        <v>696.71525122642072</v>
      </c>
      <c r="S53" s="14">
        <f>$R53*(1+Assumptions!$D$36)*Assumptions!$F$36</f>
        <v>742.69845780736432</v>
      </c>
      <c r="T53" s="14">
        <f>$S53*(1+Assumptions!$D$36)*Assumptions!$F$36</f>
        <v>791.71655602265025</v>
      </c>
      <c r="U53" s="14">
        <f>$T53*(1+Assumptions!$D$36)*Assumptions!$F$36</f>
        <v>843.96984872014502</v>
      </c>
      <c r="V53" s="14">
        <f>$U53*(1+Assumptions!$D$36)*Assumptions!$F$36</f>
        <v>899.6718587356745</v>
      </c>
      <c r="W53" s="14">
        <f>$V53*(1+Assumptions!$D$36)*Assumptions!$F$36</f>
        <v>959.05020141222883</v>
      </c>
    </row>
    <row r="54" spans="1:23" ht="16" customHeight="1">
      <c r="A54" s="2"/>
      <c r="B54" s="2" t="s">
        <v>63</v>
      </c>
      <c r="C54" s="14">
        <v>360</v>
      </c>
      <c r="D54" s="14">
        <v>370</v>
      </c>
      <c r="E54" s="14">
        <v>380</v>
      </c>
      <c r="F54" s="14">
        <v>400</v>
      </c>
      <c r="G54" s="25">
        <f>Assumptions!$G$37</f>
        <v>94.917738988945956</v>
      </c>
      <c r="H54" s="14">
        <f>(($F54*(1+Assumptions!$C$37)*Assumptions!$E$37)-$G54)*Assumptions!$J$37/SUM(Assumptions!$J$37:$L$37)</f>
        <v>104.67392709464166</v>
      </c>
      <c r="I54" s="14">
        <f>(($F54*(1+Assumptions!$C$37)*Assumptions!$E$37)-$G54)*Assumptions!$K$37/SUM(Assumptions!$J$37:$L$37)</f>
        <v>104.67392709464166</v>
      </c>
      <c r="J54" s="14">
        <f>(($F54*(1+Assumptions!$C$37)*Assumptions!$E$37)-$G54)*Assumptions!$L$37/SUM(Assumptions!$J$37:$L$37)</f>
        <v>100.64800682177081</v>
      </c>
      <c r="K54" s="14">
        <f>SUM(G54:J54)</f>
        <v>404.91360000000009</v>
      </c>
      <c r="L54" s="33">
        <f>($K54*(1+Assumptions!$C$37)*Assumptions!$F$37)*Assumptions!$I$37</f>
        <v>103.59795438720005</v>
      </c>
      <c r="M54" s="14">
        <f>($K54*(1+Assumptions!$C$37)*Assumptions!$F$37)*Assumptions!$J$37</f>
        <v>117.11073104640006</v>
      </c>
      <c r="N54" s="14">
        <f>($K54*(1+Assumptions!$C$37)*Assumptions!$F$37)*Assumptions!$K$37</f>
        <v>117.11073104640006</v>
      </c>
      <c r="O54" s="14">
        <f>($K54*(1+Assumptions!$C$37)*Assumptions!$F$37)*Assumptions!$L$37</f>
        <v>112.60647216000005</v>
      </c>
      <c r="P54" s="14">
        <f>SUM(L54:O54)</f>
        <v>450.42588864000027</v>
      </c>
      <c r="Q54" s="33">
        <f>$P54*(1+Assumptions!$C$37)*Assumptions!$F$37</f>
        <v>501.05375852313642</v>
      </c>
      <c r="R54" s="14">
        <f>$Q54*(1+Assumptions!$C$37)*Assumptions!$F$37</f>
        <v>557.3722009811371</v>
      </c>
      <c r="S54" s="14">
        <f>$R54*(1+Assumptions!$D$37)*Assumptions!$F$37</f>
        <v>594.15876624589214</v>
      </c>
      <c r="T54" s="14">
        <f>$S54*(1+Assumptions!$D$37)*Assumptions!$F$37</f>
        <v>633.37324481812107</v>
      </c>
      <c r="U54" s="14">
        <f>$T54*(1+Assumptions!$D$37)*Assumptions!$F$37</f>
        <v>675.17587897611702</v>
      </c>
      <c r="V54" s="14">
        <f>$U54*(1+Assumptions!$D$37)*Assumptions!$F$37</f>
        <v>719.7374869885407</v>
      </c>
      <c r="W54" s="14">
        <f>$V54*(1+Assumptions!$D$37)*Assumptions!$F$37</f>
        <v>767.24016112978438</v>
      </c>
    </row>
    <row r="55" spans="1:23" ht="16" customHeight="1">
      <c r="A55" s="2"/>
      <c r="B55" s="2" t="s">
        <v>64</v>
      </c>
      <c r="C55" s="14">
        <v>120</v>
      </c>
      <c r="D55" s="14">
        <v>110</v>
      </c>
      <c r="E55" s="14">
        <v>100</v>
      </c>
      <c r="F55" s="14">
        <v>100</v>
      </c>
      <c r="G55" s="25">
        <f>Assumptions!$G$38</f>
        <v>24.627618480037867</v>
      </c>
      <c r="H55" s="14">
        <f>(($F55*(1+Assumptions!$C$38)*Assumptions!$E$38)-$G55)*Assumptions!$J$38/SUM(Assumptions!$J$38:$L$38)</f>
        <v>27.158985967779433</v>
      </c>
      <c r="I55" s="14">
        <f>(($F55*(1+Assumptions!$C$38)*Assumptions!$E$38)-$G55)*Assumptions!$K$38/SUM(Assumptions!$J$38:$L$38)</f>
        <v>27.158985967779433</v>
      </c>
      <c r="J55" s="14">
        <f>(($F55*(1+Assumptions!$C$38)*Assumptions!$E$38)-$G55)*Assumptions!$L$38/SUM(Assumptions!$J$38:$L$38)</f>
        <v>26.114409584403298</v>
      </c>
      <c r="K55" s="14">
        <f>SUM(G55:J55)</f>
        <v>105.06000000000003</v>
      </c>
      <c r="L55" s="33">
        <f>($K55*(1+Assumptions!$C$38)*Assumptions!$F$38)*Assumptions!$I$38</f>
        <v>25.386488280000012</v>
      </c>
      <c r="M55" s="14">
        <f>($K55*(1+Assumptions!$C$38)*Assumptions!$F$38)*Assumptions!$J$38</f>
        <v>28.697769360000017</v>
      </c>
      <c r="N55" s="14">
        <f>($K55*(1+Assumptions!$C$38)*Assumptions!$F$38)*Assumptions!$K$38</f>
        <v>28.697769360000017</v>
      </c>
      <c r="O55" s="14">
        <f>($K55*(1+Assumptions!$C$38)*Assumptions!$F$38)*Assumptions!$L$38</f>
        <v>27.594009000000014</v>
      </c>
      <c r="P55" s="14">
        <f>SUM(L55:O55)</f>
        <v>110.37603600000007</v>
      </c>
      <c r="Q55" s="33">
        <f>$P55*(1+Assumptions!$C$38)*Assumptions!$F$38</f>
        <v>115.9610634216001</v>
      </c>
      <c r="R55" s="14">
        <f>$Q55*(1+Assumptions!$C$38)*Assumptions!$F$38</f>
        <v>121.82869323073309</v>
      </c>
      <c r="S55" s="14">
        <f>$R55*(1+Assumptions!$D$38)*Assumptions!$F$38</f>
        <v>126.12315466711647</v>
      </c>
      <c r="T55" s="14">
        <f>$S55*(1+Assumptions!$D$38)*Assumptions!$F$38</f>
        <v>130.56899586913235</v>
      </c>
      <c r="U55" s="14">
        <f>$T55*(1+Assumptions!$D$38)*Assumptions!$F$38</f>
        <v>135.17155297351928</v>
      </c>
      <c r="V55" s="14">
        <f>$U55*(1+Assumptions!$D$38)*Assumptions!$F$38</f>
        <v>139.93635021583586</v>
      </c>
      <c r="W55" s="14">
        <f>$V55*(1+Assumptions!$D$38)*Assumptions!$F$38</f>
        <v>144.86910656094409</v>
      </c>
    </row>
    <row r="56" spans="1:23" ht="16" customHeight="1">
      <c r="A56" s="17" t="s">
        <v>61</v>
      </c>
      <c r="B56" s="17" t="s">
        <v>40</v>
      </c>
      <c r="C56" s="18">
        <f t="shared" ref="C56:W56" si="12">SUM(C53:C55)</f>
        <v>1000</v>
      </c>
      <c r="D56" s="18">
        <f t="shared" si="12"/>
        <v>990</v>
      </c>
      <c r="E56" s="18">
        <f t="shared" si="12"/>
        <v>980</v>
      </c>
      <c r="F56" s="18">
        <f t="shared" si="12"/>
        <v>1000</v>
      </c>
      <c r="G56" s="29">
        <f t="shared" si="12"/>
        <v>238.19253120516629</v>
      </c>
      <c r="H56" s="18">
        <f t="shared" si="12"/>
        <v>262.67532193072316</v>
      </c>
      <c r="I56" s="18">
        <f t="shared" si="12"/>
        <v>262.67532193072316</v>
      </c>
      <c r="J56" s="18">
        <f t="shared" si="12"/>
        <v>252.57242493338759</v>
      </c>
      <c r="K56" s="18">
        <f t="shared" si="12"/>
        <v>1016.1156000000002</v>
      </c>
      <c r="L56" s="37">
        <f t="shared" si="12"/>
        <v>258.48188565120012</v>
      </c>
      <c r="M56" s="18">
        <f t="shared" si="12"/>
        <v>292.19691421440007</v>
      </c>
      <c r="N56" s="18">
        <f t="shared" si="12"/>
        <v>292.19691421440007</v>
      </c>
      <c r="O56" s="18">
        <f t="shared" si="12"/>
        <v>280.95857136000012</v>
      </c>
      <c r="P56" s="18">
        <f t="shared" si="12"/>
        <v>1123.8342854400005</v>
      </c>
      <c r="Q56" s="37">
        <f t="shared" si="12"/>
        <v>1243.3320200986566</v>
      </c>
      <c r="R56" s="18">
        <f t="shared" si="12"/>
        <v>1375.9161454382909</v>
      </c>
      <c r="S56" s="18">
        <f t="shared" si="12"/>
        <v>1462.980378720373</v>
      </c>
      <c r="T56" s="18">
        <f t="shared" si="12"/>
        <v>1555.6587967099035</v>
      </c>
      <c r="U56" s="18">
        <f t="shared" si="12"/>
        <v>1654.3172806697812</v>
      </c>
      <c r="V56" s="18">
        <f t="shared" si="12"/>
        <v>1759.345695940051</v>
      </c>
      <c r="W56" s="18">
        <f t="shared" si="12"/>
        <v>1871.1594691029572</v>
      </c>
    </row>
    <row r="57" spans="1:23" ht="16" customHeight="1">
      <c r="A57" s="2"/>
      <c r="B57" s="2"/>
      <c r="C57" s="14"/>
      <c r="D57" s="14"/>
      <c r="E57" s="14"/>
      <c r="F57" s="14"/>
      <c r="G57" s="25"/>
      <c r="H57" s="14"/>
      <c r="I57" s="14"/>
      <c r="J57" s="14"/>
      <c r="K57" s="14"/>
      <c r="L57" s="33"/>
      <c r="M57" s="14"/>
      <c r="N57" s="14"/>
      <c r="O57" s="14"/>
      <c r="P57" s="14"/>
      <c r="Q57" s="33"/>
      <c r="R57" s="14"/>
      <c r="S57" s="14"/>
      <c r="T57" s="14"/>
      <c r="U57" s="14"/>
      <c r="V57" s="14"/>
      <c r="W57" s="14"/>
    </row>
    <row r="58" spans="1:23" ht="16" customHeight="1">
      <c r="A58" s="16" t="s">
        <v>65</v>
      </c>
      <c r="B58" s="16"/>
      <c r="C58" s="23"/>
      <c r="D58" s="23"/>
      <c r="E58" s="23"/>
      <c r="F58" s="23"/>
      <c r="G58" s="28"/>
      <c r="H58" s="23"/>
      <c r="I58" s="23"/>
      <c r="J58" s="23"/>
      <c r="K58" s="23"/>
      <c r="L58" s="36"/>
      <c r="M58" s="23"/>
      <c r="N58" s="23"/>
      <c r="O58" s="23"/>
      <c r="P58" s="23"/>
      <c r="Q58" s="36"/>
      <c r="R58" s="23"/>
      <c r="S58" s="23"/>
      <c r="T58" s="23"/>
      <c r="U58" s="23"/>
      <c r="V58" s="23"/>
      <c r="W58" s="23"/>
    </row>
    <row r="59" spans="1:23" ht="16" customHeight="1">
      <c r="A59" s="2"/>
      <c r="B59" s="2" t="s">
        <v>66</v>
      </c>
      <c r="C59" s="14">
        <v>380</v>
      </c>
      <c r="D59" s="14">
        <v>370</v>
      </c>
      <c r="E59" s="14">
        <v>360</v>
      </c>
      <c r="F59" s="14">
        <v>350</v>
      </c>
      <c r="G59" s="25">
        <f>Assumptions!$G$39</f>
        <v>81.119298799940267</v>
      </c>
      <c r="H59" s="14">
        <f>(($F59*(1+Assumptions!$C$39)*Assumptions!$E$39)-$G59)*Assumptions!$J$39/SUM(Assumptions!$J$39:$L$39)</f>
        <v>89.457204301318868</v>
      </c>
      <c r="I59" s="14">
        <f>(($F59*(1+Assumptions!$C$39)*Assumptions!$E$39)-$G59)*Assumptions!$K$39/SUM(Assumptions!$J$39:$L$39)</f>
        <v>89.457204301318868</v>
      </c>
      <c r="J59" s="14">
        <f>(($F59*(1+Assumptions!$C$39)*Assumptions!$E$39)-$G59)*Assumptions!$L$39/SUM(Assumptions!$J$39:$L$39)</f>
        <v>86.016542597421989</v>
      </c>
      <c r="K59" s="14">
        <f>SUM(G59:J59)</f>
        <v>346.05025000000001</v>
      </c>
      <c r="L59" s="33">
        <f>($K59*(1+Assumptions!$C$39)*Assumptions!$F$39)*Assumptions!$I$39</f>
        <v>86.476227223750001</v>
      </c>
      <c r="M59" s="14">
        <f>($K59*(1+Assumptions!$C$39)*Assumptions!$F$39)*Assumptions!$J$39</f>
        <v>97.755735122499999</v>
      </c>
      <c r="N59" s="14">
        <f>($K59*(1+Assumptions!$C$39)*Assumptions!$F$39)*Assumptions!$K$39</f>
        <v>97.755735122499999</v>
      </c>
      <c r="O59" s="14">
        <f>($K59*(1+Assumptions!$C$39)*Assumptions!$F$39)*Assumptions!$L$39</f>
        <v>93.99589915624999</v>
      </c>
      <c r="P59" s="14">
        <f>SUM(L59:O59)</f>
        <v>375.98359662499996</v>
      </c>
      <c r="Q59" s="33">
        <f>$P59*(1+Assumptions!$C$39)*Assumptions!$F$39</f>
        <v>408.50617773306243</v>
      </c>
      <c r="R59" s="14">
        <f>$Q59*(1+Assumptions!$C$39)*Assumptions!$F$39</f>
        <v>443.84196210697229</v>
      </c>
      <c r="S59" s="14">
        <f>$R59*(1+Assumptions!$D$39)*Assumptions!$F$39</f>
        <v>466.30036538958501</v>
      </c>
      <c r="T59" s="14">
        <f>$S59*(1+Assumptions!$D$39)*Assumptions!$F$39</f>
        <v>489.89516387829792</v>
      </c>
      <c r="U59" s="14">
        <f>$T59*(1+Assumptions!$D$39)*Assumptions!$F$39</f>
        <v>514.68385917053968</v>
      </c>
      <c r="V59" s="14">
        <f>$U59*(1+Assumptions!$D$39)*Assumptions!$F$39</f>
        <v>540.72686244456884</v>
      </c>
      <c r="W59" s="14">
        <f>$V59*(1+Assumptions!$D$39)*Assumptions!$F$39</f>
        <v>568.08764168426387</v>
      </c>
    </row>
    <row r="60" spans="1:23" ht="16" customHeight="1">
      <c r="A60" s="2"/>
      <c r="B60" s="2" t="s">
        <v>67</v>
      </c>
      <c r="C60" s="14">
        <v>600</v>
      </c>
      <c r="D60" s="14">
        <v>590</v>
      </c>
      <c r="E60" s="14">
        <v>570</v>
      </c>
      <c r="F60" s="14">
        <v>550</v>
      </c>
      <c r="G60" s="25">
        <f>Assumptions!$G$40</f>
        <v>135.13911076660708</v>
      </c>
      <c r="H60" s="14">
        <f>(($F60*(1+Assumptions!$C$40)*Assumptions!$E$40)-$G60)*Assumptions!$J$40/SUM(Assumptions!$J$40:$L$40)</f>
        <v>137.28154251098448</v>
      </c>
      <c r="I60" s="14">
        <f>(($F60*(1+Assumptions!$C$40)*Assumptions!$E$40)-$G60)*Assumptions!$K$40/SUM(Assumptions!$J$40:$L$40)</f>
        <v>137.28154251098448</v>
      </c>
      <c r="J60" s="14">
        <f>(($F60*(1+Assumptions!$C$40)*Assumptions!$E$40)-$G60)*Assumptions!$L$40/SUM(Assumptions!$J$40:$L$40)</f>
        <v>142.77280421142387</v>
      </c>
      <c r="K60" s="14">
        <f>SUM(G60:J60)</f>
        <v>552.47499999999991</v>
      </c>
      <c r="L60" s="33">
        <f>($K60*(1+Assumptions!$C$40)*Assumptions!$F$40)*Assumptions!$I$40</f>
        <v>133.19067299999998</v>
      </c>
      <c r="M60" s="14">
        <f>($K60*(1+Assumptions!$C$40)*Assumptions!$F$40)*Assumptions!$J$40</f>
        <v>138.74028437499999</v>
      </c>
      <c r="N60" s="14">
        <f>($K60*(1+Assumptions!$C$40)*Assumptions!$F$40)*Assumptions!$K$40</f>
        <v>138.74028437499999</v>
      </c>
      <c r="O60" s="14">
        <f>($K60*(1+Assumptions!$C$40)*Assumptions!$F$40)*Assumptions!$L$40</f>
        <v>144.28989575</v>
      </c>
      <c r="P60" s="14">
        <f>SUM(L60:O60)</f>
        <v>554.96113749999995</v>
      </c>
      <c r="Q60" s="33">
        <f>$P60*(1+Assumptions!$C$40)*Assumptions!$F$40</f>
        <v>557.45846261874999</v>
      </c>
      <c r="R60" s="14">
        <f>$Q60*(1+Assumptions!$C$40)*Assumptions!$F$40</f>
        <v>559.96702570053446</v>
      </c>
      <c r="S60" s="14">
        <f>$R60*(1+Assumptions!$D$40)*Assumptions!$F$40</f>
        <v>554.03137522810891</v>
      </c>
      <c r="T60" s="14">
        <f>$S60*(1+Assumptions!$D$40)*Assumptions!$F$40</f>
        <v>548.15864265069104</v>
      </c>
      <c r="U60" s="14">
        <f>$T60*(1+Assumptions!$D$40)*Assumptions!$F$40</f>
        <v>542.34816103859384</v>
      </c>
      <c r="V60" s="14">
        <f>$U60*(1+Assumptions!$D$40)*Assumptions!$F$40</f>
        <v>536.59927053158481</v>
      </c>
      <c r="W60" s="14">
        <f>$V60*(1+Assumptions!$D$40)*Assumptions!$F$40</f>
        <v>530.91131826395008</v>
      </c>
    </row>
    <row r="61" spans="1:23" ht="16" customHeight="1">
      <c r="A61" s="2"/>
      <c r="B61" s="2" t="s">
        <v>68</v>
      </c>
      <c r="C61" s="14">
        <v>0</v>
      </c>
      <c r="D61" s="14">
        <v>100</v>
      </c>
      <c r="E61" s="14">
        <v>180</v>
      </c>
      <c r="F61" s="14">
        <v>250</v>
      </c>
      <c r="G61" s="25">
        <f>Assumptions!$G$41</f>
        <v>70.20213546317251</v>
      </c>
      <c r="H61" s="14">
        <f>(($F61*(1+Assumptions!$C$41)*Assumptions!$E$41)-$G61)*Assumptions!$J$41/SUM(Assumptions!$J$41:$L$41)</f>
        <v>71.315087018693248</v>
      </c>
      <c r="I61" s="14">
        <f>(($F61*(1+Assumptions!$C$41)*Assumptions!$E$41)-$G61)*Assumptions!$K$41/SUM(Assumptions!$J$41:$L$41)</f>
        <v>71.315087018693248</v>
      </c>
      <c r="J61" s="14">
        <f>(($F61*(1+Assumptions!$C$41)*Assumptions!$E$41)-$G61)*Assumptions!$L$41/SUM(Assumptions!$J$41:$L$41)</f>
        <v>74.167690499440994</v>
      </c>
      <c r="K61" s="14">
        <f>SUM(G61:J61)</f>
        <v>287</v>
      </c>
      <c r="L61" s="33">
        <f>($K61*(1+Assumptions!$C$41)*Assumptions!$F$41)*Assumptions!$I$41</f>
        <v>79.074240000000003</v>
      </c>
      <c r="M61" s="14">
        <f>($K61*(1+Assumptions!$C$41)*Assumptions!$F$41)*Assumptions!$J$41</f>
        <v>82.369</v>
      </c>
      <c r="N61" s="14">
        <f>($K61*(1+Assumptions!$C$41)*Assumptions!$F$41)*Assumptions!$K$41</f>
        <v>82.369</v>
      </c>
      <c r="O61" s="14">
        <f>($K61*(1+Assumptions!$C$41)*Assumptions!$F$41)*Assumptions!$L$41</f>
        <v>85.663759999999996</v>
      </c>
      <c r="P61" s="14">
        <f>SUM(L61:O61)</f>
        <v>329.476</v>
      </c>
      <c r="Q61" s="33">
        <f>$P61*(1+Assumptions!$C$41)*Assumptions!$F$41</f>
        <v>378.23844799999995</v>
      </c>
      <c r="R61" s="14">
        <f>$Q61*(1+Assumptions!$C$41)*Assumptions!$F$41</f>
        <v>434.21773830399991</v>
      </c>
      <c r="S61" s="14">
        <f>$R61*(1+Assumptions!$D$41)*Assumptions!$F$41</f>
        <v>465.04719772358396</v>
      </c>
      <c r="T61" s="14">
        <f>$S61*(1+Assumptions!$D$41)*Assumptions!$F$41</f>
        <v>498.0655487619585</v>
      </c>
      <c r="U61" s="14">
        <f>$T61*(1+Assumptions!$D$41)*Assumptions!$F$41</f>
        <v>533.42820272405766</v>
      </c>
      <c r="V61" s="14">
        <f>$U61*(1+Assumptions!$D$41)*Assumptions!$F$41</f>
        <v>571.3016051174659</v>
      </c>
      <c r="W61" s="14">
        <f>$V61*(1+Assumptions!$D$41)*Assumptions!$F$41</f>
        <v>611.86401908080609</v>
      </c>
    </row>
    <row r="62" spans="1:23" ht="16" customHeight="1">
      <c r="A62" s="2"/>
      <c r="B62" s="2" t="s">
        <v>69</v>
      </c>
      <c r="C62" s="14">
        <v>220</v>
      </c>
      <c r="D62" s="14">
        <v>230</v>
      </c>
      <c r="E62" s="14">
        <v>240</v>
      </c>
      <c r="F62" s="14">
        <v>250</v>
      </c>
      <c r="G62" s="25">
        <f>Assumptions!$G$42</f>
        <v>66.441306777645423</v>
      </c>
      <c r="H62" s="14">
        <f>(($F62*(1+Assumptions!$C$42)*Assumptions!$E$42)-$G62)*Assumptions!$J$42/SUM(Assumptions!$J$42:$L$42)</f>
        <v>67.494635928406112</v>
      </c>
      <c r="I62" s="14">
        <f>(($F62*(1+Assumptions!$C$42)*Assumptions!$E$42)-$G62)*Assumptions!$K$42/SUM(Assumptions!$J$42:$L$42)</f>
        <v>67.494635928406112</v>
      </c>
      <c r="J62" s="14">
        <f>(($F62*(1+Assumptions!$C$42)*Assumptions!$E$42)-$G62)*Assumptions!$L$42/SUM(Assumptions!$J$42:$L$42)</f>
        <v>70.194421365542354</v>
      </c>
      <c r="K62" s="14">
        <f>SUM(G62:J62)</f>
        <v>271.625</v>
      </c>
      <c r="L62" s="33">
        <f>($K62*(1+Assumptions!$C$42)*Assumptions!$F$42)*Assumptions!$I$42</f>
        <v>70.828935000000001</v>
      </c>
      <c r="M62" s="14">
        <f>($K62*(1+Assumptions!$C$42)*Assumptions!$F$42)*Assumptions!$J$42</f>
        <v>73.780140625000001</v>
      </c>
      <c r="N62" s="14">
        <f>($K62*(1+Assumptions!$C$42)*Assumptions!$F$42)*Assumptions!$K$42</f>
        <v>73.780140625000001</v>
      </c>
      <c r="O62" s="14">
        <f>($K62*(1+Assumptions!$C$42)*Assumptions!$F$42)*Assumptions!$L$42</f>
        <v>76.731346250000001</v>
      </c>
      <c r="P62" s="14">
        <f>SUM(L62:O62)</f>
        <v>295.12056250000001</v>
      </c>
      <c r="Q62" s="33">
        <f>$P62*(1+Assumptions!$C$42)*Assumptions!$F$42</f>
        <v>320.64849115625003</v>
      </c>
      <c r="R62" s="14">
        <f>$Q62*(1+Assumptions!$C$42)*Assumptions!$F$42</f>
        <v>348.38458564126569</v>
      </c>
      <c r="S62" s="14">
        <f>$R62*(1+Assumptions!$D$42)*Assumptions!$F$42</f>
        <v>366.01284567471373</v>
      </c>
      <c r="T62" s="14">
        <f>$S62*(1+Assumptions!$D$42)*Assumptions!$F$42</f>
        <v>384.53309566585426</v>
      </c>
      <c r="U62" s="14">
        <f>$T62*(1+Assumptions!$D$42)*Assumptions!$F$42</f>
        <v>403.99047030654646</v>
      </c>
      <c r="V62" s="14">
        <f>$U62*(1+Assumptions!$D$42)*Assumptions!$F$42</f>
        <v>424.43238810405768</v>
      </c>
      <c r="W62" s="14">
        <f>$V62*(1+Assumptions!$D$42)*Assumptions!$F$42</f>
        <v>445.90866694212298</v>
      </c>
    </row>
    <row r="63" spans="1:23" ht="16" customHeight="1">
      <c r="A63" s="17" t="s">
        <v>65</v>
      </c>
      <c r="B63" s="17" t="s">
        <v>40</v>
      </c>
      <c r="C63" s="18">
        <f t="shared" ref="C63:W63" si="13">SUM(C59:C62)</f>
        <v>1200</v>
      </c>
      <c r="D63" s="18">
        <f t="shared" si="13"/>
        <v>1290</v>
      </c>
      <c r="E63" s="18">
        <f t="shared" si="13"/>
        <v>1350</v>
      </c>
      <c r="F63" s="18">
        <f t="shared" si="13"/>
        <v>1400</v>
      </c>
      <c r="G63" s="29">
        <f t="shared" si="13"/>
        <v>352.90185180736529</v>
      </c>
      <c r="H63" s="18">
        <f t="shared" si="13"/>
        <v>365.54846975940274</v>
      </c>
      <c r="I63" s="18">
        <f t="shared" si="13"/>
        <v>365.54846975940274</v>
      </c>
      <c r="J63" s="18">
        <f t="shared" si="13"/>
        <v>373.15145867382921</v>
      </c>
      <c r="K63" s="18">
        <f t="shared" si="13"/>
        <v>1457.1502499999999</v>
      </c>
      <c r="L63" s="37">
        <f t="shared" si="13"/>
        <v>369.57007522375</v>
      </c>
      <c r="M63" s="18">
        <f t="shared" si="13"/>
        <v>392.64516012249999</v>
      </c>
      <c r="N63" s="18">
        <f t="shared" si="13"/>
        <v>392.64516012249999</v>
      </c>
      <c r="O63" s="18">
        <f t="shared" si="13"/>
        <v>400.68090115625</v>
      </c>
      <c r="P63" s="18">
        <f t="shared" si="13"/>
        <v>1555.5412966249999</v>
      </c>
      <c r="Q63" s="37">
        <f t="shared" si="13"/>
        <v>1664.8515795080623</v>
      </c>
      <c r="R63" s="18">
        <f t="shared" si="13"/>
        <v>1786.4113117527725</v>
      </c>
      <c r="S63" s="18">
        <f t="shared" si="13"/>
        <v>1851.3917840159916</v>
      </c>
      <c r="T63" s="18">
        <f t="shared" si="13"/>
        <v>1920.6524509568017</v>
      </c>
      <c r="U63" s="18">
        <f t="shared" si="13"/>
        <v>1994.4506932397376</v>
      </c>
      <c r="V63" s="18">
        <f t="shared" si="13"/>
        <v>2073.0601261976772</v>
      </c>
      <c r="W63" s="18">
        <f t="shared" si="13"/>
        <v>2156.7716459711432</v>
      </c>
    </row>
    <row r="64" spans="1:23" ht="16" customHeight="1">
      <c r="A64" s="2"/>
      <c r="B64" s="2"/>
      <c r="C64" s="14"/>
      <c r="D64" s="14"/>
      <c r="E64" s="14"/>
      <c r="F64" s="14"/>
      <c r="G64" s="25"/>
      <c r="H64" s="14"/>
      <c r="I64" s="14"/>
      <c r="J64" s="14"/>
      <c r="K64" s="14"/>
      <c r="L64" s="33"/>
      <c r="M64" s="14"/>
      <c r="N64" s="14"/>
      <c r="O64" s="14"/>
      <c r="P64" s="14"/>
      <c r="Q64" s="33"/>
      <c r="R64" s="14"/>
      <c r="S64" s="14"/>
      <c r="T64" s="14"/>
      <c r="U64" s="14"/>
      <c r="V64" s="14"/>
      <c r="W64" s="14"/>
    </row>
    <row r="65" spans="1:23" ht="16" customHeight="1">
      <c r="A65" s="16" t="s">
        <v>70</v>
      </c>
      <c r="B65" s="16"/>
      <c r="C65" s="23"/>
      <c r="D65" s="23"/>
      <c r="E65" s="23"/>
      <c r="F65" s="23"/>
      <c r="G65" s="28"/>
      <c r="H65" s="23"/>
      <c r="I65" s="23"/>
      <c r="J65" s="23"/>
      <c r="K65" s="23"/>
      <c r="L65" s="36"/>
      <c r="M65" s="23"/>
      <c r="N65" s="23"/>
      <c r="O65" s="23"/>
      <c r="P65" s="23"/>
      <c r="Q65" s="36"/>
      <c r="R65" s="23"/>
      <c r="S65" s="23"/>
      <c r="T65" s="23"/>
      <c r="U65" s="23"/>
      <c r="V65" s="23"/>
      <c r="W65" s="23"/>
    </row>
    <row r="66" spans="1:23" ht="16" customHeight="1">
      <c r="A66" s="2"/>
      <c r="B66" s="2" t="s">
        <v>71</v>
      </c>
      <c r="C66" s="14">
        <v>330</v>
      </c>
      <c r="D66" s="14">
        <v>320</v>
      </c>
      <c r="E66" s="14">
        <v>310</v>
      </c>
      <c r="F66" s="14">
        <v>300</v>
      </c>
      <c r="G66" s="25">
        <f>Assumptions!$G$43</f>
        <v>75.583483826203164</v>
      </c>
      <c r="H66" s="14">
        <f>(($F66*(1+Assumptions!$C$43)*Assumptions!$E$43)-$G66)*Assumptions!$J$43/SUM(Assumptions!$J$43:$L$43)</f>
        <v>76.78174874138054</v>
      </c>
      <c r="I66" s="14">
        <f>(($F66*(1+Assumptions!$C$43)*Assumptions!$E$43)-$G66)*Assumptions!$K$43/SUM(Assumptions!$J$43:$L$43)</f>
        <v>76.78174874138054</v>
      </c>
      <c r="J66" s="14">
        <f>(($F66*(1+Assumptions!$C$43)*Assumptions!$E$43)-$G66)*Assumptions!$L$43/SUM(Assumptions!$J$43:$L$43)</f>
        <v>79.853018691035757</v>
      </c>
      <c r="K66" s="14">
        <f>SUM(G66:J66)</f>
        <v>309</v>
      </c>
      <c r="L66" s="33">
        <f>($K66*(1+Assumptions!$C$43)*Assumptions!$F$43)*Assumptions!$I$43</f>
        <v>76.384799999999998</v>
      </c>
      <c r="M66" s="14">
        <f>($K66*(1+Assumptions!$C$43)*Assumptions!$F$43)*Assumptions!$J$43</f>
        <v>79.567499999999995</v>
      </c>
      <c r="N66" s="14">
        <f>($K66*(1+Assumptions!$C$43)*Assumptions!$F$43)*Assumptions!$K$43</f>
        <v>79.567499999999995</v>
      </c>
      <c r="O66" s="14">
        <f>($K66*(1+Assumptions!$C$43)*Assumptions!$F$43)*Assumptions!$L$43</f>
        <v>82.750199999999992</v>
      </c>
      <c r="P66" s="14">
        <f>SUM(L66:O66)</f>
        <v>318.27</v>
      </c>
      <c r="Q66" s="33">
        <f>$P66*(1+Assumptions!$C$43)*Assumptions!$F$43</f>
        <v>327.81810000000002</v>
      </c>
      <c r="R66" s="14">
        <f>$Q66*(1+Assumptions!$C$43)*Assumptions!$F$43</f>
        <v>337.65264300000001</v>
      </c>
      <c r="S66" s="14">
        <f>$R66*(1+Assumptions!$D$43)*Assumptions!$F$43</f>
        <v>342.63301948424993</v>
      </c>
      <c r="T66" s="14">
        <f>$S66*(1+Assumptions!$D$43)*Assumptions!$F$43</f>
        <v>347.68685652164254</v>
      </c>
      <c r="U66" s="14">
        <f>$T66*(1+Assumptions!$D$43)*Assumptions!$F$43</f>
        <v>352.81523765533672</v>
      </c>
      <c r="V66" s="14">
        <f>$U66*(1+Assumptions!$D$43)*Assumptions!$F$43</f>
        <v>358.01926241075284</v>
      </c>
      <c r="W66" s="14">
        <f>$V66*(1+Assumptions!$D$43)*Assumptions!$F$43</f>
        <v>363.30004653131141</v>
      </c>
    </row>
    <row r="67" spans="1:23" ht="16" customHeight="1">
      <c r="A67" s="2"/>
      <c r="B67" s="2" t="s">
        <v>72</v>
      </c>
      <c r="C67" s="14">
        <v>580</v>
      </c>
      <c r="D67" s="14">
        <v>600</v>
      </c>
      <c r="E67" s="14">
        <v>620</v>
      </c>
      <c r="F67" s="14">
        <v>650</v>
      </c>
      <c r="G67" s="25">
        <f>Assumptions!$G$44</f>
        <v>171.95242570461221</v>
      </c>
      <c r="H67" s="14">
        <f>(($F67*(1+Assumptions!$C$44)*Assumptions!$E$44)-$G67)*Assumptions!$J$44/SUM(Assumptions!$J$44:$L$44)</f>
        <v>174.67847838664073</v>
      </c>
      <c r="I67" s="14">
        <f>(($F67*(1+Assumptions!$C$44)*Assumptions!$E$44)-$G67)*Assumptions!$K$44/SUM(Assumptions!$J$44:$L$44)</f>
        <v>174.67847838664073</v>
      </c>
      <c r="J67" s="14">
        <f>(($F67*(1+Assumptions!$C$44)*Assumptions!$E$44)-$G67)*Assumptions!$L$44/SUM(Assumptions!$J$44:$L$44)</f>
        <v>181.66561752210637</v>
      </c>
      <c r="K67" s="14">
        <f>SUM(G67:J67)</f>
        <v>702.97500000000002</v>
      </c>
      <c r="L67" s="33">
        <f>($K67*(1+Assumptions!$C$44)*Assumptions!$F$44)*Assumptions!$I$44</f>
        <v>182.464191</v>
      </c>
      <c r="M67" s="14">
        <f>($K67*(1+Assumptions!$C$44)*Assumptions!$F$44)*Assumptions!$J$44</f>
        <v>190.06686562500002</v>
      </c>
      <c r="N67" s="14">
        <f>($K67*(1+Assumptions!$C$44)*Assumptions!$F$44)*Assumptions!$K$44</f>
        <v>190.06686562500002</v>
      </c>
      <c r="O67" s="14">
        <f>($K67*(1+Assumptions!$C$44)*Assumptions!$F$44)*Assumptions!$L$44</f>
        <v>197.66954025000004</v>
      </c>
      <c r="P67" s="14">
        <f>SUM(L67:O67)</f>
        <v>760.26746250000008</v>
      </c>
      <c r="Q67" s="33">
        <f>$P67*(1+Assumptions!$C$44)*Assumptions!$F$44</f>
        <v>822.22926069375023</v>
      </c>
      <c r="R67" s="14">
        <f>$Q67*(1+Assumptions!$C$44)*Assumptions!$F$44</f>
        <v>889.24094544029094</v>
      </c>
      <c r="S67" s="14">
        <f>$R67*(1+Assumptions!$D$44)*Assumptions!$F$44</f>
        <v>938.81612814858715</v>
      </c>
      <c r="T67" s="14">
        <f>$S67*(1+Assumptions!$D$44)*Assumptions!$F$44</f>
        <v>991.15512729287082</v>
      </c>
      <c r="U67" s="14">
        <f>$T67*(1+Assumptions!$D$44)*Assumptions!$F$44</f>
        <v>1046.4120256394483</v>
      </c>
      <c r="V67" s="14">
        <f>$U67*(1+Assumptions!$D$44)*Assumptions!$F$44</f>
        <v>1104.7494960688475</v>
      </c>
      <c r="W67" s="14">
        <f>$V67*(1+Assumptions!$D$44)*Assumptions!$F$44</f>
        <v>1166.3392804746857</v>
      </c>
    </row>
    <row r="68" spans="1:23" ht="16" customHeight="1">
      <c r="A68" s="2"/>
      <c r="B68" s="2" t="s">
        <v>73</v>
      </c>
      <c r="C68" s="14">
        <v>400</v>
      </c>
      <c r="D68" s="14">
        <v>410</v>
      </c>
      <c r="E68" s="14">
        <v>430</v>
      </c>
      <c r="F68" s="14">
        <v>450</v>
      </c>
      <c r="G68" s="25">
        <f>Assumptions!$G$45</f>
        <v>117.91023476887693</v>
      </c>
      <c r="H68" s="14">
        <f>(($F68*(1+Assumptions!$C$45)*Assumptions!$E$45)-$G68)*Assumptions!$J$45/SUM(Assumptions!$J$45:$L$45)</f>
        <v>119.77952803655364</v>
      </c>
      <c r="I68" s="14">
        <f>(($F68*(1+Assumptions!$C$45)*Assumptions!$E$45)-$G68)*Assumptions!$K$45/SUM(Assumptions!$J$45:$L$45)</f>
        <v>119.77952803655364</v>
      </c>
      <c r="J68" s="14">
        <f>(($F68*(1+Assumptions!$C$45)*Assumptions!$E$45)-$G68)*Assumptions!$L$45/SUM(Assumptions!$J$45:$L$45)</f>
        <v>124.5707091580158</v>
      </c>
      <c r="K68" s="14">
        <f>SUM(G68:J68)</f>
        <v>482.04</v>
      </c>
      <c r="L68" s="33">
        <f>($K68*(1+Assumptions!$C$45)*Assumptions!$F$45)*Assumptions!$I$45</f>
        <v>123.92669952</v>
      </c>
      <c r="M68" s="14">
        <f>($K68*(1+Assumptions!$C$45)*Assumptions!$F$45)*Assumptions!$J$45</f>
        <v>129.09031200000001</v>
      </c>
      <c r="N68" s="14">
        <f>($K68*(1+Assumptions!$C$45)*Assumptions!$F$45)*Assumptions!$K$45</f>
        <v>129.09031200000001</v>
      </c>
      <c r="O68" s="14">
        <f>($K68*(1+Assumptions!$C$45)*Assumptions!$F$45)*Assumptions!$L$45</f>
        <v>134.25392448000002</v>
      </c>
      <c r="P68" s="14">
        <f>SUM(L68:O68)</f>
        <v>516.36124800000005</v>
      </c>
      <c r="Q68" s="33">
        <f>$P68*(1+Assumptions!$C$45)*Assumptions!$F$45</f>
        <v>553.12616885760008</v>
      </c>
      <c r="R68" s="14">
        <f>$Q68*(1+Assumptions!$C$45)*Assumptions!$F$45</f>
        <v>592.50875208026127</v>
      </c>
      <c r="S68" s="14">
        <f>$R68*(1+Assumptions!$D$45)*Assumptions!$F$45</f>
        <v>619.46790029991314</v>
      </c>
      <c r="T68" s="14">
        <f>$S68*(1+Assumptions!$D$45)*Assumptions!$F$45</f>
        <v>647.6536897635591</v>
      </c>
      <c r="U68" s="14">
        <f>$T68*(1+Assumptions!$D$45)*Assumptions!$F$45</f>
        <v>677.12193264780092</v>
      </c>
      <c r="V68" s="14">
        <f>$U68*(1+Assumptions!$D$45)*Assumptions!$F$45</f>
        <v>707.93098058327575</v>
      </c>
      <c r="W68" s="14">
        <f>$V68*(1+Assumptions!$D$45)*Assumptions!$F$45</f>
        <v>740.14184019981474</v>
      </c>
    </row>
    <row r="69" spans="1:23" ht="16" customHeight="1">
      <c r="A69" s="2"/>
      <c r="B69" s="2" t="s">
        <v>74</v>
      </c>
      <c r="C69" s="14">
        <v>140</v>
      </c>
      <c r="D69" s="14">
        <v>145</v>
      </c>
      <c r="E69" s="14">
        <v>145</v>
      </c>
      <c r="F69" s="14">
        <v>150</v>
      </c>
      <c r="G69" s="25">
        <f>Assumptions!$G$46</f>
        <v>38.547576751363614</v>
      </c>
      <c r="H69" s="14">
        <f>(($F69*(1+Assumptions!$C$46)*Assumptions!$E$46)-$G69)*Assumptions!$J$46/SUM(Assumptions!$J$46:$L$46)</f>
        <v>39.158691858104078</v>
      </c>
      <c r="I69" s="14">
        <f>(($F69*(1+Assumptions!$C$46)*Assumptions!$E$46)-$G69)*Assumptions!$K$46/SUM(Assumptions!$J$46:$L$46)</f>
        <v>39.158691858104078</v>
      </c>
      <c r="J69" s="14">
        <f>(($F69*(1+Assumptions!$C$46)*Assumptions!$E$46)-$G69)*Assumptions!$L$46/SUM(Assumptions!$J$46:$L$46)</f>
        <v>40.725039532428241</v>
      </c>
      <c r="K69" s="14">
        <f>SUM(G69:J69)</f>
        <v>157.59</v>
      </c>
      <c r="L69" s="33">
        <f>($K69*(1+Assumptions!$C$46)*Assumptions!$F$46)*Assumptions!$I$46</f>
        <v>39.735372960000021</v>
      </c>
      <c r="M69" s="14">
        <f>($K69*(1+Assumptions!$C$46)*Assumptions!$F$46)*Assumptions!$J$46</f>
        <v>41.391013500000021</v>
      </c>
      <c r="N69" s="14">
        <f>($K69*(1+Assumptions!$C$46)*Assumptions!$F$46)*Assumptions!$K$46</f>
        <v>41.391013500000021</v>
      </c>
      <c r="O69" s="14">
        <f>($K69*(1+Assumptions!$C$46)*Assumptions!$F$46)*Assumptions!$L$46</f>
        <v>43.046654040000021</v>
      </c>
      <c r="P69" s="14">
        <f>SUM(L69:O69)</f>
        <v>165.56405400000008</v>
      </c>
      <c r="Q69" s="33">
        <f>$P69*(1+Assumptions!$C$46)*Assumptions!$F$46</f>
        <v>173.94159513240018</v>
      </c>
      <c r="R69" s="14">
        <f>$Q69*(1+Assumptions!$C$46)*Assumptions!$F$46</f>
        <v>182.74303984609972</v>
      </c>
      <c r="S69" s="14">
        <f>$R69*(1+Assumptions!$D$46)*Assumptions!$F$46</f>
        <v>189.18473200067481</v>
      </c>
      <c r="T69" s="14">
        <f>$S69*(1+Assumptions!$D$46)*Assumptions!$F$46</f>
        <v>195.85349380369868</v>
      </c>
      <c r="U69" s="14">
        <f>$T69*(1+Assumptions!$D$46)*Assumptions!$F$46</f>
        <v>202.75732946027915</v>
      </c>
      <c r="V69" s="14">
        <f>$U69*(1+Assumptions!$D$46)*Assumptions!$F$46</f>
        <v>209.90452532375409</v>
      </c>
      <c r="W69" s="14">
        <f>$V69*(1+Assumptions!$D$46)*Assumptions!$F$46</f>
        <v>217.3036598414165</v>
      </c>
    </row>
    <row r="70" spans="1:23" ht="16" customHeight="1">
      <c r="A70" s="17" t="s">
        <v>70</v>
      </c>
      <c r="B70" s="17" t="s">
        <v>40</v>
      </c>
      <c r="C70" s="18">
        <f t="shared" ref="C70:W70" si="14">SUM(C66:C69)</f>
        <v>1450</v>
      </c>
      <c r="D70" s="18">
        <f t="shared" si="14"/>
        <v>1475</v>
      </c>
      <c r="E70" s="18">
        <f t="shared" si="14"/>
        <v>1505</v>
      </c>
      <c r="F70" s="18">
        <f t="shared" si="14"/>
        <v>1550</v>
      </c>
      <c r="G70" s="29">
        <f t="shared" si="14"/>
        <v>403.99372105105596</v>
      </c>
      <c r="H70" s="18">
        <f t="shared" si="14"/>
        <v>410.39844702267902</v>
      </c>
      <c r="I70" s="18">
        <f t="shared" si="14"/>
        <v>410.39844702267902</v>
      </c>
      <c r="J70" s="18">
        <f t="shared" si="14"/>
        <v>426.81438490358619</v>
      </c>
      <c r="K70" s="18">
        <f t="shared" si="14"/>
        <v>1651.605</v>
      </c>
      <c r="L70" s="37">
        <f t="shared" si="14"/>
        <v>422.51106348000002</v>
      </c>
      <c r="M70" s="18">
        <f t="shared" si="14"/>
        <v>440.11569112500007</v>
      </c>
      <c r="N70" s="18">
        <f t="shared" si="14"/>
        <v>440.11569112500007</v>
      </c>
      <c r="O70" s="18">
        <f t="shared" si="14"/>
        <v>457.72031877000006</v>
      </c>
      <c r="P70" s="18">
        <f t="shared" si="14"/>
        <v>1760.4627645000003</v>
      </c>
      <c r="Q70" s="37">
        <f t="shared" si="14"/>
        <v>1877.1151246837505</v>
      </c>
      <c r="R70" s="18">
        <f t="shared" si="14"/>
        <v>2002.1453803666518</v>
      </c>
      <c r="S70" s="18">
        <f t="shared" si="14"/>
        <v>2090.1017799334254</v>
      </c>
      <c r="T70" s="18">
        <f t="shared" si="14"/>
        <v>2182.3491673817712</v>
      </c>
      <c r="U70" s="18">
        <f t="shared" si="14"/>
        <v>2279.1065254028654</v>
      </c>
      <c r="V70" s="18">
        <f t="shared" si="14"/>
        <v>2380.6042643866303</v>
      </c>
      <c r="W70" s="18">
        <f t="shared" si="14"/>
        <v>2487.0848270472284</v>
      </c>
    </row>
    <row r="71" spans="1:23" ht="16" customHeight="1">
      <c r="A71" s="2"/>
      <c r="B71" s="2"/>
      <c r="C71" s="14"/>
      <c r="D71" s="14"/>
      <c r="E71" s="14"/>
      <c r="F71" s="14"/>
      <c r="G71" s="25"/>
      <c r="H71" s="14"/>
      <c r="I71" s="14"/>
      <c r="J71" s="14"/>
      <c r="K71" s="14"/>
      <c r="L71" s="33"/>
      <c r="M71" s="14"/>
      <c r="N71" s="14"/>
      <c r="O71" s="14"/>
      <c r="P71" s="14"/>
      <c r="Q71" s="33"/>
      <c r="R71" s="14"/>
      <c r="S71" s="14"/>
      <c r="T71" s="14"/>
      <c r="U71" s="14"/>
      <c r="V71" s="14"/>
      <c r="W71" s="14"/>
    </row>
    <row r="72" spans="1:23" ht="16" customHeight="1">
      <c r="A72" s="16" t="s">
        <v>75</v>
      </c>
      <c r="B72" s="16"/>
      <c r="C72" s="23"/>
      <c r="D72" s="23"/>
      <c r="E72" s="23"/>
      <c r="F72" s="23"/>
      <c r="G72" s="28"/>
      <c r="H72" s="23"/>
      <c r="I72" s="23"/>
      <c r="J72" s="23"/>
      <c r="K72" s="23"/>
      <c r="L72" s="36"/>
      <c r="M72" s="23"/>
      <c r="N72" s="23"/>
      <c r="O72" s="23"/>
      <c r="P72" s="23"/>
      <c r="Q72" s="36"/>
      <c r="R72" s="23"/>
      <c r="S72" s="23"/>
      <c r="T72" s="23"/>
      <c r="U72" s="23"/>
      <c r="V72" s="23"/>
      <c r="W72" s="23"/>
    </row>
    <row r="73" spans="1:23" ht="16" customHeight="1">
      <c r="A73" s="2"/>
      <c r="B73" s="2" t="s">
        <v>76</v>
      </c>
      <c r="C73" s="14">
        <v>0</v>
      </c>
      <c r="D73" s="14">
        <v>0</v>
      </c>
      <c r="E73" s="14">
        <v>0</v>
      </c>
      <c r="F73" s="14">
        <v>80</v>
      </c>
      <c r="G73" s="25">
        <f>Assumptions!$G$47</f>
        <v>31.089517133690684</v>
      </c>
      <c r="H73" s="14">
        <f>(($F73*(1+Assumptions!$C$47)*Assumptions!$E$47)-$G73)*Assumptions!$J$47/SUM(Assumptions!$J$47:$L$47)</f>
        <v>31.582395679707009</v>
      </c>
      <c r="I73" s="14">
        <f>(($F73*(1+Assumptions!$C$47)*Assumptions!$E$47)-$G73)*Assumptions!$K$47/SUM(Assumptions!$J$47:$L$47)</f>
        <v>31.582395679707009</v>
      </c>
      <c r="J73" s="14">
        <f>(($F73*(1+Assumptions!$C$47)*Assumptions!$E$47)-$G73)*Assumptions!$L$47/SUM(Assumptions!$J$47:$L$47)</f>
        <v>32.845691506895292</v>
      </c>
      <c r="K73" s="14">
        <f>SUM(G73:J73)</f>
        <v>127.1</v>
      </c>
      <c r="L73" s="33">
        <f>($K73*(1+Assumptions!$C$47)*Assumptions!$F$47)*Assumptions!$I$47</f>
        <v>48.463229999999996</v>
      </c>
      <c r="M73" s="14">
        <f>($K73*(1+Assumptions!$C$47)*Assumptions!$F$47)*Assumptions!$J$47</f>
        <v>50.482531249999994</v>
      </c>
      <c r="N73" s="14">
        <f>($K73*(1+Assumptions!$C$47)*Assumptions!$F$47)*Assumptions!$K$47</f>
        <v>50.482531249999994</v>
      </c>
      <c r="O73" s="14">
        <f>($K73*(1+Assumptions!$C$47)*Assumptions!$F$47)*Assumptions!$L$47</f>
        <v>52.501832499999992</v>
      </c>
      <c r="P73" s="14">
        <f>SUM(L73:O73)</f>
        <v>201.93012499999998</v>
      </c>
      <c r="Q73" s="33">
        <f>$P73*(1+Assumptions!$C$47)*Assumptions!$F$47</f>
        <v>320.81648609374992</v>
      </c>
      <c r="R73" s="14">
        <f>$Q73*(1+Assumptions!$C$47)*Assumptions!$F$47</f>
        <v>509.69719228144515</v>
      </c>
      <c r="S73" s="14">
        <f>$R73*(1+Assumptions!$D$47)*Assumptions!$F$47</f>
        <v>597.87480654613512</v>
      </c>
      <c r="T73" s="14">
        <f>$S73*(1+Assumptions!$D$47)*Assumptions!$F$47</f>
        <v>701.30714807861636</v>
      </c>
      <c r="U73" s="14">
        <f>$T73*(1+Assumptions!$D$47)*Assumptions!$F$47</f>
        <v>822.63328469621683</v>
      </c>
      <c r="V73" s="14">
        <f>$U73*(1+Assumptions!$D$47)*Assumptions!$F$47</f>
        <v>964.94884294866222</v>
      </c>
      <c r="W73" s="14">
        <f>$V73*(1+Assumptions!$D$47)*Assumptions!$F$47</f>
        <v>1131.8849927787805</v>
      </c>
    </row>
    <row r="74" spans="1:23" ht="16" customHeight="1">
      <c r="A74" s="2"/>
      <c r="B74" s="2" t="s">
        <v>77</v>
      </c>
      <c r="C74" s="14">
        <v>80</v>
      </c>
      <c r="D74" s="14">
        <v>75</v>
      </c>
      <c r="E74" s="14">
        <v>70</v>
      </c>
      <c r="F74" s="14">
        <v>70</v>
      </c>
      <c r="G74" s="25">
        <f>Assumptions!$G$48</f>
        <v>17.90154454310899</v>
      </c>
      <c r="H74" s="14">
        <f>(($F74*(1+Assumptions!$C$48)*Assumptions!$E$48)-$G74)*Assumptions!$J$48/SUM(Assumptions!$J$48:$L$48)</f>
        <v>18.18534718976678</v>
      </c>
      <c r="I74" s="14">
        <f>(($F74*(1+Assumptions!$C$48)*Assumptions!$E$48)-$G74)*Assumptions!$K$48/SUM(Assumptions!$J$48:$L$48)</f>
        <v>18.18534718976678</v>
      </c>
      <c r="J74" s="14">
        <f>(($F74*(1+Assumptions!$C$48)*Assumptions!$E$48)-$G74)*Assumptions!$L$48/SUM(Assumptions!$J$48:$L$48)</f>
        <v>18.912761077357452</v>
      </c>
      <c r="K74" s="14">
        <f>SUM(G74:J74)</f>
        <v>73.185000000000002</v>
      </c>
      <c r="L74" s="33">
        <f>($K74*(1+Assumptions!$C$48)*Assumptions!$F$48)*Assumptions!$I$48</f>
        <v>18.363580199999998</v>
      </c>
      <c r="M74" s="14">
        <f>($K74*(1+Assumptions!$C$48)*Assumptions!$F$48)*Assumptions!$J$48</f>
        <v>19.128729374999999</v>
      </c>
      <c r="N74" s="14">
        <f>($K74*(1+Assumptions!$C$48)*Assumptions!$F$48)*Assumptions!$K$48</f>
        <v>19.128729374999999</v>
      </c>
      <c r="O74" s="14">
        <f>($K74*(1+Assumptions!$C$48)*Assumptions!$F$48)*Assumptions!$L$48</f>
        <v>19.89387855</v>
      </c>
      <c r="P74" s="14">
        <f>SUM(L74:O74)</f>
        <v>76.514917499999996</v>
      </c>
      <c r="Q74" s="33">
        <f>$P74*(1+Assumptions!$C$48)*Assumptions!$F$48</f>
        <v>79.996346246249985</v>
      </c>
      <c r="R74" s="14">
        <f>$Q74*(1+Assumptions!$C$48)*Assumptions!$F$48</f>
        <v>83.636180000454345</v>
      </c>
      <c r="S74" s="14">
        <f>$R74*(1+Assumptions!$D$48)*Assumptions!$F$48</f>
        <v>86.161992636468071</v>
      </c>
      <c r="T74" s="14">
        <f>$S74*(1+Assumptions!$D$48)*Assumptions!$F$48</f>
        <v>88.764084814089401</v>
      </c>
      <c r="U74" s="14">
        <f>$T74*(1+Assumptions!$D$48)*Assumptions!$F$48</f>
        <v>91.444760175474897</v>
      </c>
      <c r="V74" s="14">
        <f>$U74*(1+Assumptions!$D$48)*Assumptions!$F$48</f>
        <v>94.206391932774238</v>
      </c>
      <c r="W74" s="14">
        <f>$V74*(1+Assumptions!$D$48)*Assumptions!$F$48</f>
        <v>97.051424969144023</v>
      </c>
    </row>
    <row r="75" spans="1:23" ht="16" customHeight="1">
      <c r="A75" s="17" t="s">
        <v>75</v>
      </c>
      <c r="B75" s="17" t="s">
        <v>40</v>
      </c>
      <c r="C75" s="18">
        <f t="shared" ref="C75:W75" si="15">SUM(C73:C74)</f>
        <v>80</v>
      </c>
      <c r="D75" s="18">
        <f t="shared" si="15"/>
        <v>75</v>
      </c>
      <c r="E75" s="18">
        <f t="shared" si="15"/>
        <v>70</v>
      </c>
      <c r="F75" s="18">
        <f t="shared" si="15"/>
        <v>150</v>
      </c>
      <c r="G75" s="29">
        <f t="shared" si="15"/>
        <v>48.991061676799674</v>
      </c>
      <c r="H75" s="18">
        <f t="shared" si="15"/>
        <v>49.767742869473793</v>
      </c>
      <c r="I75" s="18">
        <f t="shared" si="15"/>
        <v>49.767742869473793</v>
      </c>
      <c r="J75" s="18">
        <f t="shared" si="15"/>
        <v>51.758452584252744</v>
      </c>
      <c r="K75" s="18">
        <f t="shared" si="15"/>
        <v>200.285</v>
      </c>
      <c r="L75" s="37">
        <f t="shared" si="15"/>
        <v>66.826810199999997</v>
      </c>
      <c r="M75" s="18">
        <f t="shared" si="15"/>
        <v>69.611260625</v>
      </c>
      <c r="N75" s="18">
        <f t="shared" si="15"/>
        <v>69.611260625</v>
      </c>
      <c r="O75" s="18">
        <f t="shared" si="15"/>
        <v>72.395711049999989</v>
      </c>
      <c r="P75" s="18">
        <f t="shared" si="15"/>
        <v>278.4450425</v>
      </c>
      <c r="Q75" s="37">
        <f t="shared" si="15"/>
        <v>400.81283233999989</v>
      </c>
      <c r="R75" s="18">
        <f t="shared" si="15"/>
        <v>593.33337228189953</v>
      </c>
      <c r="S75" s="18">
        <f t="shared" si="15"/>
        <v>684.0367991826032</v>
      </c>
      <c r="T75" s="18">
        <f t="shared" si="15"/>
        <v>790.07123289270578</v>
      </c>
      <c r="U75" s="18">
        <f t="shared" si="15"/>
        <v>914.07804487169176</v>
      </c>
      <c r="V75" s="18">
        <f t="shared" si="15"/>
        <v>1059.1552348814364</v>
      </c>
      <c r="W75" s="18">
        <f t="shared" si="15"/>
        <v>1228.9364177479247</v>
      </c>
    </row>
    <row r="76" spans="1:23" ht="16" customHeight="1">
      <c r="A76" s="2"/>
      <c r="B76" s="2"/>
      <c r="C76" s="14"/>
      <c r="D76" s="14"/>
      <c r="E76" s="14"/>
      <c r="F76" s="14"/>
      <c r="G76" s="25"/>
      <c r="H76" s="14"/>
      <c r="I76" s="14"/>
      <c r="J76" s="14"/>
      <c r="K76" s="14"/>
      <c r="L76" s="33"/>
      <c r="M76" s="14"/>
      <c r="N76" s="14"/>
      <c r="O76" s="14"/>
      <c r="P76" s="14"/>
      <c r="Q76" s="33"/>
      <c r="R76" s="14"/>
      <c r="S76" s="14"/>
      <c r="T76" s="14"/>
      <c r="U76" s="14"/>
      <c r="V76" s="14"/>
      <c r="W76" s="14"/>
    </row>
    <row r="77" spans="1:23" ht="16" customHeight="1">
      <c r="A77" s="16" t="s">
        <v>78</v>
      </c>
      <c r="B77" s="16"/>
      <c r="C77" s="23"/>
      <c r="D77" s="23"/>
      <c r="E77" s="23"/>
      <c r="F77" s="23"/>
      <c r="G77" s="28"/>
      <c r="H77" s="23"/>
      <c r="I77" s="23"/>
      <c r="J77" s="23"/>
      <c r="K77" s="23"/>
      <c r="L77" s="36"/>
      <c r="M77" s="23"/>
      <c r="N77" s="23"/>
      <c r="O77" s="23"/>
      <c r="P77" s="23"/>
      <c r="Q77" s="36"/>
      <c r="R77" s="23"/>
      <c r="S77" s="23"/>
      <c r="T77" s="23"/>
      <c r="U77" s="23"/>
      <c r="V77" s="23"/>
      <c r="W77" s="23"/>
    </row>
    <row r="78" spans="1:23" ht="16" customHeight="1">
      <c r="A78" s="2"/>
      <c r="B78" s="2" t="s">
        <v>78</v>
      </c>
      <c r="C78" s="14">
        <v>5236.2999999999993</v>
      </c>
      <c r="D78" s="14">
        <v>3645.4000000000015</v>
      </c>
      <c r="E78" s="14">
        <v>2882.5999999999985</v>
      </c>
      <c r="F78" s="14">
        <v>2666.0999999999985</v>
      </c>
      <c r="G78" s="25">
        <f>Assumptions!$G$49</f>
        <v>647.00359632660707</v>
      </c>
      <c r="H78" s="14">
        <f>(($F78*(1+Assumptions!$C$49)*Assumptions!$E$49)-$G78)*Assumptions!$J$49/SUM(Assumptions!$J$49:$L$49)</f>
        <v>713.50632656504115</v>
      </c>
      <c r="I78" s="14">
        <f>(($F78*(1+Assumptions!$C$49)*Assumptions!$E$49)-$G78)*Assumptions!$K$49/SUM(Assumptions!$J$49:$L$49)</f>
        <v>713.50632656504115</v>
      </c>
      <c r="J78" s="14">
        <f>(($F78*(1+Assumptions!$C$49)*Assumptions!$E$49)-$G78)*Assumptions!$L$49/SUM(Assumptions!$J$49:$L$49)</f>
        <v>686.06377554330879</v>
      </c>
      <c r="K78" s="14">
        <f>SUM(G78:J78)</f>
        <v>2760.0800249999984</v>
      </c>
      <c r="L78" s="33">
        <f>($K78*(1+Assumptions!$C$49)*Assumptions!$F$49)*Assumptions!$I$49</f>
        <v>657.19575455268705</v>
      </c>
      <c r="M78" s="14">
        <f>($K78*(1+Assumptions!$C$49)*Assumptions!$F$49)*Assumptions!$J$49</f>
        <v>742.91693992912451</v>
      </c>
      <c r="N78" s="14">
        <f>($K78*(1+Assumptions!$C$49)*Assumptions!$F$49)*Assumptions!$K$49</f>
        <v>742.91693992912451</v>
      </c>
      <c r="O78" s="14">
        <f>($K78*(1+Assumptions!$C$49)*Assumptions!$F$49)*Assumptions!$L$49</f>
        <v>714.34321147031199</v>
      </c>
      <c r="P78" s="14">
        <f>SUM(L78:O78)</f>
        <v>2857.3728458812479</v>
      </c>
      <c r="Q78" s="33">
        <f>$P78*(1+Assumptions!$C$49)*Assumptions!$F$49</f>
        <v>2958.0952386985614</v>
      </c>
      <c r="R78" s="14">
        <f>$Q78*(1+Assumptions!$C$49)*Assumptions!$F$49</f>
        <v>3062.3680958626851</v>
      </c>
      <c r="S78" s="14">
        <f>$R78*(1+Assumptions!$D$49)*Assumptions!$F$49</f>
        <v>3123.6154577799384</v>
      </c>
      <c r="T78" s="14">
        <f>$S78*(1+Assumptions!$D$49)*Assumptions!$F$49</f>
        <v>3186.0877669355368</v>
      </c>
      <c r="U78" s="14">
        <f>$T78*(1+Assumptions!$D$49)*Assumptions!$F$49</f>
        <v>3249.8095222742472</v>
      </c>
      <c r="V78" s="14">
        <f>$U78*(1+Assumptions!$D$49)*Assumptions!$F$49</f>
        <v>3314.8057127197317</v>
      </c>
      <c r="W78" s="14">
        <f>$V78*(1+Assumptions!$D$49)*Assumptions!$F$49</f>
        <v>3381.1018269741257</v>
      </c>
    </row>
    <row r="79" spans="1:23" ht="16" customHeight="1">
      <c r="A79" s="17" t="s">
        <v>78</v>
      </c>
      <c r="B79" s="17" t="s">
        <v>40</v>
      </c>
      <c r="C79" s="18">
        <f t="shared" ref="C79:W79" si="16">SUM(C78:C78)</f>
        <v>5236.2999999999993</v>
      </c>
      <c r="D79" s="18">
        <f t="shared" si="16"/>
        <v>3645.4000000000015</v>
      </c>
      <c r="E79" s="18">
        <f t="shared" si="16"/>
        <v>2882.5999999999985</v>
      </c>
      <c r="F79" s="18">
        <f t="shared" si="16"/>
        <v>2666.0999999999985</v>
      </c>
      <c r="G79" s="29">
        <f t="shared" si="16"/>
        <v>647.00359632660707</v>
      </c>
      <c r="H79" s="18">
        <f t="shared" si="16"/>
        <v>713.50632656504115</v>
      </c>
      <c r="I79" s="18">
        <f t="shared" si="16"/>
        <v>713.50632656504115</v>
      </c>
      <c r="J79" s="18">
        <f t="shared" si="16"/>
        <v>686.06377554330879</v>
      </c>
      <c r="K79" s="18">
        <f t="shared" si="16"/>
        <v>2760.0800249999984</v>
      </c>
      <c r="L79" s="37">
        <f t="shared" si="16"/>
        <v>657.19575455268705</v>
      </c>
      <c r="M79" s="18">
        <f t="shared" si="16"/>
        <v>742.91693992912451</v>
      </c>
      <c r="N79" s="18">
        <f t="shared" si="16"/>
        <v>742.91693992912451</v>
      </c>
      <c r="O79" s="18">
        <f t="shared" si="16"/>
        <v>714.34321147031199</v>
      </c>
      <c r="P79" s="18">
        <f t="shared" si="16"/>
        <v>2857.3728458812479</v>
      </c>
      <c r="Q79" s="37">
        <f t="shared" si="16"/>
        <v>2958.0952386985614</v>
      </c>
      <c r="R79" s="18">
        <f t="shared" si="16"/>
        <v>3062.3680958626851</v>
      </c>
      <c r="S79" s="18">
        <f t="shared" si="16"/>
        <v>3123.6154577799384</v>
      </c>
      <c r="T79" s="18">
        <f t="shared" si="16"/>
        <v>3186.0877669355368</v>
      </c>
      <c r="U79" s="18">
        <f t="shared" si="16"/>
        <v>3249.8095222742472</v>
      </c>
      <c r="V79" s="18">
        <f t="shared" si="16"/>
        <v>3314.8057127197317</v>
      </c>
      <c r="W79" s="18">
        <f t="shared" si="16"/>
        <v>3381.1018269741257</v>
      </c>
    </row>
    <row r="80" spans="1:23" ht="16" customHeight="1">
      <c r="A80" s="2"/>
      <c r="B80" s="2"/>
      <c r="C80" s="14"/>
      <c r="D80" s="14"/>
      <c r="E80" s="14"/>
      <c r="F80" s="14"/>
      <c r="G80" s="25"/>
      <c r="H80" s="14"/>
      <c r="I80" s="14"/>
      <c r="J80" s="14"/>
      <c r="K80" s="14"/>
      <c r="L80" s="33"/>
      <c r="M80" s="14"/>
      <c r="N80" s="14"/>
      <c r="O80" s="14"/>
      <c r="P80" s="14"/>
      <c r="Q80" s="33"/>
      <c r="R80" s="14"/>
      <c r="S80" s="14"/>
      <c r="T80" s="14"/>
      <c r="U80" s="14"/>
      <c r="V80" s="14"/>
      <c r="W80" s="14"/>
    </row>
    <row r="81" spans="1:23" ht="16" customHeight="1">
      <c r="A81" s="19" t="s">
        <v>79</v>
      </c>
      <c r="B81" s="19"/>
      <c r="C81" s="20">
        <f t="shared" ref="C81:W81" si="17">SUM(C22,C31,C38,C43,C50,C56,C63,C70,C75,C79)</f>
        <v>23376.3</v>
      </c>
      <c r="D81" s="20">
        <f t="shared" si="17"/>
        <v>20810.400000000001</v>
      </c>
      <c r="E81" s="20">
        <f t="shared" si="17"/>
        <v>21283.599999999999</v>
      </c>
      <c r="F81" s="20">
        <f t="shared" si="17"/>
        <v>23771.1</v>
      </c>
      <c r="G81" s="30">
        <f t="shared" si="17"/>
        <v>6175.35</v>
      </c>
      <c r="H81" s="20">
        <f t="shared" si="17"/>
        <v>6277.5878232974419</v>
      </c>
      <c r="I81" s="20">
        <f t="shared" si="17"/>
        <v>6016.6719509119994</v>
      </c>
      <c r="J81" s="20">
        <f t="shared" si="17"/>
        <v>6142.8537992162437</v>
      </c>
      <c r="K81" s="20">
        <f t="shared" si="17"/>
        <v>24612.463573425684</v>
      </c>
      <c r="L81" s="38">
        <f t="shared" si="17"/>
        <v>6157.3044428824378</v>
      </c>
      <c r="M81" s="20">
        <f t="shared" si="17"/>
        <v>6533.321103756125</v>
      </c>
      <c r="N81" s="20">
        <f t="shared" si="17"/>
        <v>6623.9220061921242</v>
      </c>
      <c r="O81" s="20">
        <f t="shared" si="17"/>
        <v>6769.5880575255615</v>
      </c>
      <c r="P81" s="20">
        <f t="shared" si="17"/>
        <v>26084.13561035625</v>
      </c>
      <c r="Q81" s="38">
        <f t="shared" si="17"/>
        <v>28940.989466143837</v>
      </c>
      <c r="R81" s="20">
        <f t="shared" si="17"/>
        <v>32416.18491646945</v>
      </c>
      <c r="S81" s="20">
        <f t="shared" si="17"/>
        <v>34557.362278823595</v>
      </c>
      <c r="T81" s="20">
        <f t="shared" si="17"/>
        <v>36846.751901875818</v>
      </c>
      <c r="U81" s="20">
        <f t="shared" si="17"/>
        <v>39266.14297744818</v>
      </c>
      <c r="V81" s="20">
        <f t="shared" si="17"/>
        <v>41840.892447805316</v>
      </c>
      <c r="W81" s="20">
        <f t="shared" si="17"/>
        <v>44680.882687733108</v>
      </c>
    </row>
    <row r="82" spans="1:23" ht="16" customHeight="1">
      <c r="A82" s="2"/>
      <c r="B82" s="2"/>
      <c r="C82" s="14"/>
      <c r="D82" s="14"/>
      <c r="E82" s="14"/>
      <c r="F82" s="14"/>
      <c r="G82" s="25"/>
      <c r="H82" s="14"/>
      <c r="I82" s="14"/>
      <c r="J82" s="14"/>
      <c r="K82" s="14"/>
      <c r="L82" s="33"/>
      <c r="M82" s="14"/>
      <c r="N82" s="14"/>
      <c r="O82" s="14"/>
      <c r="P82" s="14"/>
      <c r="Q82" s="33"/>
      <c r="R82" s="14"/>
      <c r="S82" s="14"/>
      <c r="T82" s="14"/>
      <c r="U82" s="14"/>
      <c r="V82" s="14"/>
      <c r="W82" s="14"/>
    </row>
    <row r="83" spans="1:23" ht="16" customHeight="1">
      <c r="A83" s="14" t="s">
        <v>30</v>
      </c>
      <c r="B83" s="14"/>
      <c r="C83" s="14">
        <v>846.9</v>
      </c>
      <c r="D83" s="14">
        <v>1116.5</v>
      </c>
      <c r="E83" s="14">
        <v>1526.4</v>
      </c>
      <c r="F83" s="14">
        <v>1421.6</v>
      </c>
      <c r="G83" s="25">
        <f>Assumptions!$C$66</f>
        <v>355.4</v>
      </c>
      <c r="H83" s="14">
        <f>($F83*(1+Assumptions!$B$66)-$G83)/3</f>
        <v>355.39999999999992</v>
      </c>
      <c r="I83" s="14">
        <f>H83</f>
        <v>355.39999999999992</v>
      </c>
      <c r="J83" s="14">
        <f>H83</f>
        <v>355.39999999999992</v>
      </c>
      <c r="K83" s="14">
        <f>SUM(G83:J83)</f>
        <v>1421.5999999999997</v>
      </c>
      <c r="L83" s="33">
        <f>$K83*(1+Assumptions!$B$66)/4</f>
        <v>355.39999999999992</v>
      </c>
      <c r="M83" s="14">
        <f>L83</f>
        <v>355.39999999999992</v>
      </c>
      <c r="N83" s="14">
        <f>L83</f>
        <v>355.39999999999992</v>
      </c>
      <c r="O83" s="14">
        <f>L83</f>
        <v>355.39999999999992</v>
      </c>
      <c r="P83" s="14">
        <f>SUM(L83:O83)</f>
        <v>1421.5999999999997</v>
      </c>
      <c r="Q83" s="33">
        <f>$P83*(1+Assumptions!$B$66)</f>
        <v>1421.5999999999997</v>
      </c>
      <c r="R83" s="14">
        <f>$Q83*(1+Assumptions!$B$66)</f>
        <v>1421.5999999999997</v>
      </c>
      <c r="S83" s="14">
        <f>$R83*(1+Assumptions!$B$66)</f>
        <v>1421.5999999999997</v>
      </c>
      <c r="T83" s="14">
        <f>$S83*(1+Assumptions!$B$66)</f>
        <v>1421.5999999999997</v>
      </c>
      <c r="U83" s="14">
        <f>$T83*(1+Assumptions!$B$66)</f>
        <v>1421.5999999999997</v>
      </c>
      <c r="V83" s="14">
        <f>$U83*(1+Assumptions!$B$66)</f>
        <v>1421.5999999999997</v>
      </c>
      <c r="W83" s="14">
        <f>$V83*(1+Assumptions!$B$66)</f>
        <v>1421.5999999999997</v>
      </c>
    </row>
    <row r="84" spans="1:23" ht="16" customHeight="1">
      <c r="A84" s="14" t="s">
        <v>31</v>
      </c>
      <c r="B84" s="14"/>
      <c r="C84" s="14">
        <v>24.4</v>
      </c>
      <c r="D84" s="14">
        <v>4.8</v>
      </c>
      <c r="E84" s="14">
        <v>3.5</v>
      </c>
      <c r="F84" s="14">
        <v>3.8</v>
      </c>
      <c r="G84" s="25">
        <f>Assumptions!$C$67</f>
        <v>0.95</v>
      </c>
      <c r="H84" s="14">
        <f>($F84*(1+Assumptions!$B$67)-$G84)/3</f>
        <v>0.94999999999999984</v>
      </c>
      <c r="I84" s="14">
        <f>H84</f>
        <v>0.94999999999999984</v>
      </c>
      <c r="J84" s="14">
        <f>H84</f>
        <v>0.94999999999999984</v>
      </c>
      <c r="K84" s="14">
        <f>SUM(G84:J84)</f>
        <v>3.7999999999999994</v>
      </c>
      <c r="L84" s="33">
        <f>$K84*(1+Assumptions!$B$67)/4</f>
        <v>0.94999999999999984</v>
      </c>
      <c r="M84" s="14">
        <f>L84</f>
        <v>0.94999999999999984</v>
      </c>
      <c r="N84" s="14">
        <f>L84</f>
        <v>0.94999999999999984</v>
      </c>
      <c r="O84" s="14">
        <f>L84</f>
        <v>0.94999999999999984</v>
      </c>
      <c r="P84" s="14">
        <f>SUM(L84:O84)</f>
        <v>3.7999999999999994</v>
      </c>
      <c r="Q84" s="33">
        <f>$P84*(1+Assumptions!$B$67)</f>
        <v>3.7999999999999994</v>
      </c>
      <c r="R84" s="14">
        <f>$Q84*(1+Assumptions!$B$67)</f>
        <v>3.7999999999999994</v>
      </c>
      <c r="S84" s="14">
        <f>$R84*(1+Assumptions!$B$67)</f>
        <v>3.7999999999999994</v>
      </c>
      <c r="T84" s="14">
        <f>$S84*(1+Assumptions!$B$67)</f>
        <v>3.7999999999999994</v>
      </c>
      <c r="U84" s="14">
        <f>$T84*(1+Assumptions!$B$67)</f>
        <v>3.7999999999999994</v>
      </c>
      <c r="V84" s="14">
        <f>$U84*(1+Assumptions!$B$67)</f>
        <v>3.7999999999999994</v>
      </c>
      <c r="W84" s="14">
        <f>$V84*(1+Assumptions!$B$67)</f>
        <v>3.7999999999999994</v>
      </c>
    </row>
    <row r="85" spans="1:23" ht="16" customHeight="1">
      <c r="A85" s="15" t="s">
        <v>32</v>
      </c>
      <c r="B85" s="15"/>
      <c r="C85" s="15">
        <f t="shared" ref="C85:W85" si="18">SUM(C81,C83,C84)</f>
        <v>24247.600000000002</v>
      </c>
      <c r="D85" s="15">
        <f t="shared" si="18"/>
        <v>21931.7</v>
      </c>
      <c r="E85" s="15">
        <f t="shared" si="18"/>
        <v>22813.5</v>
      </c>
      <c r="F85" s="15">
        <f t="shared" si="18"/>
        <v>25196.499999999996</v>
      </c>
      <c r="G85" s="31">
        <f t="shared" si="18"/>
        <v>6531.7</v>
      </c>
      <c r="H85" s="15">
        <f t="shared" si="18"/>
        <v>6633.9378232974414</v>
      </c>
      <c r="I85" s="15">
        <f t="shared" si="18"/>
        <v>6373.0219509119988</v>
      </c>
      <c r="J85" s="15">
        <f t="shared" si="18"/>
        <v>6499.2037992162432</v>
      </c>
      <c r="K85" s="15">
        <f t="shared" si="18"/>
        <v>26037.863573425682</v>
      </c>
      <c r="L85" s="39">
        <f t="shared" si="18"/>
        <v>6513.6544428824373</v>
      </c>
      <c r="M85" s="15">
        <f t="shared" si="18"/>
        <v>6889.6711037561245</v>
      </c>
      <c r="N85" s="15">
        <f t="shared" si="18"/>
        <v>6980.2720061921236</v>
      </c>
      <c r="O85" s="15">
        <f t="shared" si="18"/>
        <v>7125.9380575255609</v>
      </c>
      <c r="P85" s="15">
        <f t="shared" si="18"/>
        <v>27509.535610356248</v>
      </c>
      <c r="Q85" s="39">
        <f t="shared" si="18"/>
        <v>30366.389466143835</v>
      </c>
      <c r="R85" s="15">
        <f t="shared" si="18"/>
        <v>33841.584916469452</v>
      </c>
      <c r="S85" s="15">
        <f t="shared" si="18"/>
        <v>35982.762278823597</v>
      </c>
      <c r="T85" s="15">
        <f t="shared" si="18"/>
        <v>38272.151901875819</v>
      </c>
      <c r="U85" s="15">
        <f t="shared" si="18"/>
        <v>40691.542977448182</v>
      </c>
      <c r="V85" s="15">
        <f t="shared" si="18"/>
        <v>43266.292447805317</v>
      </c>
      <c r="W85" s="15">
        <f t="shared" si="18"/>
        <v>46106.28268773311</v>
      </c>
    </row>
    <row r="86" spans="1:23" ht="16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6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6" customHeight="1">
      <c r="A88" s="21" t="s">
        <v>80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spans="1:23" ht="16" customHeight="1">
      <c r="A89" s="2" t="s">
        <v>81</v>
      </c>
      <c r="B89" s="2"/>
      <c r="C89" s="22">
        <f>ROUND(C81-Assumptions!B9,2)</f>
        <v>0</v>
      </c>
      <c r="D89" s="22">
        <f>ROUND(D81-Assumptions!C9,2)</f>
        <v>0</v>
      </c>
      <c r="E89" s="22">
        <f>ROUND(E81-Assumptions!D9,2)</f>
        <v>0</v>
      </c>
      <c r="F89" s="22">
        <f>ROUND(F81-Assumptions!E9,2)</f>
        <v>0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spans="1:23" ht="16" customHeight="1">
      <c r="A90" s="2" t="s">
        <v>82</v>
      </c>
      <c r="B90" s="2"/>
      <c r="C90" s="22"/>
      <c r="D90" s="22"/>
      <c r="E90" s="22"/>
      <c r="F90" s="22"/>
      <c r="G90" s="22"/>
      <c r="H90" s="22"/>
      <c r="I90" s="22"/>
      <c r="J90" s="22"/>
      <c r="K90" s="22">
        <f>ROUND(K85-SUM(G85:J85),2)</f>
        <v>0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spans="1:23" ht="16" customHeight="1">
      <c r="A91" s="2" t="s">
        <v>83</v>
      </c>
      <c r="B91" s="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>
        <f>ROUND(P85-SUM(L85:O85),2)</f>
        <v>0</v>
      </c>
      <c r="Q91" s="22"/>
      <c r="R91" s="22"/>
      <c r="S91" s="22"/>
      <c r="T91" s="22"/>
      <c r="U91" s="22"/>
      <c r="V91" s="22"/>
      <c r="W91" s="22"/>
    </row>
    <row r="92" spans="1:23" ht="16" customHeight="1">
      <c r="A92" s="2" t="s">
        <v>84</v>
      </c>
      <c r="B92" s="2"/>
      <c r="C92" s="22">
        <v>0</v>
      </c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</sheetData>
  <conditionalFormatting sqref="C89:W92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2:M82"/>
  <sheetViews>
    <sheetView showGridLines="0" workbookViewId="0">
      <pane xSplit="2" ySplit="15" topLeftCell="C25" activePane="bottomRight" state="frozen"/>
      <selection pane="topRight"/>
      <selection pane="bottomLeft"/>
      <selection pane="bottomRight" activeCell="D5" sqref="D5"/>
    </sheetView>
  </sheetViews>
  <sheetFormatPr baseColWidth="10" defaultColWidth="8.83203125" defaultRowHeight="14"/>
  <cols>
    <col min="1" max="1" width="28" customWidth="1"/>
    <col min="2" max="2" width="25" customWidth="1"/>
    <col min="3" max="6" width="13" customWidth="1"/>
    <col min="7" max="7" width="14" customWidth="1"/>
    <col min="8" max="8" width="15" customWidth="1"/>
    <col min="9" max="12" width="9" customWidth="1"/>
    <col min="13" max="13" width="52" customWidth="1"/>
  </cols>
  <sheetData>
    <row r="2" spans="1:13" ht="24" customHeight="1">
      <c r="A2" s="40" t="s">
        <v>85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>
      <c r="A3" s="41" t="s">
        <v>86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>
      <c r="A5" s="5" t="s">
        <v>87</v>
      </c>
      <c r="B5" s="51" t="s">
        <v>88</v>
      </c>
      <c r="C5" s="5" t="s">
        <v>89</v>
      </c>
      <c r="D5" s="52" t="s">
        <v>90</v>
      </c>
      <c r="E5" s="42"/>
      <c r="F5" s="42"/>
      <c r="G5" s="42"/>
      <c r="H5" s="42"/>
      <c r="I5" s="42"/>
      <c r="J5" s="42"/>
      <c r="K5" s="42"/>
      <c r="L5" s="42"/>
      <c r="M5" s="42"/>
    </row>
    <row r="6" spans="1:1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ht="18" customHeight="1">
      <c r="A7" s="46" t="s">
        <v>91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</row>
    <row r="8" spans="1:13" ht="30" customHeight="1">
      <c r="A8" s="1" t="s">
        <v>92</v>
      </c>
      <c r="B8" s="1" t="s">
        <v>8</v>
      </c>
      <c r="C8" s="1" t="s">
        <v>9</v>
      </c>
      <c r="D8" s="1" t="s">
        <v>10</v>
      </c>
      <c r="E8" s="1" t="s">
        <v>11</v>
      </c>
      <c r="F8" s="42"/>
      <c r="G8" s="42"/>
      <c r="H8" s="42"/>
      <c r="I8" s="42"/>
      <c r="J8" s="42"/>
      <c r="K8" s="42"/>
      <c r="L8" s="42"/>
      <c r="M8" s="42"/>
    </row>
    <row r="9" spans="1:13" ht="16" customHeight="1">
      <c r="A9" s="2" t="s">
        <v>29</v>
      </c>
      <c r="B9" s="4">
        <v>23376.3</v>
      </c>
      <c r="C9" s="4">
        <v>20810.400000000001</v>
      </c>
      <c r="D9" s="4">
        <v>21283.599999999999</v>
      </c>
      <c r="E9" s="4">
        <v>23771.1</v>
      </c>
      <c r="F9" s="42"/>
      <c r="G9" s="42"/>
      <c r="H9" s="42"/>
      <c r="I9" s="42"/>
      <c r="J9" s="42"/>
      <c r="K9" s="42"/>
      <c r="L9" s="42"/>
      <c r="M9" s="42"/>
    </row>
    <row r="10" spans="1:13" ht="16" customHeight="1">
      <c r="A10" s="2" t="s">
        <v>30</v>
      </c>
      <c r="B10" s="4">
        <v>846.9</v>
      </c>
      <c r="C10" s="4">
        <v>1116.5</v>
      </c>
      <c r="D10" s="4">
        <v>1526.4</v>
      </c>
      <c r="E10" s="4">
        <v>1421.6</v>
      </c>
      <c r="F10" s="42"/>
      <c r="G10" s="42"/>
      <c r="H10" s="42"/>
      <c r="I10" s="42"/>
      <c r="J10" s="42"/>
      <c r="K10" s="42"/>
      <c r="L10" s="42"/>
      <c r="M10" s="42"/>
    </row>
    <row r="11" spans="1:13" ht="16" customHeight="1">
      <c r="A11" s="2" t="s">
        <v>31</v>
      </c>
      <c r="B11" s="4">
        <v>24.4</v>
      </c>
      <c r="C11" s="4">
        <v>4.8</v>
      </c>
      <c r="D11" s="4">
        <v>3.5</v>
      </c>
      <c r="E11" s="4">
        <v>3.8</v>
      </c>
      <c r="F11" s="42"/>
      <c r="G11" s="42"/>
      <c r="H11" s="42"/>
      <c r="I11" s="42"/>
      <c r="J11" s="42"/>
      <c r="K11" s="42"/>
      <c r="L11" s="42"/>
      <c r="M11" s="42"/>
    </row>
    <row r="12" spans="1:13" ht="16" customHeight="1">
      <c r="A12" s="6" t="s">
        <v>32</v>
      </c>
      <c r="B12" s="7">
        <v>24247.599999999999</v>
      </c>
      <c r="C12" s="7">
        <v>21931.7</v>
      </c>
      <c r="D12" s="7">
        <v>22813.5</v>
      </c>
      <c r="E12" s="7">
        <v>25196.5</v>
      </c>
      <c r="F12" s="42"/>
      <c r="G12" s="42"/>
      <c r="H12" s="42"/>
      <c r="I12" s="42"/>
      <c r="J12" s="42"/>
      <c r="K12" s="42"/>
      <c r="L12" s="42"/>
      <c r="M12" s="42"/>
    </row>
    <row r="13" spans="1: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14" spans="1:13" ht="18" customHeight="1">
      <c r="A14" s="46" t="s">
        <v>93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spans="1:13" ht="30" customHeight="1">
      <c r="A15" s="8" t="s">
        <v>94</v>
      </c>
      <c r="B15" s="8" t="s">
        <v>7</v>
      </c>
      <c r="C15" s="8" t="s">
        <v>95</v>
      </c>
      <c r="D15" s="8" t="s">
        <v>96</v>
      </c>
      <c r="E15" s="8" t="s">
        <v>97</v>
      </c>
      <c r="F15" s="8" t="s">
        <v>98</v>
      </c>
      <c r="G15" s="8" t="s">
        <v>99</v>
      </c>
      <c r="H15" s="8" t="s">
        <v>100</v>
      </c>
      <c r="I15" s="8" t="s">
        <v>101</v>
      </c>
      <c r="J15" s="8" t="s">
        <v>102</v>
      </c>
      <c r="K15" s="8" t="s">
        <v>103</v>
      </c>
      <c r="L15" s="8" t="s">
        <v>104</v>
      </c>
      <c r="M15" s="8" t="s">
        <v>105</v>
      </c>
    </row>
    <row r="16" spans="1:13" ht="30" customHeight="1">
      <c r="A16" s="2" t="s">
        <v>35</v>
      </c>
      <c r="B16" s="2" t="s">
        <v>36</v>
      </c>
      <c r="C16" s="9">
        <v>9.400000000000075E-3</v>
      </c>
      <c r="D16" s="9">
        <v>-1.6000000000000125E-2</v>
      </c>
      <c r="E16" s="9">
        <v>1</v>
      </c>
      <c r="F16" s="9">
        <v>1.0000000000000002</v>
      </c>
      <c r="G16" s="4">
        <v>681.4606901770477</v>
      </c>
      <c r="H16" s="3" t="s">
        <v>35</v>
      </c>
      <c r="I16" s="10">
        <f>$B$56</f>
        <v>0.24</v>
      </c>
      <c r="J16" s="10">
        <f>$C$56</f>
        <v>0.23</v>
      </c>
      <c r="K16" s="10">
        <f>$D$56</f>
        <v>0.25</v>
      </c>
      <c r="L16" s="10">
        <f>$E$56</f>
        <v>0.28000000000000003</v>
      </c>
      <c r="M16" s="12" t="s">
        <v>106</v>
      </c>
    </row>
    <row r="17" spans="1:13" ht="30" customHeight="1">
      <c r="A17" s="2" t="s">
        <v>35</v>
      </c>
      <c r="B17" s="2" t="s">
        <v>37</v>
      </c>
      <c r="C17" s="9">
        <v>0.39050000000000007</v>
      </c>
      <c r="D17" s="9">
        <v>0.14799999999999991</v>
      </c>
      <c r="E17" s="9">
        <v>1</v>
      </c>
      <c r="F17" s="9">
        <v>1.0000000000000002</v>
      </c>
      <c r="G17" s="4">
        <v>278.90305531868967</v>
      </c>
      <c r="H17" s="3" t="s">
        <v>35</v>
      </c>
      <c r="I17" s="10">
        <f>$B$56</f>
        <v>0.24</v>
      </c>
      <c r="J17" s="10">
        <f>$C$56</f>
        <v>0.23</v>
      </c>
      <c r="K17" s="10">
        <f>$D$56</f>
        <v>0.25</v>
      </c>
      <c r="L17" s="10">
        <f>$E$56</f>
        <v>0.28000000000000003</v>
      </c>
      <c r="M17" s="12" t="s">
        <v>107</v>
      </c>
    </row>
    <row r="18" spans="1:13" ht="30" customHeight="1">
      <c r="A18" s="2" t="s">
        <v>35</v>
      </c>
      <c r="B18" s="2" t="s">
        <v>38</v>
      </c>
      <c r="C18" s="9">
        <v>5.0599999999999978E-2</v>
      </c>
      <c r="D18" s="9">
        <v>3.5250000000000004E-2</v>
      </c>
      <c r="E18" s="9">
        <v>1</v>
      </c>
      <c r="F18" s="9">
        <v>1.0000000000000002</v>
      </c>
      <c r="G18" s="4">
        <v>30.83806140109089</v>
      </c>
      <c r="H18" s="3" t="s">
        <v>35</v>
      </c>
      <c r="I18" s="10">
        <f>$B$56</f>
        <v>0.24</v>
      </c>
      <c r="J18" s="10">
        <f>$C$56</f>
        <v>0.23</v>
      </c>
      <c r="K18" s="10">
        <f>$D$56</f>
        <v>0.25</v>
      </c>
      <c r="L18" s="10">
        <f>$E$56</f>
        <v>0.28000000000000003</v>
      </c>
      <c r="M18" s="12" t="s">
        <v>108</v>
      </c>
    </row>
    <row r="19" spans="1:13" ht="30" customHeight="1">
      <c r="A19" s="2" t="s">
        <v>35</v>
      </c>
      <c r="B19" s="2" t="s">
        <v>39</v>
      </c>
      <c r="C19" s="9">
        <v>3.0000000000000027E-2</v>
      </c>
      <c r="D19" s="9">
        <v>2.4999999999999911E-2</v>
      </c>
      <c r="E19" s="9">
        <v>0</v>
      </c>
      <c r="F19" s="9">
        <v>0</v>
      </c>
      <c r="G19" s="4">
        <v>0</v>
      </c>
      <c r="H19" s="3" t="s">
        <v>35</v>
      </c>
      <c r="I19" s="10">
        <f>$B$56</f>
        <v>0.24</v>
      </c>
      <c r="J19" s="10">
        <f>$C$56</f>
        <v>0.23</v>
      </c>
      <c r="K19" s="10">
        <f>$D$56</f>
        <v>0.25</v>
      </c>
      <c r="L19" s="10">
        <f>$E$56</f>
        <v>0.28000000000000003</v>
      </c>
      <c r="M19" s="12" t="s">
        <v>109</v>
      </c>
    </row>
    <row r="20" spans="1:13" ht="30" customHeight="1">
      <c r="A20" s="2" t="s">
        <v>41</v>
      </c>
      <c r="B20" s="2" t="s">
        <v>42</v>
      </c>
      <c r="C20" s="9">
        <v>0.10699999999999998</v>
      </c>
      <c r="D20" s="9">
        <v>7.1000000000000174E-2</v>
      </c>
      <c r="E20" s="9">
        <v>1</v>
      </c>
      <c r="F20" s="9">
        <v>1</v>
      </c>
      <c r="G20" s="4">
        <v>379.09153150113161</v>
      </c>
      <c r="H20" s="3" t="s">
        <v>110</v>
      </c>
      <c r="I20" s="10">
        <f t="shared" ref="I20:I25" si="0">$B$57</f>
        <v>0.24</v>
      </c>
      <c r="J20" s="10">
        <f t="shared" ref="J20:J25" si="1">$C$57</f>
        <v>0.25</v>
      </c>
      <c r="K20" s="10">
        <f t="shared" ref="K20:K25" si="2">$D$57</f>
        <v>0.25</v>
      </c>
      <c r="L20" s="10">
        <f t="shared" ref="L20:L25" si="3">$E$57</f>
        <v>0.26</v>
      </c>
      <c r="M20" s="12" t="s">
        <v>111</v>
      </c>
    </row>
    <row r="21" spans="1:13" ht="30" customHeight="1">
      <c r="A21" s="2" t="s">
        <v>41</v>
      </c>
      <c r="B21" s="2" t="s">
        <v>43</v>
      </c>
      <c r="C21" s="9">
        <v>7.6249999999999929E-2</v>
      </c>
      <c r="D21" s="9">
        <v>5.0599999999999978E-2</v>
      </c>
      <c r="E21" s="9">
        <v>1</v>
      </c>
      <c r="F21" s="9">
        <v>1.0000000000000002</v>
      </c>
      <c r="G21" s="4">
        <v>242.19736734794517</v>
      </c>
      <c r="H21" s="3" t="s">
        <v>110</v>
      </c>
      <c r="I21" s="10">
        <f t="shared" si="0"/>
        <v>0.24</v>
      </c>
      <c r="J21" s="10">
        <f t="shared" si="1"/>
        <v>0.25</v>
      </c>
      <c r="K21" s="10">
        <f t="shared" si="2"/>
        <v>0.25</v>
      </c>
      <c r="L21" s="10">
        <f t="shared" si="3"/>
        <v>0.26</v>
      </c>
      <c r="M21" s="12" t="s">
        <v>112</v>
      </c>
    </row>
    <row r="22" spans="1:13" ht="30" customHeight="1">
      <c r="A22" s="2" t="s">
        <v>41</v>
      </c>
      <c r="B22" s="2" t="s">
        <v>44</v>
      </c>
      <c r="C22" s="9">
        <v>0.10699999999999998</v>
      </c>
      <c r="D22" s="9">
        <v>7.1000000000000174E-2</v>
      </c>
      <c r="E22" s="9">
        <v>1.0000000000000002</v>
      </c>
      <c r="F22" s="9">
        <v>1</v>
      </c>
      <c r="G22" s="4">
        <v>238.28610551499699</v>
      </c>
      <c r="H22" s="3" t="s">
        <v>110</v>
      </c>
      <c r="I22" s="10">
        <f t="shared" si="0"/>
        <v>0.24</v>
      </c>
      <c r="J22" s="10">
        <f t="shared" si="1"/>
        <v>0.25</v>
      </c>
      <c r="K22" s="10">
        <f t="shared" si="2"/>
        <v>0.25</v>
      </c>
      <c r="L22" s="10">
        <f t="shared" si="3"/>
        <v>0.26</v>
      </c>
      <c r="M22" s="12" t="s">
        <v>113</v>
      </c>
    </row>
    <row r="23" spans="1:13" ht="30" customHeight="1">
      <c r="A23" s="2" t="s">
        <v>41</v>
      </c>
      <c r="B23" s="2" t="s">
        <v>45</v>
      </c>
      <c r="C23" s="9">
        <v>2.4999999999999911E-2</v>
      </c>
      <c r="D23" s="9">
        <v>-3.9999999999995595E-4</v>
      </c>
      <c r="E23" s="9">
        <v>1</v>
      </c>
      <c r="F23" s="9">
        <v>1</v>
      </c>
      <c r="G23" s="4">
        <v>75.216573710541979</v>
      </c>
      <c r="H23" s="3" t="s">
        <v>110</v>
      </c>
      <c r="I23" s="10">
        <f t="shared" si="0"/>
        <v>0.24</v>
      </c>
      <c r="J23" s="10">
        <f t="shared" si="1"/>
        <v>0.25</v>
      </c>
      <c r="K23" s="10">
        <f t="shared" si="2"/>
        <v>0.25</v>
      </c>
      <c r="L23" s="10">
        <f t="shared" si="3"/>
        <v>0.26</v>
      </c>
      <c r="M23" s="12" t="s">
        <v>114</v>
      </c>
    </row>
    <row r="24" spans="1:13" ht="30" customHeight="1">
      <c r="A24" s="2" t="s">
        <v>41</v>
      </c>
      <c r="B24" s="2" t="s">
        <v>46</v>
      </c>
      <c r="C24" s="9">
        <v>0.48624999999999985</v>
      </c>
      <c r="D24" s="9">
        <v>0.17299999999999982</v>
      </c>
      <c r="E24" s="9">
        <v>1</v>
      </c>
      <c r="F24" s="9">
        <v>1</v>
      </c>
      <c r="G24" s="4">
        <v>65.438419128171518</v>
      </c>
      <c r="H24" s="3" t="s">
        <v>110</v>
      </c>
      <c r="I24" s="10">
        <f t="shared" si="0"/>
        <v>0.24</v>
      </c>
      <c r="J24" s="10">
        <f t="shared" si="1"/>
        <v>0.25</v>
      </c>
      <c r="K24" s="10">
        <f t="shared" si="2"/>
        <v>0.25</v>
      </c>
      <c r="L24" s="10">
        <f t="shared" si="3"/>
        <v>0.26</v>
      </c>
      <c r="M24" s="12" t="s">
        <v>115</v>
      </c>
    </row>
    <row r="25" spans="1:13" ht="30" customHeight="1">
      <c r="A25" s="2" t="s">
        <v>41</v>
      </c>
      <c r="B25" s="2" t="s">
        <v>47</v>
      </c>
      <c r="C25" s="9">
        <v>5.5749999999999966E-2</v>
      </c>
      <c r="D25" s="9">
        <v>4.0399999999999991E-2</v>
      </c>
      <c r="E25" s="9">
        <v>1</v>
      </c>
      <c r="F25" s="9">
        <v>1</v>
      </c>
      <c r="G25" s="4">
        <v>154.94614184371648</v>
      </c>
      <c r="H25" s="3" t="s">
        <v>110</v>
      </c>
      <c r="I25" s="10">
        <f t="shared" si="0"/>
        <v>0.24</v>
      </c>
      <c r="J25" s="10">
        <f t="shared" si="1"/>
        <v>0.25</v>
      </c>
      <c r="K25" s="10">
        <f t="shared" si="2"/>
        <v>0.25</v>
      </c>
      <c r="L25" s="10">
        <f t="shared" si="3"/>
        <v>0.26</v>
      </c>
      <c r="M25" s="12" t="s">
        <v>116</v>
      </c>
    </row>
    <row r="26" spans="1:13" ht="30" customHeight="1">
      <c r="A26" s="2" t="s">
        <v>48</v>
      </c>
      <c r="B26" s="2" t="s">
        <v>49</v>
      </c>
      <c r="C26" s="9">
        <v>0.14799999999999991</v>
      </c>
      <c r="D26" s="9">
        <v>8.1200000000000161E-2</v>
      </c>
      <c r="E26" s="9">
        <v>1.0000000000000002</v>
      </c>
      <c r="F26" s="9">
        <v>1</v>
      </c>
      <c r="G26" s="4">
        <v>527.92005868305739</v>
      </c>
      <c r="H26" s="3" t="s">
        <v>117</v>
      </c>
      <c r="I26" s="10">
        <f>$B$58</f>
        <v>0.24</v>
      </c>
      <c r="J26" s="10">
        <f>$C$58</f>
        <v>0.25</v>
      </c>
      <c r="K26" s="10">
        <f>$D$58</f>
        <v>0.25</v>
      </c>
      <c r="L26" s="10">
        <f>$E$58</f>
        <v>0.26</v>
      </c>
      <c r="M26" s="12" t="s">
        <v>118</v>
      </c>
    </row>
    <row r="27" spans="1:13" ht="30" customHeight="1">
      <c r="A27" s="2" t="s">
        <v>48</v>
      </c>
      <c r="B27" s="2" t="s">
        <v>50</v>
      </c>
      <c r="C27" s="9">
        <v>5.5749999999999966E-2</v>
      </c>
      <c r="D27" s="9">
        <v>2.0000000000000018E-2</v>
      </c>
      <c r="E27" s="9">
        <v>0.43210674377412023</v>
      </c>
      <c r="F27" s="9">
        <v>0</v>
      </c>
      <c r="G27" s="4">
        <v>445.47015780068483</v>
      </c>
      <c r="H27" s="3" t="s">
        <v>119</v>
      </c>
      <c r="I27" s="10">
        <f>$B$61</f>
        <v>0</v>
      </c>
      <c r="J27" s="10">
        <f>$C$61</f>
        <v>1</v>
      </c>
      <c r="K27" s="10">
        <f>$D$61</f>
        <v>0</v>
      </c>
      <c r="L27" s="10">
        <f>$E$61</f>
        <v>0</v>
      </c>
      <c r="M27" s="12" t="s">
        <v>120</v>
      </c>
    </row>
    <row r="28" spans="1:13" ht="30" customHeight="1">
      <c r="A28" s="2" t="s">
        <v>48</v>
      </c>
      <c r="B28" s="2" t="s">
        <v>51</v>
      </c>
      <c r="C28" s="9">
        <v>2.4999999999999911E-2</v>
      </c>
      <c r="D28" s="9">
        <v>2.0000000000000018E-2</v>
      </c>
      <c r="E28" s="9">
        <v>0</v>
      </c>
      <c r="F28" s="9">
        <v>0</v>
      </c>
      <c r="G28" s="4">
        <v>0</v>
      </c>
      <c r="H28" s="3" t="s">
        <v>117</v>
      </c>
      <c r="I28" s="10">
        <f>$B$58</f>
        <v>0.24</v>
      </c>
      <c r="J28" s="10">
        <f>$C$58</f>
        <v>0.25</v>
      </c>
      <c r="K28" s="10">
        <f>$D$58</f>
        <v>0.25</v>
      </c>
      <c r="L28" s="10">
        <f>$E$58</f>
        <v>0.26</v>
      </c>
      <c r="M28" s="12" t="s">
        <v>121</v>
      </c>
    </row>
    <row r="29" spans="1:13" ht="30" customHeight="1">
      <c r="A29" s="2" t="s">
        <v>48</v>
      </c>
      <c r="B29" s="2" t="s">
        <v>52</v>
      </c>
      <c r="C29" s="9">
        <v>4.5499999999999874E-2</v>
      </c>
      <c r="D29" s="9">
        <v>3.0200000000000005E-2</v>
      </c>
      <c r="E29" s="9">
        <v>0.99999999999999978</v>
      </c>
      <c r="F29" s="9">
        <v>1.0000000000000002</v>
      </c>
      <c r="G29" s="4">
        <v>76.720905184752823</v>
      </c>
      <c r="H29" s="3" t="s">
        <v>117</v>
      </c>
      <c r="I29" s="10">
        <f>$B$58</f>
        <v>0.24</v>
      </c>
      <c r="J29" s="10">
        <f>$C$58</f>
        <v>0.25</v>
      </c>
      <c r="K29" s="10">
        <f>$D$58</f>
        <v>0.25</v>
      </c>
      <c r="L29" s="10">
        <f>$E$58</f>
        <v>0.26</v>
      </c>
      <c r="M29" s="12" t="s">
        <v>122</v>
      </c>
    </row>
    <row r="30" spans="1:13" ht="30" customHeight="1">
      <c r="A30" s="2" t="s">
        <v>53</v>
      </c>
      <c r="B30" s="2" t="s">
        <v>54</v>
      </c>
      <c r="C30" s="9">
        <v>8.1500000000000128E-2</v>
      </c>
      <c r="D30" s="9">
        <v>5.5749999999999966E-2</v>
      </c>
      <c r="E30" s="9">
        <v>0.99999999999999978</v>
      </c>
      <c r="F30" s="9">
        <v>1</v>
      </c>
      <c r="G30" s="4">
        <v>565.34871246086925</v>
      </c>
      <c r="H30" s="3" t="s">
        <v>123</v>
      </c>
      <c r="I30" s="10">
        <f t="shared" ref="I30:I39" si="4">$B$59</f>
        <v>0.23</v>
      </c>
      <c r="J30" s="10">
        <f t="shared" ref="J30:J39" si="5">$C$59</f>
        <v>0.26</v>
      </c>
      <c r="K30" s="10">
        <f t="shared" ref="K30:K39" si="6">$D$59</f>
        <v>0.26</v>
      </c>
      <c r="L30" s="10">
        <f t="shared" ref="L30:L39" si="7">$E$59</f>
        <v>0.25</v>
      </c>
      <c r="M30" s="12" t="s">
        <v>124</v>
      </c>
    </row>
    <row r="31" spans="1:13" ht="30" customHeight="1">
      <c r="A31" s="2" t="s">
        <v>53</v>
      </c>
      <c r="B31" s="2" t="s">
        <v>55</v>
      </c>
      <c r="C31" s="9">
        <v>5.0599999999999978E-2</v>
      </c>
      <c r="D31" s="9">
        <v>3.5250000000000004E-2</v>
      </c>
      <c r="E31" s="9">
        <v>1</v>
      </c>
      <c r="F31" s="9">
        <v>1.0000000000000002</v>
      </c>
      <c r="G31" s="4">
        <v>36.941427720056794</v>
      </c>
      <c r="H31" s="3" t="s">
        <v>123</v>
      </c>
      <c r="I31" s="10">
        <f t="shared" si="4"/>
        <v>0.23</v>
      </c>
      <c r="J31" s="10">
        <f t="shared" si="5"/>
        <v>0.26</v>
      </c>
      <c r="K31" s="10">
        <f t="shared" si="6"/>
        <v>0.26</v>
      </c>
      <c r="L31" s="10">
        <f t="shared" si="7"/>
        <v>0.25</v>
      </c>
      <c r="M31" s="12" t="s">
        <v>125</v>
      </c>
    </row>
    <row r="32" spans="1:13" ht="30" customHeight="1">
      <c r="A32" s="2" t="s">
        <v>56</v>
      </c>
      <c r="B32" s="2" t="s">
        <v>57</v>
      </c>
      <c r="C32" s="9">
        <v>8.1500000000000128E-2</v>
      </c>
      <c r="D32" s="9">
        <v>5.5749999999999966E-2</v>
      </c>
      <c r="E32" s="9">
        <v>1</v>
      </c>
      <c r="F32" s="9">
        <v>0.99999999999999989</v>
      </c>
      <c r="G32" s="4">
        <v>332.11067862051067</v>
      </c>
      <c r="H32" s="3" t="s">
        <v>123</v>
      </c>
      <c r="I32" s="10">
        <f t="shared" si="4"/>
        <v>0.23</v>
      </c>
      <c r="J32" s="10">
        <f t="shared" si="5"/>
        <v>0.26</v>
      </c>
      <c r="K32" s="10">
        <f t="shared" si="6"/>
        <v>0.26</v>
      </c>
      <c r="L32" s="10">
        <f t="shared" si="7"/>
        <v>0.25</v>
      </c>
      <c r="M32" s="12" t="s">
        <v>126</v>
      </c>
    </row>
    <row r="33" spans="1:13" ht="30" customHeight="1">
      <c r="A33" s="2" t="s">
        <v>56</v>
      </c>
      <c r="B33" s="2" t="s">
        <v>58</v>
      </c>
      <c r="C33" s="9">
        <v>7.1200000000000152E-2</v>
      </c>
      <c r="D33" s="9">
        <v>4.5499999999999874E-2</v>
      </c>
      <c r="E33" s="9">
        <v>0.99999999999999978</v>
      </c>
      <c r="F33" s="9">
        <v>1</v>
      </c>
      <c r="G33" s="4">
        <v>225.99461664034749</v>
      </c>
      <c r="H33" s="3" t="s">
        <v>123</v>
      </c>
      <c r="I33" s="10">
        <f t="shared" si="4"/>
        <v>0.23</v>
      </c>
      <c r="J33" s="10">
        <f t="shared" si="5"/>
        <v>0.26</v>
      </c>
      <c r="K33" s="10">
        <f t="shared" si="6"/>
        <v>0.26</v>
      </c>
      <c r="L33" s="10">
        <f t="shared" si="7"/>
        <v>0.25</v>
      </c>
      <c r="M33" s="12" t="s">
        <v>127</v>
      </c>
    </row>
    <row r="34" spans="1:13" ht="30" customHeight="1">
      <c r="A34" s="2" t="s">
        <v>56</v>
      </c>
      <c r="B34" s="2" t="s">
        <v>59</v>
      </c>
      <c r="C34" s="9">
        <v>0.11240000000000006</v>
      </c>
      <c r="D34" s="9">
        <v>6.5999999999999837E-2</v>
      </c>
      <c r="E34" s="9">
        <v>0.90999999999999992</v>
      </c>
      <c r="F34" s="9">
        <v>1</v>
      </c>
      <c r="G34" s="4">
        <v>83.053021615327708</v>
      </c>
      <c r="H34" s="3" t="s">
        <v>123</v>
      </c>
      <c r="I34" s="10">
        <f t="shared" si="4"/>
        <v>0.23</v>
      </c>
      <c r="J34" s="10">
        <f t="shared" si="5"/>
        <v>0.26</v>
      </c>
      <c r="K34" s="10">
        <f t="shared" si="6"/>
        <v>0.26</v>
      </c>
      <c r="L34" s="10">
        <f t="shared" si="7"/>
        <v>0.25</v>
      </c>
      <c r="M34" s="12" t="s">
        <v>128</v>
      </c>
    </row>
    <row r="35" spans="1:13" ht="30" customHeight="1">
      <c r="A35" s="2" t="s">
        <v>56</v>
      </c>
      <c r="B35" s="2" t="s">
        <v>60</v>
      </c>
      <c r="C35" s="9">
        <v>5.0599999999999978E-2</v>
      </c>
      <c r="D35" s="9">
        <v>3.5250000000000004E-2</v>
      </c>
      <c r="E35" s="9">
        <v>1</v>
      </c>
      <c r="F35" s="9">
        <v>1</v>
      </c>
      <c r="G35" s="4">
        <v>44.329713264068161</v>
      </c>
      <c r="H35" s="3" t="s">
        <v>123</v>
      </c>
      <c r="I35" s="10">
        <f t="shared" si="4"/>
        <v>0.23</v>
      </c>
      <c r="J35" s="10">
        <f t="shared" si="5"/>
        <v>0.26</v>
      </c>
      <c r="K35" s="10">
        <f t="shared" si="6"/>
        <v>0.26</v>
      </c>
      <c r="L35" s="10">
        <f t="shared" si="7"/>
        <v>0.25</v>
      </c>
      <c r="M35" s="12" t="s">
        <v>129</v>
      </c>
    </row>
    <row r="36" spans="1:13" ht="30" customHeight="1">
      <c r="A36" s="2" t="s">
        <v>61</v>
      </c>
      <c r="B36" s="2" t="s">
        <v>62</v>
      </c>
      <c r="C36" s="9">
        <v>0.11240000000000006</v>
      </c>
      <c r="D36" s="9">
        <v>6.5999999999999837E-2</v>
      </c>
      <c r="E36" s="9">
        <v>0.91</v>
      </c>
      <c r="F36" s="9">
        <v>1</v>
      </c>
      <c r="G36" s="4">
        <v>118.64717373618244</v>
      </c>
      <c r="H36" s="3" t="s">
        <v>123</v>
      </c>
      <c r="I36" s="10">
        <f t="shared" si="4"/>
        <v>0.23</v>
      </c>
      <c r="J36" s="10">
        <f t="shared" si="5"/>
        <v>0.26</v>
      </c>
      <c r="K36" s="10">
        <f t="shared" si="6"/>
        <v>0.26</v>
      </c>
      <c r="L36" s="10">
        <f t="shared" si="7"/>
        <v>0.25</v>
      </c>
      <c r="M36" s="12" t="s">
        <v>130</v>
      </c>
    </row>
    <row r="37" spans="1:13" ht="30" customHeight="1">
      <c r="A37" s="2" t="s">
        <v>61</v>
      </c>
      <c r="B37" s="2" t="s">
        <v>63</v>
      </c>
      <c r="C37" s="9">
        <v>0.11240000000000006</v>
      </c>
      <c r="D37" s="9">
        <v>6.5999999999999837E-2</v>
      </c>
      <c r="E37" s="9">
        <v>0.91000000000000014</v>
      </c>
      <c r="F37" s="9">
        <v>1.0000000000000002</v>
      </c>
      <c r="G37" s="4">
        <v>94.917738988945956</v>
      </c>
      <c r="H37" s="3" t="s">
        <v>123</v>
      </c>
      <c r="I37" s="10">
        <f t="shared" si="4"/>
        <v>0.23</v>
      </c>
      <c r="J37" s="10">
        <f t="shared" si="5"/>
        <v>0.26</v>
      </c>
      <c r="K37" s="10">
        <f t="shared" si="6"/>
        <v>0.26</v>
      </c>
      <c r="L37" s="10">
        <f t="shared" si="7"/>
        <v>0.25</v>
      </c>
      <c r="M37" s="12" t="s">
        <v>130</v>
      </c>
    </row>
    <row r="38" spans="1:13" ht="30" customHeight="1">
      <c r="A38" s="2" t="s">
        <v>61</v>
      </c>
      <c r="B38" s="2" t="s">
        <v>64</v>
      </c>
      <c r="C38" s="9">
        <v>5.0599999999999978E-2</v>
      </c>
      <c r="D38" s="9">
        <v>3.5250000000000004E-2</v>
      </c>
      <c r="E38" s="9">
        <v>1.0000000000000002</v>
      </c>
      <c r="F38" s="9">
        <v>1.0000000000000002</v>
      </c>
      <c r="G38" s="4">
        <v>24.627618480037867</v>
      </c>
      <c r="H38" s="3" t="s">
        <v>123</v>
      </c>
      <c r="I38" s="10">
        <f t="shared" si="4"/>
        <v>0.23</v>
      </c>
      <c r="J38" s="10">
        <f t="shared" si="5"/>
        <v>0.26</v>
      </c>
      <c r="K38" s="10">
        <f t="shared" si="6"/>
        <v>0.26</v>
      </c>
      <c r="L38" s="10">
        <f t="shared" si="7"/>
        <v>0.25</v>
      </c>
      <c r="M38" s="12" t="s">
        <v>131</v>
      </c>
    </row>
    <row r="39" spans="1:13" ht="30" customHeight="1">
      <c r="A39" s="2" t="s">
        <v>65</v>
      </c>
      <c r="B39" s="2" t="s">
        <v>66</v>
      </c>
      <c r="C39" s="9">
        <v>8.6500000000000021E-2</v>
      </c>
      <c r="D39" s="9">
        <v>5.0599999999999978E-2</v>
      </c>
      <c r="E39" s="9">
        <v>0.90999999999999992</v>
      </c>
      <c r="F39" s="9">
        <v>0.99999999999999989</v>
      </c>
      <c r="G39" s="4">
        <v>81.119298799940267</v>
      </c>
      <c r="H39" s="3" t="s">
        <v>123</v>
      </c>
      <c r="I39" s="10">
        <f t="shared" si="4"/>
        <v>0.23</v>
      </c>
      <c r="J39" s="10">
        <f t="shared" si="5"/>
        <v>0.26</v>
      </c>
      <c r="K39" s="10">
        <f t="shared" si="6"/>
        <v>0.26</v>
      </c>
      <c r="L39" s="10">
        <f t="shared" si="7"/>
        <v>0.25</v>
      </c>
      <c r="M39" s="12" t="s">
        <v>130</v>
      </c>
    </row>
    <row r="40" spans="1:13" ht="30" customHeight="1">
      <c r="A40" s="2" t="s">
        <v>65</v>
      </c>
      <c r="B40" s="2" t="s">
        <v>67</v>
      </c>
      <c r="C40" s="9">
        <v>4.4999999999999485E-3</v>
      </c>
      <c r="D40" s="9">
        <v>-1.0600000000000054E-2</v>
      </c>
      <c r="E40" s="9">
        <v>0.99999999999999978</v>
      </c>
      <c r="F40" s="9">
        <v>1.0000000000000002</v>
      </c>
      <c r="G40" s="4">
        <v>135.13911076660708</v>
      </c>
      <c r="H40" s="3" t="s">
        <v>117</v>
      </c>
      <c r="I40" s="10">
        <f t="shared" ref="I40:I48" si="8">$B$58</f>
        <v>0.24</v>
      </c>
      <c r="J40" s="10">
        <f t="shared" ref="J40:J48" si="9">$C$58</f>
        <v>0.25</v>
      </c>
      <c r="K40" s="10">
        <f t="shared" ref="K40:K48" si="10">$D$58</f>
        <v>0.25</v>
      </c>
      <c r="L40" s="10">
        <f t="shared" ref="L40:L48" si="11">$E$58</f>
        <v>0.26</v>
      </c>
      <c r="M40" s="12" t="s">
        <v>132</v>
      </c>
    </row>
    <row r="41" spans="1:13" ht="30" customHeight="1">
      <c r="A41" s="2" t="s">
        <v>65</v>
      </c>
      <c r="B41" s="2" t="s">
        <v>68</v>
      </c>
      <c r="C41" s="9">
        <v>0.14799999999999991</v>
      </c>
      <c r="D41" s="9">
        <v>7.1000000000000174E-2</v>
      </c>
      <c r="E41" s="9">
        <v>1</v>
      </c>
      <c r="F41" s="9">
        <v>1</v>
      </c>
      <c r="G41" s="4">
        <v>70.20213546317251</v>
      </c>
      <c r="H41" s="3" t="s">
        <v>117</v>
      </c>
      <c r="I41" s="10">
        <f t="shared" si="8"/>
        <v>0.24</v>
      </c>
      <c r="J41" s="10">
        <f t="shared" si="9"/>
        <v>0.25</v>
      </c>
      <c r="K41" s="10">
        <f t="shared" si="10"/>
        <v>0.25</v>
      </c>
      <c r="L41" s="10">
        <f t="shared" si="11"/>
        <v>0.26</v>
      </c>
      <c r="M41" s="12" t="s">
        <v>133</v>
      </c>
    </row>
    <row r="42" spans="1:13" ht="30" customHeight="1">
      <c r="A42" s="2" t="s">
        <v>65</v>
      </c>
      <c r="B42" s="2" t="s">
        <v>69</v>
      </c>
      <c r="C42" s="9">
        <v>8.6500000000000021E-2</v>
      </c>
      <c r="D42" s="9">
        <v>5.0599999999999978E-2</v>
      </c>
      <c r="E42" s="9">
        <v>1</v>
      </c>
      <c r="F42" s="9">
        <v>1</v>
      </c>
      <c r="G42" s="4">
        <v>66.441306777645423</v>
      </c>
      <c r="H42" s="3" t="s">
        <v>117</v>
      </c>
      <c r="I42" s="10">
        <f t="shared" si="8"/>
        <v>0.24</v>
      </c>
      <c r="J42" s="10">
        <f t="shared" si="9"/>
        <v>0.25</v>
      </c>
      <c r="K42" s="10">
        <f t="shared" si="10"/>
        <v>0.25</v>
      </c>
      <c r="L42" s="10">
        <f t="shared" si="11"/>
        <v>0.26</v>
      </c>
      <c r="M42" s="12" t="s">
        <v>134</v>
      </c>
    </row>
    <row r="43" spans="1:13" ht="30" customHeight="1">
      <c r="A43" s="2" t="s">
        <v>70</v>
      </c>
      <c r="B43" s="2" t="s">
        <v>71</v>
      </c>
      <c r="C43" s="9">
        <v>3.0000000000000027E-2</v>
      </c>
      <c r="D43" s="9">
        <v>1.4749999999999819E-2</v>
      </c>
      <c r="E43" s="9">
        <v>1</v>
      </c>
      <c r="F43" s="9">
        <v>1</v>
      </c>
      <c r="G43" s="4">
        <v>75.583483826203164</v>
      </c>
      <c r="H43" s="3" t="s">
        <v>117</v>
      </c>
      <c r="I43" s="10">
        <f t="shared" si="8"/>
        <v>0.24</v>
      </c>
      <c r="J43" s="10">
        <f t="shared" si="9"/>
        <v>0.25</v>
      </c>
      <c r="K43" s="10">
        <f t="shared" si="10"/>
        <v>0.25</v>
      </c>
      <c r="L43" s="10">
        <f t="shared" si="11"/>
        <v>0.26</v>
      </c>
      <c r="M43" s="12" t="s">
        <v>135</v>
      </c>
    </row>
    <row r="44" spans="1:13" ht="30" customHeight="1">
      <c r="A44" s="2" t="s">
        <v>70</v>
      </c>
      <c r="B44" s="2" t="s">
        <v>72</v>
      </c>
      <c r="C44" s="9">
        <v>8.1500000000000128E-2</v>
      </c>
      <c r="D44" s="9">
        <v>5.5749999999999966E-2</v>
      </c>
      <c r="E44" s="9">
        <v>0.99999999999999989</v>
      </c>
      <c r="F44" s="9">
        <v>1</v>
      </c>
      <c r="G44" s="4">
        <v>171.95242570461221</v>
      </c>
      <c r="H44" s="3" t="s">
        <v>117</v>
      </c>
      <c r="I44" s="10">
        <f t="shared" si="8"/>
        <v>0.24</v>
      </c>
      <c r="J44" s="10">
        <f t="shared" si="9"/>
        <v>0.25</v>
      </c>
      <c r="K44" s="10">
        <f t="shared" si="10"/>
        <v>0.25</v>
      </c>
      <c r="L44" s="10">
        <f t="shared" si="11"/>
        <v>0.26</v>
      </c>
      <c r="M44" s="12" t="s">
        <v>136</v>
      </c>
    </row>
    <row r="45" spans="1:13" ht="30" customHeight="1">
      <c r="A45" s="2" t="s">
        <v>70</v>
      </c>
      <c r="B45" s="2" t="s">
        <v>73</v>
      </c>
      <c r="C45" s="9">
        <v>7.1200000000000152E-2</v>
      </c>
      <c r="D45" s="9">
        <v>4.5499999999999874E-2</v>
      </c>
      <c r="E45" s="9">
        <v>0.99999999999999989</v>
      </c>
      <c r="F45" s="9">
        <v>1</v>
      </c>
      <c r="G45" s="4">
        <v>117.91023476887693</v>
      </c>
      <c r="H45" s="3" t="s">
        <v>117</v>
      </c>
      <c r="I45" s="10">
        <f t="shared" si="8"/>
        <v>0.24</v>
      </c>
      <c r="J45" s="10">
        <f t="shared" si="9"/>
        <v>0.25</v>
      </c>
      <c r="K45" s="10">
        <f t="shared" si="10"/>
        <v>0.25</v>
      </c>
      <c r="L45" s="10">
        <f t="shared" si="11"/>
        <v>0.26</v>
      </c>
      <c r="M45" s="12" t="s">
        <v>137</v>
      </c>
    </row>
    <row r="46" spans="1:13" ht="30" customHeight="1">
      <c r="A46" s="2" t="s">
        <v>70</v>
      </c>
      <c r="B46" s="2" t="s">
        <v>74</v>
      </c>
      <c r="C46" s="9">
        <v>5.0599999999999978E-2</v>
      </c>
      <c r="D46" s="9">
        <v>3.5250000000000004E-2</v>
      </c>
      <c r="E46" s="9">
        <v>1</v>
      </c>
      <c r="F46" s="9">
        <v>1.0000000000000004</v>
      </c>
      <c r="G46" s="4">
        <v>38.547576751363614</v>
      </c>
      <c r="H46" s="3" t="s">
        <v>117</v>
      </c>
      <c r="I46" s="10">
        <f t="shared" si="8"/>
        <v>0.24</v>
      </c>
      <c r="J46" s="10">
        <f t="shared" si="9"/>
        <v>0.25</v>
      </c>
      <c r="K46" s="10">
        <f t="shared" si="10"/>
        <v>0.25</v>
      </c>
      <c r="L46" s="10">
        <f t="shared" si="11"/>
        <v>0.26</v>
      </c>
      <c r="M46" s="12" t="s">
        <v>138</v>
      </c>
    </row>
    <row r="47" spans="1:13" ht="30" customHeight="1">
      <c r="A47" s="2" t="s">
        <v>75</v>
      </c>
      <c r="B47" s="2" t="s">
        <v>76</v>
      </c>
      <c r="C47" s="9">
        <v>0.58874999999999988</v>
      </c>
      <c r="D47" s="9">
        <v>0.17299999999999982</v>
      </c>
      <c r="E47" s="9">
        <v>1</v>
      </c>
      <c r="F47" s="9">
        <v>1</v>
      </c>
      <c r="G47" s="4">
        <v>31.089517133690684</v>
      </c>
      <c r="H47" s="3" t="s">
        <v>117</v>
      </c>
      <c r="I47" s="10">
        <f t="shared" si="8"/>
        <v>0.24</v>
      </c>
      <c r="J47" s="10">
        <f t="shared" si="9"/>
        <v>0.25</v>
      </c>
      <c r="K47" s="10">
        <f t="shared" si="10"/>
        <v>0.25</v>
      </c>
      <c r="L47" s="10">
        <f t="shared" si="11"/>
        <v>0.26</v>
      </c>
      <c r="M47" s="12" t="s">
        <v>139</v>
      </c>
    </row>
    <row r="48" spans="1:13" ht="30" customHeight="1">
      <c r="A48" s="2" t="s">
        <v>75</v>
      </c>
      <c r="B48" s="2" t="s">
        <v>77</v>
      </c>
      <c r="C48" s="9">
        <v>4.5499999999999874E-2</v>
      </c>
      <c r="D48" s="9">
        <v>3.0200000000000005E-2</v>
      </c>
      <c r="E48" s="9">
        <v>1.0000000000000002</v>
      </c>
      <c r="F48" s="9">
        <v>1</v>
      </c>
      <c r="G48" s="4">
        <v>17.90154454310899</v>
      </c>
      <c r="H48" s="3" t="s">
        <v>117</v>
      </c>
      <c r="I48" s="10">
        <f t="shared" si="8"/>
        <v>0.24</v>
      </c>
      <c r="J48" s="10">
        <f t="shared" si="9"/>
        <v>0.25</v>
      </c>
      <c r="K48" s="10">
        <f t="shared" si="10"/>
        <v>0.25</v>
      </c>
      <c r="L48" s="10">
        <f t="shared" si="11"/>
        <v>0.26</v>
      </c>
      <c r="M48" s="12" t="s">
        <v>140</v>
      </c>
    </row>
    <row r="49" spans="1:13" ht="30" customHeight="1">
      <c r="A49" s="2" t="s">
        <v>78</v>
      </c>
      <c r="B49" s="2" t="s">
        <v>78</v>
      </c>
      <c r="C49" s="9">
        <v>3.5250000000000004E-2</v>
      </c>
      <c r="D49" s="9">
        <v>2.0000000000000018E-2</v>
      </c>
      <c r="E49" s="9">
        <v>1</v>
      </c>
      <c r="F49" s="9">
        <v>0.99999999999999989</v>
      </c>
      <c r="G49" s="4">
        <v>647.00359632660707</v>
      </c>
      <c r="H49" s="3" t="s">
        <v>123</v>
      </c>
      <c r="I49" s="10">
        <f>$B$59</f>
        <v>0.23</v>
      </c>
      <c r="J49" s="10">
        <f>$C$59</f>
        <v>0.26</v>
      </c>
      <c r="K49" s="10">
        <f>$D$59</f>
        <v>0.26</v>
      </c>
      <c r="L49" s="10">
        <f>$E$59</f>
        <v>0.25</v>
      </c>
      <c r="M49" s="12" t="s">
        <v>141</v>
      </c>
    </row>
    <row r="50" spans="1:13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1:1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1:13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1:1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</row>
    <row r="54" spans="1:13" ht="18" customHeight="1">
      <c r="A54" s="46" t="s">
        <v>142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</row>
    <row r="55" spans="1:13" ht="30" customHeight="1">
      <c r="A55" s="1" t="s">
        <v>143</v>
      </c>
      <c r="B55" s="1" t="s">
        <v>144</v>
      </c>
      <c r="C55" s="1" t="s">
        <v>145</v>
      </c>
      <c r="D55" s="1" t="s">
        <v>146</v>
      </c>
      <c r="E55" s="1" t="s">
        <v>147</v>
      </c>
      <c r="F55" s="42"/>
      <c r="G55" s="42"/>
      <c r="H55" s="42"/>
      <c r="I55" s="42"/>
      <c r="J55" s="42"/>
      <c r="K55" s="42"/>
      <c r="L55" s="42"/>
      <c r="M55" s="42"/>
    </row>
    <row r="56" spans="1:13" ht="16" customHeight="1">
      <c r="A56" s="2" t="s">
        <v>35</v>
      </c>
      <c r="B56" s="9">
        <v>0.24</v>
      </c>
      <c r="C56" s="9">
        <v>0.23</v>
      </c>
      <c r="D56" s="9">
        <v>0.25</v>
      </c>
      <c r="E56" s="9">
        <v>0.28000000000000003</v>
      </c>
      <c r="F56" s="42"/>
      <c r="G56" s="42"/>
      <c r="H56" s="42"/>
      <c r="I56" s="42"/>
      <c r="J56" s="42"/>
      <c r="K56" s="42"/>
      <c r="L56" s="42"/>
      <c r="M56" s="42"/>
    </row>
    <row r="57" spans="1:13" ht="16" customHeight="1">
      <c r="A57" s="2" t="s">
        <v>110</v>
      </c>
      <c r="B57" s="9">
        <v>0.24</v>
      </c>
      <c r="C57" s="9">
        <v>0.25</v>
      </c>
      <c r="D57" s="9">
        <v>0.25</v>
      </c>
      <c r="E57" s="9">
        <v>0.26</v>
      </c>
      <c r="F57" s="42"/>
      <c r="G57" s="42"/>
      <c r="H57" s="42"/>
      <c r="I57" s="42"/>
      <c r="J57" s="42"/>
      <c r="K57" s="42"/>
      <c r="L57" s="42"/>
      <c r="M57" s="42"/>
    </row>
    <row r="58" spans="1:13" ht="16" customHeight="1">
      <c r="A58" s="2" t="s">
        <v>117</v>
      </c>
      <c r="B58" s="9">
        <v>0.24</v>
      </c>
      <c r="C58" s="9">
        <v>0.25</v>
      </c>
      <c r="D58" s="9">
        <v>0.25</v>
      </c>
      <c r="E58" s="9">
        <v>0.26</v>
      </c>
      <c r="F58" s="42"/>
      <c r="G58" s="42"/>
      <c r="H58" s="42"/>
      <c r="I58" s="42"/>
      <c r="J58" s="42"/>
      <c r="K58" s="42"/>
      <c r="L58" s="42"/>
      <c r="M58" s="42"/>
    </row>
    <row r="59" spans="1:13" ht="16" customHeight="1">
      <c r="A59" s="2" t="s">
        <v>123</v>
      </c>
      <c r="B59" s="9">
        <v>0.23</v>
      </c>
      <c r="C59" s="9">
        <v>0.26</v>
      </c>
      <c r="D59" s="9">
        <v>0.26</v>
      </c>
      <c r="E59" s="9">
        <v>0.25</v>
      </c>
      <c r="F59" s="42"/>
      <c r="G59" s="42"/>
      <c r="H59" s="42"/>
      <c r="I59" s="42"/>
      <c r="J59" s="42"/>
      <c r="K59" s="42"/>
      <c r="L59" s="42"/>
      <c r="M59" s="42"/>
    </row>
    <row r="60" spans="1:13" ht="16" customHeight="1">
      <c r="A60" s="2" t="s">
        <v>148</v>
      </c>
      <c r="B60" s="9">
        <v>0.25</v>
      </c>
      <c r="C60" s="9">
        <v>0.25</v>
      </c>
      <c r="D60" s="9">
        <v>0.25</v>
      </c>
      <c r="E60" s="9">
        <v>0.25</v>
      </c>
      <c r="F60" s="42"/>
      <c r="G60" s="42"/>
      <c r="H60" s="42"/>
      <c r="I60" s="42"/>
      <c r="J60" s="42"/>
      <c r="K60" s="42"/>
      <c r="L60" s="42"/>
      <c r="M60" s="42"/>
    </row>
    <row r="61" spans="1:13" ht="16" customHeight="1">
      <c r="A61" s="2" t="s">
        <v>119</v>
      </c>
      <c r="B61" s="9">
        <v>0</v>
      </c>
      <c r="C61" s="9">
        <v>1</v>
      </c>
      <c r="D61" s="9">
        <v>0</v>
      </c>
      <c r="E61" s="9">
        <v>0</v>
      </c>
      <c r="F61" s="42"/>
      <c r="G61" s="42"/>
      <c r="H61" s="42"/>
      <c r="I61" s="42"/>
      <c r="J61" s="42"/>
      <c r="K61" s="42"/>
      <c r="L61" s="42"/>
      <c r="M61" s="42"/>
    </row>
    <row r="62" spans="1:1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</row>
    <row r="63" spans="1:1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</row>
    <row r="64" spans="1:13" ht="18" customHeight="1">
      <c r="A64" s="46" t="s">
        <v>149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</row>
    <row r="65" spans="1:13" ht="30" customHeight="1">
      <c r="A65" s="1" t="s">
        <v>150</v>
      </c>
      <c r="B65" s="1" t="s">
        <v>151</v>
      </c>
      <c r="C65" s="1" t="s">
        <v>99</v>
      </c>
      <c r="D65" s="1" t="s">
        <v>100</v>
      </c>
      <c r="E65" s="42"/>
      <c r="F65" s="42"/>
      <c r="G65" s="42"/>
      <c r="H65" s="42"/>
      <c r="I65" s="42"/>
      <c r="J65" s="42"/>
      <c r="K65" s="42"/>
      <c r="L65" s="42"/>
      <c r="M65" s="42"/>
    </row>
    <row r="66" spans="1:13" ht="16" customHeight="1">
      <c r="A66" s="2" t="s">
        <v>30</v>
      </c>
      <c r="B66" s="9">
        <v>0</v>
      </c>
      <c r="C66" s="4">
        <v>355.4</v>
      </c>
      <c r="D66" s="3" t="s">
        <v>148</v>
      </c>
      <c r="E66" s="42"/>
      <c r="F66" s="42"/>
      <c r="G66" s="42"/>
      <c r="H66" s="42"/>
      <c r="I66" s="42"/>
      <c r="J66" s="42"/>
      <c r="K66" s="42"/>
      <c r="L66" s="42"/>
      <c r="M66" s="42"/>
    </row>
    <row r="67" spans="1:13" ht="16" customHeight="1">
      <c r="A67" s="2" t="s">
        <v>31</v>
      </c>
      <c r="B67" s="9">
        <v>0</v>
      </c>
      <c r="C67" s="4">
        <v>0.95</v>
      </c>
      <c r="D67" s="3" t="s">
        <v>148</v>
      </c>
      <c r="E67" s="42"/>
      <c r="F67" s="42"/>
      <c r="G67" s="42"/>
      <c r="H67" s="42"/>
      <c r="I67" s="42"/>
      <c r="J67" s="42"/>
      <c r="K67" s="42"/>
      <c r="L67" s="42"/>
      <c r="M67" s="42"/>
    </row>
    <row r="68" spans="1:13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</row>
    <row r="69" spans="1:13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</row>
    <row r="70" spans="1:13" ht="18" customHeight="1">
      <c r="A70" s="46" t="s">
        <v>152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</row>
    <row r="71" spans="1:13" ht="30" customHeight="1">
      <c r="A71" s="1" t="s">
        <v>153</v>
      </c>
      <c r="B71" s="1" t="s">
        <v>154</v>
      </c>
      <c r="C71" s="1" t="s">
        <v>155</v>
      </c>
      <c r="D71" s="1" t="s">
        <v>156</v>
      </c>
      <c r="E71" s="1" t="s">
        <v>157</v>
      </c>
      <c r="F71" s="1" t="s">
        <v>158</v>
      </c>
      <c r="G71" s="1" t="s">
        <v>159</v>
      </c>
      <c r="H71" s="1" t="s">
        <v>160</v>
      </c>
      <c r="I71" s="1" t="s">
        <v>161</v>
      </c>
      <c r="J71" s="1" t="s">
        <v>162</v>
      </c>
      <c r="K71" s="1" t="s">
        <v>163</v>
      </c>
      <c r="L71" s="1" t="s">
        <v>164</v>
      </c>
      <c r="M71" s="42"/>
    </row>
    <row r="72" spans="1:13" ht="16" customHeight="1">
      <c r="A72" s="2" t="s">
        <v>165</v>
      </c>
      <c r="B72" s="3">
        <v>2029</v>
      </c>
      <c r="C72" s="4">
        <v>810</v>
      </c>
      <c r="D72" s="9">
        <v>0.2</v>
      </c>
      <c r="E72" s="9">
        <v>0.45</v>
      </c>
      <c r="F72" s="9">
        <v>0.7</v>
      </c>
      <c r="G72" s="9">
        <v>0.9</v>
      </c>
      <c r="H72" s="9">
        <v>1</v>
      </c>
      <c r="I72" s="9">
        <v>1</v>
      </c>
      <c r="J72" s="9">
        <v>1</v>
      </c>
      <c r="K72" s="9">
        <v>0.9</v>
      </c>
      <c r="L72" s="11" t="s">
        <v>166</v>
      </c>
      <c r="M72" s="42"/>
    </row>
    <row r="73" spans="1:1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</row>
    <row r="74" spans="1:13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</row>
    <row r="75" spans="1:13" ht="18" customHeight="1">
      <c r="A75" s="46" t="s">
        <v>167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</row>
    <row r="76" spans="1:13" ht="30" customHeight="1">
      <c r="A76" s="1" t="s">
        <v>168</v>
      </c>
      <c r="B76" s="1" t="s">
        <v>169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1" t="s">
        <v>170</v>
      </c>
    </row>
    <row r="77" spans="1:13" ht="32" customHeight="1">
      <c r="A77" s="2" t="s">
        <v>171</v>
      </c>
      <c r="B77" s="13" t="s">
        <v>172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13" t="s">
        <v>173</v>
      </c>
    </row>
    <row r="78" spans="1:13" ht="32" customHeight="1">
      <c r="A78" s="2" t="s">
        <v>174</v>
      </c>
      <c r="B78" s="13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13" t="s">
        <v>176</v>
      </c>
    </row>
    <row r="79" spans="1:13" ht="32" customHeight="1">
      <c r="A79" s="2" t="s">
        <v>177</v>
      </c>
      <c r="B79" s="13" t="s">
        <v>178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13" t="s">
        <v>179</v>
      </c>
    </row>
    <row r="80" spans="1:13" ht="32" customHeight="1">
      <c r="A80" s="2" t="s">
        <v>180</v>
      </c>
      <c r="B80" s="13" t="s">
        <v>181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13" t="s">
        <v>182</v>
      </c>
    </row>
    <row r="81" spans="1:13" ht="32" customHeight="1">
      <c r="A81" s="2" t="s">
        <v>183</v>
      </c>
      <c r="B81" s="13" t="s">
        <v>184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13" t="s">
        <v>185</v>
      </c>
    </row>
    <row r="82" spans="1:13" ht="32" customHeight="1">
      <c r="A82" s="2" t="s">
        <v>186</v>
      </c>
      <c r="B82" s="13" t="s">
        <v>187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13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8C8D"/>
  </sheetPr>
  <dimension ref="A2:J5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baseColWidth="10" defaultColWidth="8.83203125" defaultRowHeight="14"/>
  <cols>
    <col min="1" max="1" width="27" customWidth="1"/>
    <col min="2" max="2" width="22" customWidth="1"/>
    <col min="3" max="3" width="29" customWidth="1"/>
    <col min="4" max="6" width="31" customWidth="1"/>
    <col min="7" max="9" width="20" customWidth="1"/>
    <col min="10" max="10" width="27" customWidth="1"/>
  </cols>
  <sheetData>
    <row r="2" spans="1:10" ht="24" customHeight="1">
      <c r="A2" s="40" t="s">
        <v>189</v>
      </c>
      <c r="B2" s="40"/>
      <c r="C2" s="40"/>
      <c r="D2" s="40"/>
      <c r="E2" s="40"/>
      <c r="F2" s="40"/>
      <c r="G2" s="40"/>
      <c r="H2" s="40"/>
      <c r="I2" s="40"/>
      <c r="J2" s="40"/>
    </row>
    <row r="3" spans="1:10">
      <c r="A3" s="41" t="s">
        <v>190</v>
      </c>
      <c r="B3" s="41"/>
      <c r="C3" s="41"/>
      <c r="D3" s="41"/>
      <c r="E3" s="41"/>
      <c r="F3" s="41"/>
      <c r="G3" s="41"/>
      <c r="H3" s="41"/>
      <c r="I3" s="41"/>
      <c r="J3" s="41"/>
    </row>
    <row r="4" spans="1:10">
      <c r="A4" s="42"/>
      <c r="B4" s="42"/>
      <c r="C4" s="42"/>
      <c r="D4" s="42"/>
      <c r="E4" s="42"/>
      <c r="F4" s="42"/>
      <c r="G4" s="42"/>
      <c r="H4" s="42"/>
      <c r="I4" s="42"/>
      <c r="J4" s="42"/>
    </row>
    <row r="5" spans="1:10" ht="18" customHeight="1">
      <c r="A5" s="46" t="s">
        <v>191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ht="30" customHeight="1">
      <c r="A6" s="8" t="s">
        <v>94</v>
      </c>
      <c r="B6" s="8" t="s">
        <v>7</v>
      </c>
      <c r="C6" s="8" t="s">
        <v>192</v>
      </c>
      <c r="D6" s="8" t="s">
        <v>193</v>
      </c>
      <c r="E6" s="8" t="s">
        <v>194</v>
      </c>
      <c r="F6" s="8" t="s">
        <v>195</v>
      </c>
      <c r="G6" s="8" t="s">
        <v>196</v>
      </c>
      <c r="H6" s="8" t="s">
        <v>197</v>
      </c>
      <c r="I6" s="8" t="s">
        <v>198</v>
      </c>
      <c r="J6" s="8" t="s">
        <v>199</v>
      </c>
    </row>
    <row r="7" spans="1:10" ht="36" customHeight="1">
      <c r="A7" s="13" t="s">
        <v>35</v>
      </c>
      <c r="B7" s="13" t="s">
        <v>36</v>
      </c>
      <c r="C7" s="13" t="s">
        <v>200</v>
      </c>
      <c r="D7" s="13" t="s">
        <v>201</v>
      </c>
      <c r="E7" s="13" t="s">
        <v>202</v>
      </c>
      <c r="F7" s="13" t="s">
        <v>203</v>
      </c>
      <c r="G7" s="13" t="s">
        <v>204</v>
      </c>
      <c r="H7" s="13" t="s">
        <v>205</v>
      </c>
      <c r="I7" s="13" t="s">
        <v>206</v>
      </c>
      <c r="J7" s="13" t="s">
        <v>207</v>
      </c>
    </row>
    <row r="8" spans="1:10" ht="36" customHeight="1">
      <c r="A8" s="13" t="s">
        <v>35</v>
      </c>
      <c r="B8" s="13" t="s">
        <v>37</v>
      </c>
      <c r="C8" s="13" t="s">
        <v>208</v>
      </c>
      <c r="D8" s="13" t="s">
        <v>209</v>
      </c>
      <c r="E8" s="13" t="s">
        <v>202</v>
      </c>
      <c r="F8" s="13" t="s">
        <v>210</v>
      </c>
      <c r="G8" s="13" t="s">
        <v>204</v>
      </c>
      <c r="H8" s="13" t="s">
        <v>205</v>
      </c>
      <c r="I8" s="13" t="s">
        <v>211</v>
      </c>
      <c r="J8" s="13" t="s">
        <v>212</v>
      </c>
    </row>
    <row r="9" spans="1:10" ht="36" customHeight="1">
      <c r="A9" s="13" t="s">
        <v>35</v>
      </c>
      <c r="B9" s="13" t="s">
        <v>38</v>
      </c>
      <c r="C9" s="13" t="s">
        <v>213</v>
      </c>
      <c r="D9" s="13" t="s">
        <v>214</v>
      </c>
      <c r="E9" s="13" t="s">
        <v>215</v>
      </c>
      <c r="F9" s="13" t="s">
        <v>216</v>
      </c>
      <c r="G9" s="13" t="s">
        <v>217</v>
      </c>
      <c r="H9" s="13" t="s">
        <v>218</v>
      </c>
      <c r="I9" s="13" t="s">
        <v>219</v>
      </c>
      <c r="J9" s="13" t="s">
        <v>220</v>
      </c>
    </row>
    <row r="10" spans="1:10" ht="36" customHeight="1">
      <c r="A10" s="13" t="s">
        <v>35</v>
      </c>
      <c r="B10" s="13" t="s">
        <v>39</v>
      </c>
      <c r="C10" s="13" t="s">
        <v>221</v>
      </c>
      <c r="D10" s="13" t="s">
        <v>222</v>
      </c>
      <c r="E10" s="13" t="s">
        <v>223</v>
      </c>
      <c r="F10" s="13" t="s">
        <v>224</v>
      </c>
      <c r="G10" s="13" t="s">
        <v>225</v>
      </c>
      <c r="H10" s="13" t="s">
        <v>205</v>
      </c>
      <c r="I10" s="13" t="s">
        <v>226</v>
      </c>
      <c r="J10" s="13" t="s">
        <v>227</v>
      </c>
    </row>
    <row r="11" spans="1:10" ht="36" customHeight="1">
      <c r="A11" s="13" t="s">
        <v>41</v>
      </c>
      <c r="B11" s="13" t="s">
        <v>42</v>
      </c>
      <c r="C11" s="13" t="s">
        <v>228</v>
      </c>
      <c r="D11" s="13" t="s">
        <v>229</v>
      </c>
      <c r="E11" s="13" t="s">
        <v>230</v>
      </c>
      <c r="F11" s="13" t="s">
        <v>231</v>
      </c>
      <c r="G11" s="13" t="s">
        <v>232</v>
      </c>
      <c r="H11" s="13" t="s">
        <v>233</v>
      </c>
      <c r="I11" s="13" t="s">
        <v>234</v>
      </c>
      <c r="J11" s="13" t="s">
        <v>207</v>
      </c>
    </row>
    <row r="12" spans="1:10" ht="36" customHeight="1">
      <c r="A12" s="13" t="s">
        <v>41</v>
      </c>
      <c r="B12" s="13" t="s">
        <v>43</v>
      </c>
      <c r="C12" s="13" t="s">
        <v>235</v>
      </c>
      <c r="D12" s="13" t="s">
        <v>236</v>
      </c>
      <c r="E12" s="13" t="s">
        <v>237</v>
      </c>
      <c r="F12" s="13" t="s">
        <v>238</v>
      </c>
      <c r="G12" s="13" t="s">
        <v>232</v>
      </c>
      <c r="H12" s="13" t="s">
        <v>233</v>
      </c>
      <c r="I12" s="13" t="s">
        <v>239</v>
      </c>
      <c r="J12" s="13" t="s">
        <v>207</v>
      </c>
    </row>
    <row r="13" spans="1:10" ht="36" customHeight="1">
      <c r="A13" s="13" t="s">
        <v>41</v>
      </c>
      <c r="B13" s="13" t="s">
        <v>44</v>
      </c>
      <c r="C13" s="13" t="s">
        <v>240</v>
      </c>
      <c r="D13" s="13" t="s">
        <v>241</v>
      </c>
      <c r="E13" s="13" t="s">
        <v>242</v>
      </c>
      <c r="F13" s="13" t="s">
        <v>243</v>
      </c>
      <c r="G13" s="13" t="s">
        <v>232</v>
      </c>
      <c r="H13" s="13" t="s">
        <v>233</v>
      </c>
      <c r="I13" s="13" t="s">
        <v>244</v>
      </c>
      <c r="J13" s="13" t="s">
        <v>207</v>
      </c>
    </row>
    <row r="14" spans="1:10" ht="36" customHeight="1">
      <c r="A14" s="13" t="s">
        <v>41</v>
      </c>
      <c r="B14" s="13" t="s">
        <v>45</v>
      </c>
      <c r="C14" s="13" t="s">
        <v>245</v>
      </c>
      <c r="D14" s="13" t="s">
        <v>246</v>
      </c>
      <c r="E14" s="13" t="s">
        <v>247</v>
      </c>
      <c r="F14" s="13" t="s">
        <v>248</v>
      </c>
      <c r="G14" s="13" t="s">
        <v>232</v>
      </c>
      <c r="H14" s="13" t="s">
        <v>249</v>
      </c>
      <c r="I14" s="13" t="s">
        <v>250</v>
      </c>
      <c r="J14" s="13" t="s">
        <v>207</v>
      </c>
    </row>
    <row r="15" spans="1:10" ht="36" customHeight="1">
      <c r="A15" s="13" t="s">
        <v>41</v>
      </c>
      <c r="B15" s="13" t="s">
        <v>46</v>
      </c>
      <c r="C15" s="13" t="s">
        <v>251</v>
      </c>
      <c r="D15" s="13" t="s">
        <v>252</v>
      </c>
      <c r="E15" s="13" t="s">
        <v>253</v>
      </c>
      <c r="F15" s="13" t="s">
        <v>254</v>
      </c>
      <c r="G15" s="13" t="s">
        <v>232</v>
      </c>
      <c r="H15" s="13" t="s">
        <v>255</v>
      </c>
      <c r="I15" s="13" t="s">
        <v>256</v>
      </c>
      <c r="J15" s="13" t="s">
        <v>212</v>
      </c>
    </row>
    <row r="16" spans="1:10" ht="36" customHeight="1">
      <c r="A16" s="13" t="s">
        <v>41</v>
      </c>
      <c r="B16" s="13" t="s">
        <v>47</v>
      </c>
      <c r="C16" s="13" t="s">
        <v>213</v>
      </c>
      <c r="D16" s="13" t="s">
        <v>214</v>
      </c>
      <c r="E16" s="13" t="s">
        <v>257</v>
      </c>
      <c r="F16" s="13" t="s">
        <v>216</v>
      </c>
      <c r="G16" s="13" t="s">
        <v>217</v>
      </c>
      <c r="H16" s="13" t="s">
        <v>218</v>
      </c>
      <c r="I16" s="13" t="s">
        <v>219</v>
      </c>
      <c r="J16" s="13" t="s">
        <v>220</v>
      </c>
    </row>
    <row r="17" spans="1:10" ht="36" customHeight="1">
      <c r="A17" s="13" t="s">
        <v>48</v>
      </c>
      <c r="B17" s="13" t="s">
        <v>49</v>
      </c>
      <c r="C17" s="13" t="s">
        <v>258</v>
      </c>
      <c r="D17" s="13" t="s">
        <v>259</v>
      </c>
      <c r="E17" s="13" t="s">
        <v>260</v>
      </c>
      <c r="F17" s="13" t="s">
        <v>261</v>
      </c>
      <c r="G17" s="13" t="s">
        <v>117</v>
      </c>
      <c r="H17" s="13" t="s">
        <v>249</v>
      </c>
      <c r="I17" s="13" t="s">
        <v>262</v>
      </c>
      <c r="J17" s="13" t="s">
        <v>207</v>
      </c>
    </row>
    <row r="18" spans="1:10" ht="36" customHeight="1">
      <c r="A18" s="13" t="s">
        <v>48</v>
      </c>
      <c r="B18" s="13" t="s">
        <v>50</v>
      </c>
      <c r="C18" s="13" t="s">
        <v>263</v>
      </c>
      <c r="D18" s="13" t="s">
        <v>264</v>
      </c>
      <c r="E18" s="13" t="s">
        <v>265</v>
      </c>
      <c r="F18" s="13" t="s">
        <v>266</v>
      </c>
      <c r="G18" s="13" t="s">
        <v>117</v>
      </c>
      <c r="H18" s="13" t="s">
        <v>267</v>
      </c>
      <c r="I18" s="13" t="s">
        <v>268</v>
      </c>
      <c r="J18" s="13" t="s">
        <v>269</v>
      </c>
    </row>
    <row r="19" spans="1:10" ht="36" customHeight="1">
      <c r="A19" s="13" t="s">
        <v>48</v>
      </c>
      <c r="B19" s="13" t="s">
        <v>51</v>
      </c>
      <c r="C19" s="13" t="s">
        <v>270</v>
      </c>
      <c r="D19" s="13" t="s">
        <v>271</v>
      </c>
      <c r="E19" s="13" t="s">
        <v>272</v>
      </c>
      <c r="F19" s="13" t="s">
        <v>273</v>
      </c>
      <c r="G19" s="13" t="s">
        <v>117</v>
      </c>
      <c r="H19" s="13" t="s">
        <v>267</v>
      </c>
      <c r="I19" s="13" t="s">
        <v>274</v>
      </c>
      <c r="J19" s="13" t="s">
        <v>275</v>
      </c>
    </row>
    <row r="20" spans="1:10" ht="36" customHeight="1">
      <c r="A20" s="13" t="s">
        <v>48</v>
      </c>
      <c r="B20" s="13" t="s">
        <v>52</v>
      </c>
      <c r="C20" s="13" t="s">
        <v>213</v>
      </c>
      <c r="D20" s="13" t="s">
        <v>214</v>
      </c>
      <c r="E20" s="13" t="s">
        <v>276</v>
      </c>
      <c r="F20" s="13" t="s">
        <v>216</v>
      </c>
      <c r="G20" s="13" t="s">
        <v>217</v>
      </c>
      <c r="H20" s="13" t="s">
        <v>218</v>
      </c>
      <c r="I20" s="13" t="s">
        <v>219</v>
      </c>
      <c r="J20" s="13" t="s">
        <v>220</v>
      </c>
    </row>
    <row r="21" spans="1:10" ht="36" customHeight="1">
      <c r="A21" s="13" t="s">
        <v>53</v>
      </c>
      <c r="B21" s="13" t="s">
        <v>54</v>
      </c>
      <c r="C21" s="13" t="s">
        <v>277</v>
      </c>
      <c r="D21" s="13" t="s">
        <v>278</v>
      </c>
      <c r="E21" s="13" t="s">
        <v>279</v>
      </c>
      <c r="F21" s="13" t="s">
        <v>280</v>
      </c>
      <c r="G21" s="13" t="s">
        <v>281</v>
      </c>
      <c r="H21" s="13" t="s">
        <v>267</v>
      </c>
      <c r="I21" s="13" t="s">
        <v>282</v>
      </c>
      <c r="J21" s="13" t="s">
        <v>207</v>
      </c>
    </row>
    <row r="22" spans="1:10" ht="36" customHeight="1">
      <c r="A22" s="13" t="s">
        <v>53</v>
      </c>
      <c r="B22" s="13" t="s">
        <v>55</v>
      </c>
      <c r="C22" s="13" t="s">
        <v>213</v>
      </c>
      <c r="D22" s="13" t="s">
        <v>214</v>
      </c>
      <c r="E22" s="13" t="s">
        <v>283</v>
      </c>
      <c r="F22" s="13" t="s">
        <v>216</v>
      </c>
      <c r="G22" s="13" t="s">
        <v>217</v>
      </c>
      <c r="H22" s="13" t="s">
        <v>218</v>
      </c>
      <c r="I22" s="13" t="s">
        <v>219</v>
      </c>
      <c r="J22" s="13" t="s">
        <v>220</v>
      </c>
    </row>
    <row r="23" spans="1:10" ht="36" customHeight="1">
      <c r="A23" s="13" t="s">
        <v>56</v>
      </c>
      <c r="B23" s="13" t="s">
        <v>57</v>
      </c>
      <c r="C23" s="13" t="s">
        <v>284</v>
      </c>
      <c r="D23" s="13" t="s">
        <v>285</v>
      </c>
      <c r="E23" s="13" t="s">
        <v>286</v>
      </c>
      <c r="F23" s="13" t="s">
        <v>287</v>
      </c>
      <c r="G23" s="13" t="s">
        <v>232</v>
      </c>
      <c r="H23" s="13" t="s">
        <v>267</v>
      </c>
      <c r="I23" s="13" t="s">
        <v>288</v>
      </c>
      <c r="J23" s="13" t="s">
        <v>207</v>
      </c>
    </row>
    <row r="24" spans="1:10" ht="36" customHeight="1">
      <c r="A24" s="13" t="s">
        <v>56</v>
      </c>
      <c r="B24" s="13" t="s">
        <v>58</v>
      </c>
      <c r="C24" s="13" t="s">
        <v>289</v>
      </c>
      <c r="D24" s="13" t="s">
        <v>290</v>
      </c>
      <c r="E24" s="13" t="s">
        <v>291</v>
      </c>
      <c r="F24" s="13" t="s">
        <v>292</v>
      </c>
      <c r="G24" s="13" t="s">
        <v>232</v>
      </c>
      <c r="H24" s="13" t="s">
        <v>267</v>
      </c>
      <c r="I24" s="13" t="s">
        <v>288</v>
      </c>
      <c r="J24" s="13" t="s">
        <v>207</v>
      </c>
    </row>
    <row r="25" spans="1:10" ht="36" customHeight="1">
      <c r="A25" s="13" t="s">
        <v>56</v>
      </c>
      <c r="B25" s="13" t="s">
        <v>59</v>
      </c>
      <c r="C25" s="13" t="s">
        <v>293</v>
      </c>
      <c r="D25" s="13" t="s">
        <v>294</v>
      </c>
      <c r="E25" s="13" t="s">
        <v>295</v>
      </c>
      <c r="F25" s="13" t="s">
        <v>287</v>
      </c>
      <c r="G25" s="13" t="s">
        <v>296</v>
      </c>
      <c r="H25" s="13" t="s">
        <v>267</v>
      </c>
      <c r="I25" s="13" t="s">
        <v>297</v>
      </c>
      <c r="J25" s="13" t="s">
        <v>298</v>
      </c>
    </row>
    <row r="26" spans="1:10" ht="36" customHeight="1">
      <c r="A26" s="13" t="s">
        <v>56</v>
      </c>
      <c r="B26" s="13" t="s">
        <v>60</v>
      </c>
      <c r="C26" s="13" t="s">
        <v>213</v>
      </c>
      <c r="D26" s="13" t="s">
        <v>214</v>
      </c>
      <c r="E26" s="13" t="s">
        <v>299</v>
      </c>
      <c r="F26" s="13" t="s">
        <v>216</v>
      </c>
      <c r="G26" s="13" t="s">
        <v>217</v>
      </c>
      <c r="H26" s="13" t="s">
        <v>218</v>
      </c>
      <c r="I26" s="13" t="s">
        <v>219</v>
      </c>
      <c r="J26" s="13" t="s">
        <v>220</v>
      </c>
    </row>
    <row r="27" spans="1:10" ht="36" customHeight="1">
      <c r="A27" s="13" t="s">
        <v>61</v>
      </c>
      <c r="B27" s="13" t="s">
        <v>62</v>
      </c>
      <c r="C27" s="13" t="s">
        <v>300</v>
      </c>
      <c r="D27" s="13" t="s">
        <v>301</v>
      </c>
      <c r="E27" s="13" t="s">
        <v>302</v>
      </c>
      <c r="F27" s="13" t="s">
        <v>303</v>
      </c>
      <c r="G27" s="13" t="s">
        <v>232</v>
      </c>
      <c r="H27" s="13" t="s">
        <v>267</v>
      </c>
      <c r="I27" s="13" t="s">
        <v>297</v>
      </c>
      <c r="J27" s="13" t="s">
        <v>298</v>
      </c>
    </row>
    <row r="28" spans="1:10" ht="36" customHeight="1">
      <c r="A28" s="13" t="s">
        <v>61</v>
      </c>
      <c r="B28" s="13" t="s">
        <v>63</v>
      </c>
      <c r="C28" s="13" t="s">
        <v>304</v>
      </c>
      <c r="D28" s="13" t="s">
        <v>305</v>
      </c>
      <c r="E28" s="13" t="s">
        <v>306</v>
      </c>
      <c r="F28" s="13" t="s">
        <v>307</v>
      </c>
      <c r="G28" s="13" t="s">
        <v>232</v>
      </c>
      <c r="H28" s="13" t="s">
        <v>267</v>
      </c>
      <c r="I28" s="13" t="s">
        <v>297</v>
      </c>
      <c r="J28" s="13" t="s">
        <v>298</v>
      </c>
    </row>
    <row r="29" spans="1:10" ht="36" customHeight="1">
      <c r="A29" s="13" t="s">
        <v>61</v>
      </c>
      <c r="B29" s="13" t="s">
        <v>64</v>
      </c>
      <c r="C29" s="13" t="s">
        <v>213</v>
      </c>
      <c r="D29" s="13" t="s">
        <v>214</v>
      </c>
      <c r="E29" s="13" t="s">
        <v>308</v>
      </c>
      <c r="F29" s="13" t="s">
        <v>216</v>
      </c>
      <c r="G29" s="13" t="s">
        <v>217</v>
      </c>
      <c r="H29" s="13" t="s">
        <v>218</v>
      </c>
      <c r="I29" s="13" t="s">
        <v>219</v>
      </c>
      <c r="J29" s="13" t="s">
        <v>220</v>
      </c>
    </row>
    <row r="30" spans="1:10" ht="36" customHeight="1">
      <c r="A30" s="13" t="s">
        <v>65</v>
      </c>
      <c r="B30" s="13" t="s">
        <v>66</v>
      </c>
      <c r="C30" s="13" t="s">
        <v>309</v>
      </c>
      <c r="D30" s="13" t="s">
        <v>310</v>
      </c>
      <c r="E30" s="13" t="s">
        <v>311</v>
      </c>
      <c r="F30" s="13" t="s">
        <v>312</v>
      </c>
      <c r="G30" s="13" t="s">
        <v>313</v>
      </c>
      <c r="H30" s="13" t="s">
        <v>267</v>
      </c>
      <c r="I30" s="13" t="s">
        <v>297</v>
      </c>
      <c r="J30" s="13" t="s">
        <v>298</v>
      </c>
    </row>
    <row r="31" spans="1:10" ht="36" customHeight="1">
      <c r="A31" s="13" t="s">
        <v>65</v>
      </c>
      <c r="B31" s="13" t="s">
        <v>67</v>
      </c>
      <c r="C31" s="13" t="s">
        <v>314</v>
      </c>
      <c r="D31" s="13" t="s">
        <v>315</v>
      </c>
      <c r="E31" s="13" t="s">
        <v>316</v>
      </c>
      <c r="F31" s="13" t="s">
        <v>317</v>
      </c>
      <c r="G31" s="13" t="s">
        <v>117</v>
      </c>
      <c r="H31" s="13" t="s">
        <v>318</v>
      </c>
      <c r="I31" s="13" t="s">
        <v>319</v>
      </c>
      <c r="J31" s="13" t="s">
        <v>207</v>
      </c>
    </row>
    <row r="32" spans="1:10" ht="36" customHeight="1">
      <c r="A32" s="13" t="s">
        <v>65</v>
      </c>
      <c r="B32" s="13" t="s">
        <v>68</v>
      </c>
      <c r="C32" s="13" t="s">
        <v>320</v>
      </c>
      <c r="D32" s="13" t="s">
        <v>321</v>
      </c>
      <c r="E32" s="13" t="s">
        <v>322</v>
      </c>
      <c r="F32" s="13" t="s">
        <v>323</v>
      </c>
      <c r="G32" s="13" t="s">
        <v>117</v>
      </c>
      <c r="H32" s="13" t="s">
        <v>324</v>
      </c>
      <c r="I32" s="13" t="s">
        <v>325</v>
      </c>
      <c r="J32" s="13" t="s">
        <v>207</v>
      </c>
    </row>
    <row r="33" spans="1:10" ht="36" customHeight="1">
      <c r="A33" s="13" t="s">
        <v>65</v>
      </c>
      <c r="B33" s="13" t="s">
        <v>69</v>
      </c>
      <c r="C33" s="13" t="s">
        <v>326</v>
      </c>
      <c r="D33" s="13" t="s">
        <v>214</v>
      </c>
      <c r="E33" s="13" t="s">
        <v>327</v>
      </c>
      <c r="F33" s="13" t="s">
        <v>216</v>
      </c>
      <c r="G33" s="13" t="s">
        <v>217</v>
      </c>
      <c r="H33" s="13" t="s">
        <v>218</v>
      </c>
      <c r="I33" s="13" t="s">
        <v>219</v>
      </c>
      <c r="J33" s="13" t="s">
        <v>220</v>
      </c>
    </row>
    <row r="34" spans="1:10" ht="36" customHeight="1">
      <c r="A34" s="13" t="s">
        <v>70</v>
      </c>
      <c r="B34" s="13" t="s">
        <v>71</v>
      </c>
      <c r="C34" s="13" t="s">
        <v>328</v>
      </c>
      <c r="D34" s="13" t="s">
        <v>329</v>
      </c>
      <c r="E34" s="13" t="s">
        <v>330</v>
      </c>
      <c r="F34" s="13" t="s">
        <v>331</v>
      </c>
      <c r="G34" s="13" t="s">
        <v>332</v>
      </c>
      <c r="H34" s="13" t="s">
        <v>267</v>
      </c>
      <c r="I34" s="13" t="s">
        <v>333</v>
      </c>
      <c r="J34" s="13" t="s">
        <v>207</v>
      </c>
    </row>
    <row r="35" spans="1:10" ht="36" customHeight="1">
      <c r="A35" s="13" t="s">
        <v>70</v>
      </c>
      <c r="B35" s="13" t="s">
        <v>72</v>
      </c>
      <c r="C35" s="13" t="s">
        <v>334</v>
      </c>
      <c r="D35" s="13" t="s">
        <v>335</v>
      </c>
      <c r="E35" s="13" t="s">
        <v>336</v>
      </c>
      <c r="F35" s="13" t="s">
        <v>337</v>
      </c>
      <c r="G35" s="13" t="s">
        <v>338</v>
      </c>
      <c r="H35" s="13" t="s">
        <v>267</v>
      </c>
      <c r="I35" s="13" t="s">
        <v>339</v>
      </c>
      <c r="J35" s="13" t="s">
        <v>207</v>
      </c>
    </row>
    <row r="36" spans="1:10" ht="36" customHeight="1">
      <c r="A36" s="13" t="s">
        <v>70</v>
      </c>
      <c r="B36" s="13" t="s">
        <v>73</v>
      </c>
      <c r="C36" s="13" t="s">
        <v>340</v>
      </c>
      <c r="D36" s="13" t="s">
        <v>341</v>
      </c>
      <c r="E36" s="13" t="s">
        <v>342</v>
      </c>
      <c r="F36" s="13" t="s">
        <v>331</v>
      </c>
      <c r="G36" s="13" t="s">
        <v>117</v>
      </c>
      <c r="H36" s="13" t="s">
        <v>267</v>
      </c>
      <c r="I36" s="13" t="s">
        <v>343</v>
      </c>
      <c r="J36" s="13" t="s">
        <v>207</v>
      </c>
    </row>
    <row r="37" spans="1:10" ht="36" customHeight="1">
      <c r="A37" s="13" t="s">
        <v>70</v>
      </c>
      <c r="B37" s="13" t="s">
        <v>74</v>
      </c>
      <c r="C37" s="13" t="s">
        <v>213</v>
      </c>
      <c r="D37" s="13" t="s">
        <v>214</v>
      </c>
      <c r="E37" s="13" t="s">
        <v>344</v>
      </c>
      <c r="F37" s="13" t="s">
        <v>216</v>
      </c>
      <c r="G37" s="13" t="s">
        <v>217</v>
      </c>
      <c r="H37" s="13" t="s">
        <v>218</v>
      </c>
      <c r="I37" s="13" t="s">
        <v>219</v>
      </c>
      <c r="J37" s="13" t="s">
        <v>220</v>
      </c>
    </row>
    <row r="38" spans="1:10" ht="36" customHeight="1">
      <c r="A38" s="13" t="s">
        <v>75</v>
      </c>
      <c r="B38" s="13" t="s">
        <v>76</v>
      </c>
      <c r="C38" s="13" t="s">
        <v>345</v>
      </c>
      <c r="D38" s="13" t="s">
        <v>346</v>
      </c>
      <c r="E38" s="13" t="s">
        <v>347</v>
      </c>
      <c r="F38" s="13" t="s">
        <v>348</v>
      </c>
      <c r="G38" s="13" t="s">
        <v>349</v>
      </c>
      <c r="H38" s="13" t="s">
        <v>324</v>
      </c>
      <c r="I38" s="13" t="s">
        <v>350</v>
      </c>
      <c r="J38" s="13" t="s">
        <v>212</v>
      </c>
    </row>
    <row r="39" spans="1:10" ht="36" customHeight="1">
      <c r="A39" s="13" t="s">
        <v>75</v>
      </c>
      <c r="B39" s="13" t="s">
        <v>77</v>
      </c>
      <c r="C39" s="13" t="s">
        <v>213</v>
      </c>
      <c r="D39" s="13" t="s">
        <v>214</v>
      </c>
      <c r="E39" s="13" t="s">
        <v>351</v>
      </c>
      <c r="F39" s="13" t="s">
        <v>216</v>
      </c>
      <c r="G39" s="13" t="s">
        <v>217</v>
      </c>
      <c r="H39" s="13" t="s">
        <v>218</v>
      </c>
      <c r="I39" s="13" t="s">
        <v>219</v>
      </c>
      <c r="J39" s="13" t="s">
        <v>220</v>
      </c>
    </row>
    <row r="40" spans="1:10" ht="36" customHeight="1">
      <c r="A40" s="13" t="s">
        <v>78</v>
      </c>
      <c r="B40" s="13" t="s">
        <v>78</v>
      </c>
      <c r="C40" s="13" t="s">
        <v>213</v>
      </c>
      <c r="D40" s="13" t="s">
        <v>214</v>
      </c>
      <c r="E40" s="13" t="s">
        <v>352</v>
      </c>
      <c r="F40" s="13" t="s">
        <v>216</v>
      </c>
      <c r="G40" s="13" t="s">
        <v>217</v>
      </c>
      <c r="H40" s="13" t="s">
        <v>218</v>
      </c>
      <c r="I40" s="13" t="s">
        <v>219</v>
      </c>
      <c r="J40" s="13" t="s">
        <v>220</v>
      </c>
    </row>
    <row r="41" spans="1:10">
      <c r="A41" s="42"/>
      <c r="B41" s="42"/>
      <c r="C41" s="42"/>
      <c r="D41" s="42"/>
      <c r="E41" s="42"/>
      <c r="F41" s="42"/>
      <c r="G41" s="42"/>
      <c r="H41" s="42"/>
      <c r="I41" s="42"/>
      <c r="J41" s="42"/>
    </row>
    <row r="42" spans="1:10">
      <c r="A42" s="42"/>
      <c r="B42" s="42"/>
      <c r="C42" s="42"/>
      <c r="D42" s="42"/>
      <c r="E42" s="42"/>
      <c r="F42" s="42"/>
      <c r="G42" s="42"/>
      <c r="H42" s="42"/>
      <c r="I42" s="42"/>
      <c r="J42" s="42"/>
    </row>
    <row r="43" spans="1:10" ht="18" customHeight="1">
      <c r="A43" s="46" t="s">
        <v>353</v>
      </c>
      <c r="B43" s="46"/>
      <c r="C43" s="46"/>
      <c r="D43" s="46"/>
      <c r="E43" s="46"/>
      <c r="F43" s="46"/>
      <c r="G43" s="46"/>
      <c r="H43" s="46"/>
      <c r="I43" s="46"/>
      <c r="J43" s="46"/>
    </row>
    <row r="44" spans="1:10" ht="30" customHeight="1">
      <c r="A44" s="8" t="s">
        <v>94</v>
      </c>
      <c r="B44" s="8" t="s">
        <v>7</v>
      </c>
      <c r="C44" s="8" t="s">
        <v>192</v>
      </c>
      <c r="D44" s="8" t="s">
        <v>193</v>
      </c>
      <c r="E44" s="8" t="s">
        <v>194</v>
      </c>
      <c r="F44" s="8" t="s">
        <v>195</v>
      </c>
      <c r="G44" s="8" t="s">
        <v>196</v>
      </c>
      <c r="H44" s="8" t="s">
        <v>197</v>
      </c>
      <c r="I44" s="8" t="s">
        <v>198</v>
      </c>
      <c r="J44" s="8" t="s">
        <v>199</v>
      </c>
    </row>
    <row r="45" spans="1:10" ht="42" customHeight="1">
      <c r="A45" s="13" t="s">
        <v>354</v>
      </c>
      <c r="B45" s="13" t="s">
        <v>355</v>
      </c>
      <c r="C45" s="13" t="s">
        <v>356</v>
      </c>
      <c r="D45" s="13" t="s">
        <v>357</v>
      </c>
      <c r="E45" s="13" t="s">
        <v>358</v>
      </c>
      <c r="F45" s="13" t="s">
        <v>359</v>
      </c>
      <c r="G45" s="13" t="s">
        <v>360</v>
      </c>
      <c r="H45" s="13" t="s">
        <v>354</v>
      </c>
      <c r="I45" s="13" t="s">
        <v>361</v>
      </c>
      <c r="J45" s="13" t="s">
        <v>362</v>
      </c>
    </row>
    <row r="46" spans="1:10" ht="42" customHeight="1">
      <c r="A46" s="13" t="s">
        <v>363</v>
      </c>
      <c r="B46" s="13" t="s">
        <v>364</v>
      </c>
      <c r="C46" s="13" t="s">
        <v>365</v>
      </c>
      <c r="D46" s="13" t="s">
        <v>366</v>
      </c>
      <c r="E46" s="13" t="s">
        <v>367</v>
      </c>
      <c r="F46" s="13" t="s">
        <v>368</v>
      </c>
      <c r="G46" s="13" t="s">
        <v>232</v>
      </c>
      <c r="H46" s="13" t="s">
        <v>233</v>
      </c>
      <c r="I46" s="13" t="s">
        <v>369</v>
      </c>
      <c r="J46" s="13" t="s">
        <v>362</v>
      </c>
    </row>
    <row r="47" spans="1:10" ht="42" customHeight="1">
      <c r="A47" s="13" t="s">
        <v>370</v>
      </c>
      <c r="B47" s="13" t="s">
        <v>371</v>
      </c>
      <c r="C47" s="13" t="s">
        <v>372</v>
      </c>
      <c r="D47" s="13" t="s">
        <v>373</v>
      </c>
      <c r="E47" s="13" t="s">
        <v>374</v>
      </c>
      <c r="F47" s="13" t="s">
        <v>375</v>
      </c>
      <c r="G47" s="13" t="s">
        <v>376</v>
      </c>
      <c r="H47" s="13" t="s">
        <v>377</v>
      </c>
      <c r="I47" s="13" t="s">
        <v>378</v>
      </c>
      <c r="J47" s="13" t="s">
        <v>362</v>
      </c>
    </row>
    <row r="48" spans="1:10" ht="42" customHeight="1">
      <c r="A48" s="13" t="s">
        <v>379</v>
      </c>
      <c r="B48" s="13" t="s">
        <v>380</v>
      </c>
      <c r="C48" s="13" t="s">
        <v>381</v>
      </c>
      <c r="D48" s="13" t="s">
        <v>382</v>
      </c>
      <c r="E48" s="13" t="s">
        <v>383</v>
      </c>
      <c r="F48" s="13" t="s">
        <v>248</v>
      </c>
      <c r="G48" s="13" t="s">
        <v>232</v>
      </c>
      <c r="H48" s="13" t="s">
        <v>249</v>
      </c>
      <c r="I48" s="13" t="s">
        <v>384</v>
      </c>
      <c r="J48" s="13" t="s">
        <v>362</v>
      </c>
    </row>
    <row r="49" spans="1:10" ht="42" customHeight="1">
      <c r="A49" s="13" t="s">
        <v>385</v>
      </c>
      <c r="B49" s="13" t="s">
        <v>386</v>
      </c>
      <c r="C49" s="13" t="s">
        <v>387</v>
      </c>
      <c r="D49" s="13" t="s">
        <v>388</v>
      </c>
      <c r="E49" s="13" t="s">
        <v>389</v>
      </c>
      <c r="F49" s="13" t="s">
        <v>390</v>
      </c>
      <c r="G49" s="13" t="s">
        <v>117</v>
      </c>
      <c r="H49" s="13" t="s">
        <v>324</v>
      </c>
      <c r="I49" s="13" t="s">
        <v>391</v>
      </c>
      <c r="J49" s="13" t="s">
        <v>362</v>
      </c>
    </row>
    <row r="50" spans="1:10" ht="42" customHeight="1">
      <c r="A50" s="13" t="s">
        <v>379</v>
      </c>
      <c r="B50" s="13" t="s">
        <v>392</v>
      </c>
      <c r="C50" s="13" t="s">
        <v>393</v>
      </c>
      <c r="D50" s="13" t="s">
        <v>394</v>
      </c>
      <c r="E50" s="13" t="s">
        <v>395</v>
      </c>
      <c r="F50" s="13" t="s">
        <v>396</v>
      </c>
      <c r="G50" s="13" t="s">
        <v>397</v>
      </c>
      <c r="H50" s="13" t="s">
        <v>233</v>
      </c>
      <c r="I50" s="13" t="s">
        <v>398</v>
      </c>
      <c r="J50" s="13" t="s">
        <v>362</v>
      </c>
    </row>
    <row r="51" spans="1:10" ht="42" customHeight="1">
      <c r="A51" s="13" t="s">
        <v>354</v>
      </c>
      <c r="B51" s="13" t="s">
        <v>399</v>
      </c>
      <c r="C51" s="13" t="s">
        <v>400</v>
      </c>
      <c r="D51" s="13" t="s">
        <v>401</v>
      </c>
      <c r="E51" s="13" t="s">
        <v>402</v>
      </c>
      <c r="F51" s="13" t="s">
        <v>403</v>
      </c>
      <c r="G51" s="13" t="s">
        <v>117</v>
      </c>
      <c r="H51" s="13" t="s">
        <v>354</v>
      </c>
      <c r="I51" s="13" t="s">
        <v>404</v>
      </c>
      <c r="J51" s="13" t="s">
        <v>362</v>
      </c>
    </row>
    <row r="52" spans="1:10" ht="42" customHeight="1">
      <c r="A52" s="13" t="s">
        <v>354</v>
      </c>
      <c r="B52" s="13" t="s">
        <v>405</v>
      </c>
      <c r="C52" s="13" t="s">
        <v>406</v>
      </c>
      <c r="D52" s="13" t="s">
        <v>407</v>
      </c>
      <c r="E52" s="13" t="s">
        <v>408</v>
      </c>
      <c r="F52" s="13" t="s">
        <v>403</v>
      </c>
      <c r="G52" s="13" t="s">
        <v>117</v>
      </c>
      <c r="H52" s="13" t="s">
        <v>354</v>
      </c>
      <c r="I52" s="13" t="s">
        <v>404</v>
      </c>
      <c r="J52" s="13" t="s">
        <v>362</v>
      </c>
    </row>
    <row r="53" spans="1:10" ht="42" customHeight="1">
      <c r="A53" s="13" t="s">
        <v>409</v>
      </c>
      <c r="B53" s="13" t="s">
        <v>410</v>
      </c>
      <c r="C53" s="13" t="s">
        <v>411</v>
      </c>
      <c r="D53" s="13" t="s">
        <v>412</v>
      </c>
      <c r="E53" s="13" t="s">
        <v>413</v>
      </c>
      <c r="F53" s="13" t="s">
        <v>414</v>
      </c>
      <c r="G53" s="13" t="s">
        <v>313</v>
      </c>
      <c r="H53" s="13" t="s">
        <v>415</v>
      </c>
      <c r="I53" s="13" t="s">
        <v>416</v>
      </c>
      <c r="J53" s="13" t="s">
        <v>362</v>
      </c>
    </row>
    <row r="54" spans="1:10" ht="42" customHeight="1">
      <c r="A54" s="13" t="s">
        <v>417</v>
      </c>
      <c r="B54" s="13" t="s">
        <v>418</v>
      </c>
      <c r="C54" s="13" t="s">
        <v>419</v>
      </c>
      <c r="D54" s="13" t="s">
        <v>420</v>
      </c>
      <c r="E54" s="13" t="s">
        <v>421</v>
      </c>
      <c r="F54" s="13" t="s">
        <v>422</v>
      </c>
      <c r="G54" s="13" t="s">
        <v>423</v>
      </c>
      <c r="H54" s="13" t="s">
        <v>255</v>
      </c>
      <c r="I54" s="13" t="s">
        <v>424</v>
      </c>
      <c r="J54" s="13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 Model</vt:lpstr>
      <vt:lpstr>Assumptions</vt:lpstr>
      <vt:lpstr>Drug Primer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Shirsh Sawarna</cp:lastModifiedBy>
  <dcterms:modified xsi:type="dcterms:W3CDTF">2026-09-18T04:48:33Z</dcterms:modified>
</cp:coreProperties>
</file>