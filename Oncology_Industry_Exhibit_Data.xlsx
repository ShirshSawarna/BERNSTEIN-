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d118cad22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ustry data" sheetId="1" r:id="Rafe3a14c36df4466"/>
    <x:sheet xmlns:r="http://schemas.openxmlformats.org/officeDocument/2006/relationships" name="Portfolio map" sheetId="2" r:id="R3e6c36840f5c4ffb"/>
    <x:sheet xmlns:r="http://schemas.openxmlformats.org/officeDocument/2006/relationships" name="Sources" sheetId="3" r:id="R8146e1d31e9e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0.0&quot;x&quot;"/>
    <x:numFmt numFmtId="203" formatCode="#,##0.0"/>
  </x:numFmts>
  <x:fonts count="4">
    <x:font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  <x:font>
      <x:b/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67681aab346c0" /><Relationship Type="http://schemas.openxmlformats.org/officeDocument/2006/relationships/theme" Target="/xl/theme/theme1.xml" Id="R7a2cb1e28e0247fb" /><Relationship Type="http://schemas.openxmlformats.org/officeDocument/2006/relationships/sharedStrings" Target="/xl/sharedStrings.xml" Id="R2ddc8408fbb94528" /><Relationship Type="http://schemas.openxmlformats.org/officeDocument/2006/relationships/worksheet" Target="/xl/worksheets/sheet1.xml" Id="Rafe3a14c36df4466" /><Relationship Type="http://schemas.openxmlformats.org/officeDocument/2006/relationships/worksheet" Target="/xl/worksheets/sheet2.xml" Id="R3e6c36840f5c4ffb" /><Relationship Type="http://schemas.openxmlformats.org/officeDocument/2006/relationships/worksheet" Target="/xl/worksheets/sheet3.xml" Id="R8146e1d31e9e44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10ee7d06f245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India sales value index: FY21 =100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Onco index</c:v>
          </c:tx>
          <c:spPr>
            <a:solidFill xmlns:a="http://schemas.openxmlformats.org/drawingml/2006/main">
              <a:srgbClr val="000000"/>
            </a:solidFill>
          </c:spPr>
          <c:marker>
            <c:symbol val="none"/>
          </c:marker>
          <c:cat>
            <c:strRef>
              <c:f>'Industry data'!$A$8:$A$13</c:f>
              <c:strCache>
                <c:ptCount val="0"/>
              </c:strCache>
            </c:strRef>
          </c:cat>
          <c:val>
            <c:numRef>
              <c:f>'Industry data'!$D$8:$D$13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IPM index</c:v>
          </c:tx>
          <c:spPr>
            <a:solidFill xmlns:a="http://schemas.openxmlformats.org/drawingml/2006/main">
              <a:srgbClr val="888888"/>
            </a:solidFill>
          </c:spPr>
          <c:marker>
            <c:symbol val="none"/>
          </c:marker>
          <c:cat>
            <c:strRef>
              <c:f>'Industry data'!$A$8:$A$13</c:f>
              <c:strCache>
                <c:ptCount val="0"/>
              </c:strCache>
            </c:strRef>
          </c:cat>
          <c:val>
            <c:numRef>
              <c:f>'Industry data'!$E$8:$E$13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10ee7d06f2455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1edfa085324cf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1" hidden="0" customWidth="1"/>
    <x:col min="2" max="2" width="23" hidden="0" customWidth="1"/>
    <x:col min="3" max="3" width="23" hidden="0" customWidth="1"/>
    <x:col min="4" max="4" width="89" hidden="0" customWidth="1"/>
    <x:col min="5" max="5" width="22" hidden="0" customWidth="1"/>
    <x:col min="6" max="6" width="21" hidden="0" customWidth="1"/>
    <x:col min="7" max="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India oncology: growth, innovation and access</x:v>
      </x:c>
      <x:c r="B2" s="2"/>
      <x:c r="C2" s="2"/>
      <x:c r="D2" s="2"/>
      <x:c r="E2" s="2"/>
      <x:c r="F2" s="2"/>
      <x:c r="G2" s="2"/>
    </x:row>
    <x:row r="3" ht="23" customHeight="1">
      <x:c r="A3" s="2"/>
      <x:c r="B3" s="2"/>
      <x:c r="C3" s="2"/>
      <x:c r="D3" s="2"/>
      <x:c r="E3" s="2"/>
      <x:c r="F3" s="2"/>
      <x:c r="G3" s="2"/>
    </x:row>
    <x:row r="4" ht="23" customHeight="1">
      <x:c r="A4" s="5" t="str">
        <x:v>Chart 1 | Oncology is compounding at twice the pace of IPM</x:v>
      </x:c>
      <x:c r="B4" s="5"/>
      <x:c r="C4" s="5"/>
      <x:c r="D4" s="5"/>
      <x:c r="E4" s="5"/>
      <x:c r="F4" s="5"/>
      <x:c r="G4" s="5"/>
    </x:row>
    <x:row r="5" ht="23" customHeight="1">
      <x:c r="A5" s="2" t="str">
        <x:v>Market proxy: antineoplastics / immunomodulators. This is not pure oncology or total hospital oncology spending.</x:v>
      </x:c>
      <x:c r="B5" s="2"/>
      <x:c r="C5" s="2"/>
      <x:c r="D5" s="2"/>
      <x:c r="E5" s="2"/>
      <x:c r="F5" s="2"/>
      <x:c r="G5" s="2"/>
    </x:row>
    <x:row r="6" ht="23" customHeight="1">
      <x:c r="A6" s="2"/>
      <x:c r="B6" s="2"/>
      <x:c r="C6" s="2"/>
      <x:c r="D6" s="2"/>
      <x:c r="E6" s="2"/>
      <x:c r="F6" s="2"/>
      <x:c r="G6" s="2"/>
    </x:row>
    <x:row r="7" ht="23" customHeight="1">
      <x:c r="A7" s="5" t="str">
        <x:v>Year</x:v>
      </x:c>
      <x:c r="B7" s="5" t="str">
        <x:v>Onco proxy growth</x:v>
      </x:c>
      <x:c r="C7" s="5" t="str">
        <x:v>IPM growth</x:v>
      </x:c>
      <x:c r="D7" s="5" t="str">
        <x:v>Onco index</x:v>
      </x:c>
      <x:c r="E7" s="5" t="str">
        <x:v>IPM index</x:v>
      </x:c>
      <x:c r="F7" s="5" t="str">
        <x:v>Growth gap (pp)</x:v>
      </x:c>
      <x:c r="G7" s="5" t="str">
        <x:v>Source</x:v>
      </x:c>
    </x:row>
    <x:row r="8" ht="23" customHeight="1">
      <x:c r="A8" s="2" t="str">
        <x:v>FY21</x:v>
      </x:c>
      <x:c r="B8" s="6"/>
      <x:c r="C8" s="6"/>
      <x:c r="D8" s="7" t="n">
        <x:v>100</x:v>
      </x:c>
      <x:c r="E8" s="7" t="n">
        <x:v>100</x:v>
      </x:c>
      <x:c r="F8" s="7"/>
      <x:c r="G8" s="2" t="str">
        <x:v>S1</x:v>
      </x:c>
    </x:row>
    <x:row r="9" ht="23" customHeight="1">
      <x:c r="A9" s="2" t="str">
        <x:v>FY22</x:v>
      </x:c>
      <x:c r="B9" s="6" t="n">
        <x:v>0.2</x:v>
      </x:c>
      <x:c r="C9" s="6" t="n">
        <x:v>0.18</x:v>
      </x:c>
      <x:c r="D9" s="7" t="n">
        <x:f>D8*(1+B9)</x:f>
        <x:v>120</x:v>
      </x:c>
      <x:c r="E9" s="7" t="n">
        <x:f>E8*(1+C9)</x:f>
        <x:v>118</x:v>
      </x:c>
      <x:c r="F9" s="7" t="n">
        <x:f>(B9-C9)*100</x:f>
        <x:v>2.0000000000000018</x:v>
      </x:c>
      <x:c r="G9" s="2" t="str">
        <x:v>S1</x:v>
      </x:c>
    </x:row>
    <x:row r="10" ht="23" customHeight="1">
      <x:c r="A10" s="2" t="str">
        <x:v>FY23</x:v>
      </x:c>
      <x:c r="B10" s="6" t="n">
        <x:v>0.25</x:v>
      </x:c>
      <x:c r="C10" s="6" t="n">
        <x:v>0.08</x:v>
      </x:c>
      <x:c r="D10" s="7" t="n">
        <x:f>D9*(1+B10)</x:f>
        <x:v>150</x:v>
      </x:c>
      <x:c r="E10" s="7" t="n">
        <x:f>E9*(1+C10)</x:f>
        <x:v>127.44000000000001</x:v>
      </x:c>
      <x:c r="F10" s="7" t="n">
        <x:f>(B10-C10)*100</x:f>
        <x:v>17</x:v>
      </x:c>
      <x:c r="G10" s="2" t="str">
        <x:v>S1</x:v>
      </x:c>
    </x:row>
    <x:row r="11" ht="23" customHeight="1">
      <x:c r="A11" s="2" t="str">
        <x:v>FY24</x:v>
      </x:c>
      <x:c r="B11" s="6" t="n">
        <x:v>0.23</x:v>
      </x:c>
      <x:c r="C11" s="6" t="n">
        <x:v>0.07</x:v>
      </x:c>
      <x:c r="D11" s="7" t="n">
        <x:f>D10*(1+B11)</x:f>
        <x:v>184.5</x:v>
      </x:c>
      <x:c r="E11" s="7" t="n">
        <x:f>E10*(1+C11)</x:f>
        <x:v>136.3608</x:v>
      </x:c>
      <x:c r="F11" s="7" t="n">
        <x:f>(B11-C11)*100</x:f>
        <x:v>16</x:v>
      </x:c>
      <x:c r="G11" s="2" t="str">
        <x:v>S1</x:v>
      </x:c>
    </x:row>
    <x:row r="12" ht="23" customHeight="1">
      <x:c r="A12" s="2" t="str">
        <x:v>FY25</x:v>
      </x:c>
      <x:c r="B12" s="6" t="n">
        <x:v>0.14</x:v>
      </x:c>
      <x:c r="C12" s="6" t="n">
        <x:v>0.08</x:v>
      </x:c>
      <x:c r="D12" s="7" t="n">
        <x:f>D11*(1+B12)</x:f>
        <x:v>210.33</x:v>
      </x:c>
      <x:c r="E12" s="7" t="n">
        <x:f>E11*(1+C12)</x:f>
        <x:v>147.26966400000003</x:v>
      </x:c>
      <x:c r="F12" s="7" t="n">
        <x:f>(B12-C12)*100</x:f>
        <x:v>6.000000000000001</x:v>
      </x:c>
      <x:c r="G12" s="2" t="str">
        <x:v>S1</x:v>
      </x:c>
    </x:row>
    <x:row r="13" ht="23" customHeight="1">
      <x:c r="A13" s="2" t="str">
        <x:v>FY26</x:v>
      </x:c>
      <x:c r="B13" s="6" t="n">
        <x:v>0.24</x:v>
      </x:c>
      <x:c r="C13" s="6" t="n">
        <x:v>0.1</x:v>
      </x:c>
      <x:c r="D13" s="7" t="n">
        <x:f>D12*(1+B13)</x:f>
        <x:v>260.80920000000003</x:v>
      </x:c>
      <x:c r="E13" s="7" t="n">
        <x:f>E12*(1+C13)</x:f>
        <x:v>161.99663040000004</x:v>
      </x:c>
      <x:c r="F13" s="7" t="n">
        <x:f>(B13-C13)*100</x:f>
        <x:v>13.999999999999998</x:v>
      </x:c>
      <x:c r="G13" s="2" t="str">
        <x:v>S1</x:v>
      </x:c>
    </x:row>
    <x:row r="14" ht="23" customHeight="1">
      <x:c r="A14" s="2"/>
      <x:c r="B14" s="2"/>
      <x:c r="C14" s="2"/>
      <x:c r="D14" s="2"/>
      <x:c r="E14" s="2"/>
      <x:c r="F14" s="2"/>
      <x:c r="G14" s="2"/>
    </x:row>
    <x:row r="15" ht="23" customHeight="1">
      <x:c r="A15" s="2" t="str">
        <x:v>5-year CAGR</x:v>
      </x:c>
      <x:c r="B15" s="6" t="n">
        <x:f>(D13/D8)^(1/5)-1</x:f>
        <x:v>0.21133588028220496</x:v>
      </x:c>
      <x:c r="C15" s="6" t="n">
        <x:f>(E13/E8)^(1/5)-1</x:f>
        <x:v>0.10128873333664923</x:v>
      </x:c>
      <x:c r="D15" s="2" t="str">
        <x:v>FY21 to FY26</x:v>
      </x:c>
      <x:c r="E15" s="2"/>
      <x:c r="F15" s="2"/>
      <x:c r="G15" s="2"/>
    </x:row>
    <x:row r="16" ht="23" customHeight="1">
      <x:c r="A16" s="2" t="str">
        <x:v>CAGR multiple vs IPM</x:v>
      </x:c>
      <x:c r="B16" s="8" t="n">
        <x:f>B15/C15</x:f>
        <x:v>2.0864697713199405</x:v>
      </x:c>
      <x:c r="C16" s="2"/>
      <x:c r="D16" s="2"/>
      <x:c r="E16" s="2"/>
      <x:c r="F16" s="2"/>
      <x:c r="G16" s="2"/>
    </x:row>
    <x:row r="17" ht="23" customHeight="1">
      <x:c r="A17" s="2"/>
      <x:c r="B17" s="2"/>
      <x:c r="C17" s="2"/>
      <x:c r="D17" s="2"/>
      <x:c r="E17" s="2"/>
      <x:c r="F17" s="2"/>
      <x:c r="G17" s="2"/>
    </x:row>
    <x:row r="18" ht="23" customHeight="1">
      <x:c r="A18" s="2"/>
      <x:c r="B18" s="2"/>
      <x:c r="C18" s="2"/>
      <x:c r="D18" s="2"/>
      <x:c r="E18" s="2"/>
      <x:c r="F18" s="2"/>
      <x:c r="G18" s="2"/>
    </x:row>
    <x:row r="19" ht="23" customHeight="1">
      <x:c r="A19" s="5" t="str">
        <x:v>FY26 innovation adoption case | AstraZeneca India oncology</x:v>
      </x:c>
      <x:c r="B19" s="5"/>
      <x:c r="C19" s="5"/>
      <x:c r="D19" s="5"/>
      <x:c r="E19" s="5"/>
      <x:c r="F19" s="5"/>
      <x:c r="G19" s="5"/>
    </x:row>
    <x:row r="20" ht="23" customHeight="1">
      <x:c r="A20" s="2"/>
      <x:c r="B20" s="2"/>
      <x:c r="C20" s="2"/>
      <x:c r="D20" s="2"/>
      <x:c r="E20" s="2"/>
      <x:c r="F20" s="2"/>
      <x:c r="G20" s="2"/>
    </x:row>
    <x:row r="21" ht="23" customHeight="1">
      <x:c r="A21" s="5" t="str">
        <x:v>Metric</x:v>
      </x:c>
      <x:c r="B21" s="5" t="str">
        <x:v>FY25</x:v>
      </x:c>
      <x:c r="C21" s="5" t="str">
        <x:v>FY26</x:v>
      </x:c>
      <x:c r="D21" s="5" t="str">
        <x:v>Basis</x:v>
      </x:c>
      <x:c r="E21" s="5" t="str">
        <x:v>Source</x:v>
      </x:c>
      <x:c r="F21" s="5"/>
      <x:c r="G21" s="5"/>
    </x:row>
    <x:row r="22" ht="23" customHeight="1">
      <x:c r="A22" s="2" t="str">
        <x:v>Oncology revenue (₹ crore)</x:v>
      </x:c>
      <x:c r="B22" s="9" t="n">
        <x:v>1117.1</x:v>
      </x:c>
      <x:c r="C22" s="9" t="n">
        <x:v>1610.1</x:v>
      </x:c>
      <x:c r="D22" s="2" t="str">
        <x:v>Reported therapy business sales; INR million divided by10</x:v>
      </x:c>
      <x:c r="E22" s="2" t="str">
        <x:v>S3; S2</x:v>
      </x:c>
      <x:c r="F22" s="2"/>
      <x:c r="G22" s="2"/>
    </x:row>
    <x:row r="23" ht="23" customHeight="1">
      <x:c r="A23" s="2" t="str">
        <x:v>Calculated revenue growth</x:v>
      </x:c>
      <x:c r="B23" s="2"/>
      <x:c r="C23" s="6" t="n">
        <x:f>C22/B22-1</x:f>
        <x:v>0.44132127830990964</x:v>
      </x:c>
      <x:c r="D23" s="2" t="str">
        <x:v>Calculated from reported absolute revenue</x:v>
      </x:c>
      <x:c r="E23" s="2" t="str">
        <x:v>S3; S2</x:v>
      </x:c>
      <x:c r="F23" s="2"/>
      <x:c r="G23" s="2"/>
    </x:row>
    <x:row r="24" ht="23" customHeight="1">
      <x:c r="A24" s="2" t="str">
        <x:v>Management-reported growth</x:v>
      </x:c>
      <x:c r="B24" s="2"/>
      <x:c r="C24" s="6" t="n">
        <x:v>0.44</x:v>
      </x:c>
      <x:c r="D24" s="2" t="str">
        <x:v>Rounded growth used in chart</x:v>
      </x:c>
      <x:c r="E24" s="2" t="str">
        <x:v>S2</x:v>
      </x:c>
      <x:c r="F24" s="2"/>
      <x:c r="G24" s="2"/>
    </x:row>
    <x:row r="25" ht="23" customHeight="1">
      <x:c r="A25" s="2" t="str">
        <x:v>Market proxy growth</x:v>
      </x:c>
      <x:c r="B25" s="2"/>
      <x:c r="C25" s="6" t="n">
        <x:f>B13</x:f>
        <x:v>0.24</x:v>
      </x:c>
      <x:c r="D25" s="2" t="str">
        <x:v>Secondary audit; broader basket than company oncology</x:v>
      </x:c>
      <x:c r="E25" s="2" t="str">
        <x:v>S1</x:v>
      </x:c>
      <x:c r="F25" s="2"/>
      <x:c r="G25" s="2"/>
    </x:row>
    <x:row r="26" ht="23" customHeight="1">
      <x:c r="A26" s="2" t="str">
        <x:v>Growth gap (pp)</x:v>
      </x:c>
      <x:c r="B26" s="2"/>
      <x:c r="C26" s="7" t="n">
        <x:f>(C24-C25)*100</x:f>
        <x:v>20</x:v>
      </x:c>
      <x:c r="D26" s="2" t="str">
        <x:v>Different scopes / sales bases; not an exact share-gain calculation</x:v>
      </x:c>
      <x:c r="E26" s="2"/>
      <x:c r="F26" s="2"/>
      <x:c r="G26" s="2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  <x:row r="29" ht="23" customHeight="1">
      <x:c r="A29" s="5" t="str">
        <x:v>Seven-company disclosure review | India oncology only</x:v>
      </x:c>
      <x:c r="B29" s="5"/>
      <x:c r="C29" s="5"/>
      <x:c r="D29" s="5"/>
      <x:c r="E29" s="5"/>
      <x:c r="F29" s="5"/>
      <x:c r="G29" s="5"/>
    </x:row>
    <x:row r="30" ht="23" customHeight="1">
      <x:c r="A30" s="2"/>
      <x:c r="B30" s="2"/>
      <x:c r="C30" s="2"/>
      <x:c r="D30" s="2"/>
      <x:c r="E30" s="2"/>
      <x:c r="F30" s="2"/>
      <x:c r="G30" s="2"/>
    </x:row>
    <x:row r="31" ht="23" customHeight="1">
      <x:c r="A31" s="5" t="str">
        <x:v>Company</x:v>
      </x:c>
      <x:c r="B31" s="5" t="str">
        <x:v>Onco sales used</x:v>
      </x:c>
      <x:c r="C31" s="5" t="str">
        <x:v>Onco growth used</x:v>
      </x:c>
      <x:c r="D31" s="5" t="str">
        <x:v>Verified commercial / portfolio evidence</x:v>
      </x:c>
      <x:c r="E31" s="5" t="str">
        <x:v>Source</x:v>
      </x:c>
      <x:c r="F31" s="5"/>
      <x:c r="G31" s="5"/>
    </x:row>
    <x:row r="32" ht="37" customHeight="1">
      <x:c r="A32" s="2" t="str">
        <x:v>AstraZeneca</x:v>
      </x:c>
      <x:c r="B32" s="9" t="n">
        <x:v>1610.1</x:v>
      </x:c>
      <x:c r="C32" s="6" t="n">
        <x:v>0.44</x:v>
      </x:c>
      <x:c r="D32" s="10" t="str">
        <x:v>FY26 oncology sales, ₹crore. Top2 in India by revenue per company disclosure.</x:v>
      </x:c>
      <x:c r="E32" s="2" t="str">
        <x:v>S2</x:v>
      </x:c>
      <x:c r="F32" s="2"/>
      <x:c r="G32" s="2"/>
    </x:row>
    <x:row r="33" ht="37" customHeight="1">
      <x:c r="A33" s="2" t="str">
        <x:v>GSK</x:v>
      </x:c>
      <x:c r="B33" s="2" t="str">
        <x:v>No verified figure</x:v>
      </x:c>
      <x:c r="C33" s="2" t="str">
        <x:v>No usable %</x:v>
      </x:c>
      <x:c r="D33" s="10" t="str">
        <x:v>Entered Aug2025 with2 assets; company reports Jemperli leading stated niche.</x:v>
      </x:c>
      <x:c r="E33" s="2" t="str">
        <x:v>S4; S5</x:v>
      </x:c>
      <x:c r="F33" s="2"/>
      <x:c r="G33" s="2"/>
    </x:row>
    <x:row r="34" ht="37" customHeight="1">
      <x:c r="A34" s="2" t="str">
        <x:v>Pfizer group</x:v>
      </x:c>
      <x:c r="B34" s="2" t="str">
        <x:v>No verified figure</x:v>
      </x:c>
      <x:c r="C34" s="2" t="str">
        <x:v>No usable %</x:v>
      </x:c>
      <x:c r="D34" s="10" t="str">
        <x:v>Palbace / Lorbriqua / Inonza India footprint; PPIPL scope, not listed Pfizer alone.</x:v>
      </x:c>
      <x:c r="E34" s="2" t="str">
        <x:v>S6; S7; S12</x:v>
      </x:c>
      <x:c r="F34" s="2"/>
      <x:c r="G34" s="2"/>
    </x:row>
    <x:row r="35" ht="37" customHeight="1">
      <x:c r="A35" s="2" t="str">
        <x:v>Novartis group</x:v>
      </x:c>
      <x:c r="B35" s="2" t="str">
        <x:v>No verified figure</x:v>
      </x:c>
      <x:c r="C35" s="2" t="str">
        <x:v>No usable %</x:v>
      </x:c>
      <x:c r="D35" s="10" t="str">
        <x:v>Kryxana / Tasigna / Jakavi listed in government pharmacy catalogue under Healthcare entity.</x:v>
      </x:c>
      <x:c r="E35" s="2" t="str">
        <x:v>S7</x:v>
      </x:c>
      <x:c r="F35" s="2"/>
      <x:c r="G35" s="2"/>
    </x:row>
    <x:row r="36" ht="37" customHeight="1">
      <x:c r="A36" s="2" t="str">
        <x:v>Cipla</x:v>
      </x:c>
      <x:c r="B36" s="2" t="str">
        <x:v>No verified figure</x:v>
      </x:c>
      <x:c r="C36" s="2" t="str">
        <x:v>No usable %</x:v>
      </x:c>
      <x:c r="D36" s="10" t="str">
        <x:v>Roche antibody distribution partnership reiterated in FY26 AR.</x:v>
      </x:c>
      <x:c r="E36" s="2" t="str">
        <x:v>S8; S9</x:v>
      </x:c>
      <x:c r="F36" s="2"/>
      <x:c r="G36" s="2"/>
    </x:row>
    <x:row r="37" ht="37" customHeight="1">
      <x:c r="A37" s="2" t="str">
        <x:v>Sun Pharma</x:v>
      </x:c>
      <x:c r="B37" s="2" t="str">
        <x:v>No verified figure</x:v>
      </x:c>
      <x:c r="C37" s="2" t="str">
        <x:v>No usable %</x:v>
      </x:c>
      <x:c r="D37" s="10" t="str">
        <x:v>Paleno branded-generic launch; not Sun global specialty or UNLOXCYT US revenue.</x:v>
      </x:c>
      <x:c r="E37" s="2" t="str">
        <x:v>S10</x:v>
      </x:c>
      <x:c r="F37" s="2"/>
      <x:c r="G37" s="2"/>
    </x:row>
    <x:row r="38" ht="37" customHeight="1">
      <x:c r="A38" s="2" t="str">
        <x:v>Lupin</x:v>
      </x:c>
      <x:c r="B38" s="2" t="str">
        <x:v>No verified figure</x:v>
      </x:c>
      <x:c r="C38" s="2" t="str">
        <x:v>No usable %</x:v>
      </x:c>
      <x:c r="D38" s="10" t="str">
        <x:v>Cetuximab biosimilar with Enzene in India; no India oncology sales series used.</x:v>
      </x:c>
      <x:c r="E38" s="2" t="str">
        <x:v>S11</x:v>
      </x:c>
      <x:c r="F38" s="2"/>
      <x:c r="G38" s="2"/>
    </x:row>
    <x:row r="39" ht="23" customHeight="1">
      <x:c r="A39" s="2"/>
      <x:c r="B39" s="2"/>
      <x:c r="C39" s="2"/>
      <x:c r="D39" s="2"/>
      <x:c r="E39" s="2"/>
      <x:c r="F39" s="2"/>
      <x:c r="G39" s="2"/>
    </x:row>
  </x:sheetData>
  <x:pageMargins left="0.7" right="0.7" top="0.75" bottom="0.75" header="0.3" footer="0.3"/>
  <x:drawing xmlns:r="http://schemas.openxmlformats.org/officeDocument/2006/relationships" r:id="Rd91edfa085324cf5"/>
</x:worksheet>
</file>

<file path=xl/worksheets/sheet2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31" hidden="0" customWidth="1"/>
    <x:col min="4" max="4" width="32" hidden="0" customWidth="1"/>
    <x:col min="5" max="5" width="20" hidden="0" customWidth="1"/>
    <x:col min="6" max="6" width="42" hidden="0" customWidth="1"/>
    <x:col min="7" max="7" width="51" hidden="0" customWidth="1"/>
    <x:col min="8" max="8" width="2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Chart 2 | India oncology: selected portfolio / mechanism map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23" customHeight="1">
      <x:c r="A4" s="5" t="str">
        <x:v>Company</x:v>
      </x:c>
      <x:c r="B4" s="5" t="str">
        <x:v>India brand / product</x:v>
      </x:c>
      <x:c r="C4" s="5" t="str">
        <x:v>Molecule</x:v>
      </x:c>
      <x:c r="D4" s="5" t="str">
        <x:v>Therapy platform</x:v>
      </x:c>
      <x:c r="E4" s="5" t="str">
        <x:v>Target</x:v>
      </x:c>
      <x:c r="F4" s="5" t="str">
        <x:v>Economic model</x:v>
      </x:c>
      <x:c r="G4" s="5" t="str">
        <x:v>India scope / status</x:v>
      </x:c>
      <x:c r="H4" s="5" t="str">
        <x:v>Source</x:v>
      </x:c>
    </x:row>
    <x:row r="5" ht="38" customHeight="1">
      <x:c r="A5" s="2" t="str">
        <x:v>AstraZeneca</x:v>
      </x:c>
      <x:c r="B5" s="2" t="str">
        <x:v>Tagrisso</x:v>
      </x:c>
      <x:c r="C5" s="2" t="str">
        <x:v>osimertinib</x:v>
      </x:c>
      <x:c r="D5" s="2" t="str">
        <x:v>Targeted small molecule</x:v>
      </x:c>
      <x:c r="E5" s="2" t="str">
        <x:v>EGFR</x:v>
      </x:c>
      <x:c r="F5" s="10" t="str">
        <x:v>Originator franchise</x:v>
      </x:c>
      <x:c r="G5" s="10" t="str">
        <x:v>India commercial</x:v>
      </x:c>
      <x:c r="H5" s="2" t="str">
        <x:v>S2</x:v>
      </x:c>
    </x:row>
    <x:row r="6" ht="38" customHeight="1">
      <x:c r="A6" s="2" t="str">
        <x:v>AstraZeneca</x:v>
      </x:c>
      <x:c r="B6" s="2" t="str">
        <x:v>Lynparza</x:v>
      </x:c>
      <x:c r="C6" s="2" t="str">
        <x:v>olaparib</x:v>
      </x:c>
      <x:c r="D6" s="2" t="str">
        <x:v>Targeted small molecule</x:v>
      </x:c>
      <x:c r="E6" s="2" t="str">
        <x:v>PARP</x:v>
      </x:c>
      <x:c r="F6" s="10" t="str">
        <x:v>Originator franchise</x:v>
      </x:c>
      <x:c r="G6" s="10" t="str">
        <x:v>India commercial</x:v>
      </x:c>
      <x:c r="H6" s="2" t="str">
        <x:v>S2</x:v>
      </x:c>
    </x:row>
    <x:row r="7" ht="38" customHeight="1">
      <x:c r="A7" s="2" t="str">
        <x:v>AstraZeneca</x:v>
      </x:c>
      <x:c r="B7" s="2" t="str">
        <x:v>Imfinzi</x:v>
      </x:c>
      <x:c r="C7" s="2" t="str">
        <x:v>durvalumab</x:v>
      </x:c>
      <x:c r="D7" s="2" t="str">
        <x:v>Checkpoint immunotherapy</x:v>
      </x:c>
      <x:c r="E7" s="2" t="str">
        <x:v>PD-L1</x:v>
      </x:c>
      <x:c r="F7" s="10" t="str">
        <x:v>Originator franchise</x:v>
      </x:c>
      <x:c r="G7" s="10" t="str">
        <x:v>India commercial</x:v>
      </x:c>
      <x:c r="H7" s="2" t="str">
        <x:v>S2</x:v>
      </x:c>
    </x:row>
    <x:row r="8" ht="38" customHeight="1">
      <x:c r="A8" s="2" t="str">
        <x:v>AstraZeneca</x:v>
      </x:c>
      <x:c r="B8" s="2" t="str">
        <x:v>Enhertu</x:v>
      </x:c>
      <x:c r="C8" s="2" t="str">
        <x:v>trastuzumab deruxtecan</x:v>
      </x:c>
      <x:c r="D8" s="2" t="str">
        <x:v>ADC</x:v>
      </x:c>
      <x:c r="E8" s="2" t="str">
        <x:v>HER2</x:v>
      </x:c>
      <x:c r="F8" s="10" t="str">
        <x:v>Originator franchise / alliance</x:v>
      </x:c>
      <x:c r="G8" s="10" t="str">
        <x:v>India commercial</x:v>
      </x:c>
      <x:c r="H8" s="2" t="str">
        <x:v>S2</x:v>
      </x:c>
    </x:row>
    <x:row r="9" ht="38" customHeight="1">
      <x:c r="A9" s="2" t="str">
        <x:v>GSK</x:v>
      </x:c>
      <x:c r="B9" s="2" t="str">
        <x:v>Zejula</x:v>
      </x:c>
      <x:c r="C9" s="2" t="str">
        <x:v>niraparib</x:v>
      </x:c>
      <x:c r="D9" s="2" t="str">
        <x:v>Targeted small molecule</x:v>
      </x:c>
      <x:c r="E9" s="2" t="str">
        <x:v>PARP</x:v>
      </x:c>
      <x:c r="F9" s="10" t="str">
        <x:v>Originator franchise / acquired asset</x:v>
      </x:c>
      <x:c r="G9" s="10" t="str">
        <x:v>India commercial since Aug2025</x:v>
      </x:c>
      <x:c r="H9" s="2" t="str">
        <x:v>S4; S5</x:v>
      </x:c>
    </x:row>
    <x:row r="10" ht="38" customHeight="1">
      <x:c r="A10" s="2" t="str">
        <x:v>GSK</x:v>
      </x:c>
      <x:c r="B10" s="2" t="str">
        <x:v>Jemperli</x:v>
      </x:c>
      <x:c r="C10" s="2" t="str">
        <x:v>dostarlimab</x:v>
      </x:c>
      <x:c r="D10" s="2" t="str">
        <x:v>Checkpoint immunotherapy</x:v>
      </x:c>
      <x:c r="E10" s="2" t="str">
        <x:v>PD-1</x:v>
      </x:c>
      <x:c r="F10" s="10" t="str">
        <x:v>Originator franchise / licensed asset</x:v>
      </x:c>
      <x:c r="G10" s="10" t="str">
        <x:v>India commercial since Aug2025</x:v>
      </x:c>
      <x:c r="H10" s="2" t="str">
        <x:v>S4; S5</x:v>
      </x:c>
    </x:row>
    <x:row r="11" ht="38" customHeight="1">
      <x:c r="A11" s="2" t="str">
        <x:v>Pfizer group</x:v>
      </x:c>
      <x:c r="B11" s="2" t="str">
        <x:v>Palbace</x:v>
      </x:c>
      <x:c r="C11" s="2" t="str">
        <x:v>palbociclib</x:v>
      </x:c>
      <x:c r="D11" s="2" t="str">
        <x:v>Targeted small molecule</x:v>
      </x:c>
      <x:c r="E11" s="2" t="str">
        <x:v>CDK4/6</x:v>
      </x:c>
      <x:c r="F11" s="10" t="str">
        <x:v>Originator franchise</x:v>
      </x:c>
      <x:c r="G11" s="10" t="str">
        <x:v>India commercial, PPIPL scope</x:v>
      </x:c>
      <x:c r="H11" s="2" t="str">
        <x:v>S6; S7; S12</x:v>
      </x:c>
    </x:row>
    <x:row r="12" ht="38" customHeight="1">
      <x:c r="A12" s="2" t="str">
        <x:v>Pfizer group</x:v>
      </x:c>
      <x:c r="B12" s="2" t="str">
        <x:v>Lorbriqua</x:v>
      </x:c>
      <x:c r="C12" s="2" t="str">
        <x:v>lorlatinib</x:v>
      </x:c>
      <x:c r="D12" s="2" t="str">
        <x:v>Targeted small molecule</x:v>
      </x:c>
      <x:c r="E12" s="2" t="str">
        <x:v>ALK</x:v>
      </x:c>
      <x:c r="F12" s="10" t="str">
        <x:v>Originator franchise</x:v>
      </x:c>
      <x:c r="G12" s="10" t="str">
        <x:v>India commercial, PPIPL scope</x:v>
      </x:c>
      <x:c r="H12" s="2" t="str">
        <x:v>S6; S7; S12</x:v>
      </x:c>
    </x:row>
    <x:row r="13" ht="38" customHeight="1">
      <x:c r="A13" s="2" t="str">
        <x:v>Pfizer group</x:v>
      </x:c>
      <x:c r="B13" s="2" t="str">
        <x:v>Inonza</x:v>
      </x:c>
      <x:c r="C13" s="2" t="str">
        <x:v>inotuzumab ozogamicin</x:v>
      </x:c>
      <x:c r="D13" s="2" t="str">
        <x:v>ADC</x:v>
      </x:c>
      <x:c r="E13" s="2" t="str">
        <x:v>CD22</x:v>
      </x:c>
      <x:c r="F13" s="10" t="str">
        <x:v>Originator franchise</x:v>
      </x:c>
      <x:c r="G13" s="10" t="str">
        <x:v>India commercial, PPIPL scope</x:v>
      </x:c>
      <x:c r="H13" s="2" t="str">
        <x:v>S6; S12</x:v>
      </x:c>
    </x:row>
    <x:row r="14" ht="38" customHeight="1">
      <x:c r="A14" s="2" t="str">
        <x:v>Novartis group</x:v>
      </x:c>
      <x:c r="B14" s="2" t="str">
        <x:v>Kryxana</x:v>
      </x:c>
      <x:c r="C14" s="2" t="str">
        <x:v>ribociclib</x:v>
      </x:c>
      <x:c r="D14" s="2" t="str">
        <x:v>Targeted small molecule</x:v>
      </x:c>
      <x:c r="E14" s="2" t="str">
        <x:v>CDK4/6</x:v>
      </x:c>
      <x:c r="F14" s="10" t="str">
        <x:v>Originator franchise</x:v>
      </x:c>
      <x:c r="G14" s="10" t="str">
        <x:v>India listing; Novartis Healthcare scope</x:v>
      </x:c>
      <x:c r="H14" s="2" t="str">
        <x:v>S7</x:v>
      </x:c>
    </x:row>
    <x:row r="15" ht="38" customHeight="1">
      <x:c r="A15" s="2" t="str">
        <x:v>Novartis group</x:v>
      </x:c>
      <x:c r="B15" s="2" t="str">
        <x:v>Tasigna</x:v>
      </x:c>
      <x:c r="C15" s="2" t="str">
        <x:v>nilotinib</x:v>
      </x:c>
      <x:c r="D15" s="2" t="str">
        <x:v>Targeted small molecule</x:v>
      </x:c>
      <x:c r="E15" s="2" t="str">
        <x:v>BCR-ABL</x:v>
      </x:c>
      <x:c r="F15" s="10" t="str">
        <x:v>Originator franchise</x:v>
      </x:c>
      <x:c r="G15" s="10" t="str">
        <x:v>India listing; Novartis Healthcare scope</x:v>
      </x:c>
      <x:c r="H15" s="2" t="str">
        <x:v>S7</x:v>
      </x:c>
    </x:row>
    <x:row r="16" ht="38" customHeight="1">
      <x:c r="A16" s="2" t="str">
        <x:v>Novartis group</x:v>
      </x:c>
      <x:c r="B16" s="2" t="str">
        <x:v>Jakavi</x:v>
      </x:c>
      <x:c r="C16" s="2" t="str">
        <x:v>ruxolitinib</x:v>
      </x:c>
      <x:c r="D16" s="2" t="str">
        <x:v>Targeted small molecule</x:v>
      </x:c>
      <x:c r="E16" s="2" t="str">
        <x:v>JAK1/2</x:v>
      </x:c>
      <x:c r="F16" s="10" t="str">
        <x:v>Originator franchise / licensed asset</x:v>
      </x:c>
      <x:c r="G16" s="10" t="str">
        <x:v>India listing; Novartis Healthcare scope</x:v>
      </x:c>
      <x:c r="H16" s="2" t="str">
        <x:v>S7</x:v>
      </x:c>
    </x:row>
    <x:row r="17" ht="38" customHeight="1">
      <x:c r="A17" s="2" t="str">
        <x:v>Cipla</x:v>
      </x:c>
      <x:c r="B17" s="2" t="str">
        <x:v>Herclon</x:v>
      </x:c>
      <x:c r="C17" s="2" t="str">
        <x:v>trastuzumab</x:v>
      </x:c>
      <x:c r="D17" s="2" t="str">
        <x:v>Other antitumour antibody</x:v>
      </x:c>
      <x:c r="E17" s="2" t="str">
        <x:v>HER2</x:v>
      </x:c>
      <x:c r="F17" s="10" t="str">
        <x:v>Distribution of Roche originator</x:v>
      </x:c>
      <x:c r="G17" s="10" t="str">
        <x:v>India partnership, continues FY26</x:v>
      </x:c>
      <x:c r="H17" s="2" t="str">
        <x:v>S8; S9</x:v>
      </x:c>
    </x:row>
    <x:row r="18" ht="38" customHeight="1">
      <x:c r="A18" s="2" t="str">
        <x:v>Cipla</x:v>
      </x:c>
      <x:c r="B18" s="2" t="str">
        <x:v>Avastin</x:v>
      </x:c>
      <x:c r="C18" s="2" t="str">
        <x:v>bevacizumab</x:v>
      </x:c>
      <x:c r="D18" s="2" t="str">
        <x:v>Other antitumour antibody</x:v>
      </x:c>
      <x:c r="E18" s="2" t="str">
        <x:v>VEGF</x:v>
      </x:c>
      <x:c r="F18" s="10" t="str">
        <x:v>Distribution of Roche originator</x:v>
      </x:c>
      <x:c r="G18" s="10" t="str">
        <x:v>India partnership, continues FY26</x:v>
      </x:c>
      <x:c r="H18" s="2" t="str">
        <x:v>S8; S9</x:v>
      </x:c>
    </x:row>
    <x:row r="19" ht="38" customHeight="1">
      <x:c r="A19" s="2" t="str">
        <x:v>Cipla</x:v>
      </x:c>
      <x:c r="B19" s="2" t="str">
        <x:v>Ristova</x:v>
      </x:c>
      <x:c r="C19" s="2" t="str">
        <x:v>rituximab</x:v>
      </x:c>
      <x:c r="D19" s="2" t="str">
        <x:v>Other antitumour antibody</x:v>
      </x:c>
      <x:c r="E19" s="2" t="str">
        <x:v>CD20</x:v>
      </x:c>
      <x:c r="F19" s="10" t="str">
        <x:v>Distribution of Roche originator</x:v>
      </x:c>
      <x:c r="G19" s="10" t="str">
        <x:v>India partnership, continues FY26</x:v>
      </x:c>
      <x:c r="H19" s="2" t="str">
        <x:v>S8; S9</x:v>
      </x:c>
    </x:row>
    <x:row r="20" ht="38" customHeight="1">
      <x:c r="A20" s="2" t="str">
        <x:v>Sun Pharma</x:v>
      </x:c>
      <x:c r="B20" s="2" t="str">
        <x:v>Paleno</x:v>
      </x:c>
      <x:c r="C20" s="2" t="str">
        <x:v>palbociclib</x:v>
      </x:c>
      <x:c r="D20" s="2" t="str">
        <x:v>Targeted small molecule</x:v>
      </x:c>
      <x:c r="E20" s="2" t="str">
        <x:v>CDK4/6</x:v>
      </x:c>
      <x:c r="F20" s="10" t="str">
        <x:v>Branded generic</x:v>
      </x:c>
      <x:c r="G20" s="10" t="str">
        <x:v>India commercial</x:v>
      </x:c>
      <x:c r="H20" s="2" t="str">
        <x:v>S10</x:v>
      </x:c>
    </x:row>
    <x:row r="21" ht="38" customHeight="1">
      <x:c r="A21" s="2" t="str">
        <x:v>Lupin</x:v>
      </x:c>
      <x:c r="B21" s="2" t="str">
        <x:v>Cetuximab</x:v>
      </x:c>
      <x:c r="C21" s="2" t="str">
        <x:v>cetuximab</x:v>
      </x:c>
      <x:c r="D21" s="2" t="str">
        <x:v>Other antitumour antibody</x:v>
      </x:c>
      <x:c r="E21" s="2" t="str">
        <x:v>EGFR</x:v>
      </x:c>
      <x:c r="F21" s="10" t="str">
        <x:v>Partnered biosimilar from Enzene</x:v>
      </x:c>
      <x:c r="G21" s="10" t="str">
        <x:v>India commercial</x:v>
      </x:c>
      <x:c r="H21" s="2" t="str">
        <x:v>S11</x:v>
      </x:c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 t="str">
        <x:v>Interpretation: MNC examples span targeted small molecules, checkpoint immunotherapy and ADCs; Indian examples show distribution, generic and biosimilar access.</x:v>
      </x:c>
      <x:c r="B24" s="2"/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2" t="str">
        <x:v>Scope: illustrative verified examples, not an exhaustive product census. Blank cells in the chart do not mean absence of capability.</x:v>
      </x:c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 t="str">
        <x:v>Originator franchise includes acquired / licensed innovation; it does not mean every molecule was discovered internally.</x:v>
      </x:c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 t="str">
        <x:v>Group scope: PPIPL and Novartis Healthcare are included. Do not attribute these portfolios or sales to the listed Indian subsidiaries.</x:v>
      </x:c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 t="str">
        <x:v>No scoring or molecule-count ranking. A molecule can have different labels, access and competitive conditions by indication.</x:v>
      </x:c>
      <x:c r="B32" s="2"/>
      <x:c r="C32" s="2"/>
      <x:c r="D32" s="2"/>
      <x:c r="E32" s="2"/>
      <x:c r="F32" s="2"/>
      <x:c r="G32" s="2"/>
      <x:c r="H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51" hidden="0" customWidth="1"/>
    <x:col min="3" max="3" width="93" hidden="0" customWidth="1"/>
    <x:col min="4" max="4" width="114" hidden="0" customWidth="1"/>
  </x:cols>
  <x:sheetData>
    <x:row r="1" ht="23" customHeight="1">
      <x:c r="A1" s="2"/>
      <x:c r="B1" s="2"/>
      <x:c r="C1" s="2"/>
      <x:c r="D1" s="2"/>
    </x:row>
    <x:row r="2" ht="23" customHeight="1">
      <x:c r="A2" s="3" t="str">
        <x:v>Sources and analytical definitions | reviewed19 Oct2026</x:v>
      </x:c>
      <x:c r="B2" s="2"/>
      <x:c r="C2" s="2"/>
      <x:c r="D2" s="2"/>
    </x:row>
    <x:row r="3" ht="23" customHeight="1">
      <x:c r="A3" s="2"/>
      <x:c r="B3" s="2"/>
      <x:c r="C3" s="2"/>
      <x:c r="D3" s="2"/>
    </x:row>
    <x:row r="4" ht="23" customHeight="1">
      <x:c r="A4" s="4" t="str">
        <x:v>ID</x:v>
      </x:c>
      <x:c r="B4" s="4" t="str">
        <x:v>Primary / originating source</x:v>
      </x:c>
      <x:c r="C4" s="4" t="str">
        <x:v>Location / data definition</x:v>
      </x:c>
      <x:c r="D4" s="4" t="str">
        <x:v>URL</x:v>
      </x:c>
    </x:row>
    <x:row r="5" ht="65" customHeight="1">
      <x:c r="A5" s="2" t="str">
        <x:v>S1</x:v>
      </x:c>
      <x:c r="B5" s="10" t="str">
        <x:v>IQVIA, reproduced in HSIE, 15 Apr 2026</x:v>
      </x:c>
      <x:c r="C5" s="10" t="str">
        <x:v>Printed p2, Exhibit 3; antineoplast/immunomodulator basket, rounded rates</x:v>
      </x:c>
      <x:c r="D5" s="10" t="str">
        <x:v>https://www.hdfcsec.com/hsl.docs/Pharma%20-%20Sector%20Update%20-%20Apr26%20-%20HSIE-202604151005518703821.pdf?t=150420262250165016</x:v>
      </x:c>
    </x:row>
    <x:row r="6" ht="65" customHeight="1">
      <x:c r="A6" s="2" t="str">
        <x:v>S2</x:v>
      </x:c>
      <x:c r="B6" s="10" t="str">
        <x:v>AstraZeneca Pharma India FY26 annual report</x:v>
      </x:c>
      <x:c r="C6" s="10" t="str">
        <x:v>Printed p5, p18, pp44-45; oncology revenue 16,101m, growth44%; India brands</x:v>
      </x:c>
      <x:c r="D6" s="10" t="str">
        <x:v>https://www.astrazeneca.in/content/dam/az-in/pdf/2026/Annual_Report-2025-26/Annual-Report-2025-26.pdf</x:v>
      </x:c>
    </x:row>
    <x:row r="7" ht="65" customHeight="1">
      <x:c r="A7" s="2" t="str">
        <x:v>S3</x:v>
      </x:c>
      <x:c r="B7" s="10" t="str">
        <x:v>AstraZeneca Pharma India FY25 annual report</x:v>
      </x:c>
      <x:c r="C7" s="10" t="str">
        <x:v>Printed p52; oncology revenue11,171m, explicitly disclosed, not estimated from mix</x:v>
      </x:c>
      <x:c r="D7" s="10" t="str">
        <x:v>https://www.astrazeneca.in/content/dam/az-in/pdf/2025/Annual_report-24_25/Annual%20report%20%202024-25.pdf</x:v>
      </x:c>
    </x:row>
    <x:row r="8" ht="65" customHeight="1">
      <x:c r="A8" s="2" t="str">
        <x:v>S4</x:v>
      </x:c>
      <x:c r="B8" s="10" t="str">
        <x:v>GSK India oncology launch, 25 Aug 2025</x:v>
      </x:c>
      <x:c r="C8" s="10" t="str">
        <x:v>Availability of Jemperli and Zejula; India indications and mechanisms</x:v>
      </x:c>
      <x:c r="D8" s="10" t="str">
        <x:v>https://india-pharma.gsk.com/en-in/media/press-releases/gsk-forays-into-oncology-in-india-with-jemperli-and-zejula-bringing-precision-therapies-for-gynaecological-cancers/</x:v>
      </x:c>
    </x:row>
    <x:row r="9" ht="65" customHeight="1">
      <x:c r="A9" s="2" t="str">
        <x:v>S5</x:v>
      </x:c>
      <x:c r="B9" s="10" t="str">
        <x:v>GSK India Q1FY27 release, Aug2026</x:v>
      </x:c>
      <x:c r="C9" s="10" t="str">
        <x:v>Jemperli leading in stated first-line endometrial niche; Zejula among top PARPs. Company claim citing IPSOS MATDec25</x:v>
      </x:c>
      <x:c r="D9" s="10" t="str">
        <x:v>https://india-pharma.gsk.com/en-in/media/press-releases/gsk-india-delivers-strong-q1fy27-growth-with-continued-portfolio-transformation-profit-after-tax-pat-grows-24-to-inr-253-crores/</x:v>
      </x:c>
    </x:row>
    <x:row r="10" ht="65" customHeight="1">
      <x:c r="A10" s="2" t="str">
        <x:v>S6</x:v>
      </x:c>
      <x:c r="B10" s="10" t="str">
        <x:v>Pfizer India company price list, Feb2023</x:v>
      </x:c>
      <x:c r="C10" s="10" t="str">
        <x:v>PDFp3; PPIPL owns marketed Palbace, Lorbriqua, Inonza. Prices not used</x:v>
      </x:c>
      <x:c r="D10" s="10" t="str">
        <x:v>https://www.pfizer.co.in/files/Pfizer-price-list-Feb-2023.pdf</x:v>
      </x:c>
    </x:row>
    <x:row r="11" ht="65" customHeight="1">
      <x:c r="A11" s="2" t="str">
        <x:v>S7</x:v>
      </x:c>
      <x:c r="B11" s="10" t="str">
        <x:v>KMSCL government pharmacy catalogue, 3 Dec2025</x:v>
      </x:c>
      <x:c r="C11" s="10" t="str">
        <x:v>Printedp206: Novartis Healthcare: Kryxana, Tasigna, Jakavi; p216-217 PfizerPalbace/Lorbriqua. Evidence of India listing, not sales</x:v>
      </x:c>
      <x:c r="D11" s="10" t="str">
        <x:v>https://kmscl.kerala.gov.in/KMSCL/uploads/announcements/ba6fa004-Pricelist.pdf</x:v>
      </x:c>
    </x:row>
    <x:row r="12" ht="65" customHeight="1">
      <x:c r="A12" s="2" t="str">
        <x:v>S8</x:v>
      </x:c>
      <x:c r="B12" s="10" t="str">
        <x:v>Roche India-Cipla distribution announcement, 18 Jun2020</x:v>
      </x:c>
      <x:c r="C12" s="10" t="str">
        <x:v>Herclon, Avastin, Ristova; originator biologicals distributed by Cipla</x:v>
      </x:c>
      <x:c r="D12" s="10" t="str">
        <x:v>https://www.rocheindia.com/media/releases/partnership-with-cipla-to-further-improve-access-to-key-oncology-medicines</x:v>
      </x:c>
    </x:row>
    <x:row r="13" ht="65" customHeight="1">
      <x:c r="A13" s="2" t="str">
        <x:v>S9</x:v>
      </x:c>
      <x:c r="B13" s="10" t="str">
        <x:v>Cipla FY26 annual report</x:v>
      </x:c>
      <x:c r="C13" s="10" t="str">
        <x:v>Printedp135: Roche oncology partnership continues. Printedp29 ImmunoACT deal is Africa, excluded from India map</x:v>
      </x:c>
      <x:c r="D13" s="10" t="str">
        <x:v>https://www.cipla.com/sites/default/files/Cipla-Annual-Report-FY2025-26.pdf</x:v>
      </x:c>
    </x:row>
    <x:row r="14" ht="65" customHeight="1">
      <x:c r="A14" s="2" t="str">
        <x:v>S10</x:v>
      </x:c>
      <x:c r="B14" s="10" t="str">
        <x:v>Sun Pharma India palbociclib launch, 11 Jan2023</x:v>
      </x:c>
      <x:c r="C14" s="10" t="str">
        <x:v>Paleno explicitly branded generic. Sun global UNLOXCYT US launch not treated as India launch</x:v>
      </x:c>
      <x:c r="D14" s="10" t="str">
        <x:v>https://sunpharma.com/wp-content/uploads/2023/01/Press-Release-Sun-Pharma-launches-Palbociclib-in-India.pdf</x:v>
      </x:c>
    </x:row>
    <x:row r="15" ht="65" customHeight="1">
      <x:c r="A15" s="2" t="str">
        <x:v>S11</x:v>
      </x:c>
      <x:c r="B15" s="10" t="str">
        <x:v>Lupin cetuximab India launch, 30 May2023</x:v>
      </x:c>
      <x:c r="C15" s="10" t="str">
        <x:v>Enzene partnership, biosimilar cetuximab for head and neck cancer</x:v>
      </x:c>
      <x:c r="D15" s="10" t="str">
        <x:v>https://www.lupin.com/media/press-releases/lupin-announces-the-launch-of-cetuximab</x:v>
      </x:c>
    </x:row>
    <x:row r="16" ht="65" customHeight="1">
      <x:c r="A16" s="2" t="str">
        <x:v>S12</x:v>
      </x:c>
      <x:c r="B16" s="10" t="str">
        <x:v>Pfizer PAP India programme operator, Tata1mg</x:v>
      </x:c>
      <x:c r="C16" s="10" t="str">
        <x:v>Updated13Dec2025. Lists Palbace, Lorbriqua, Inonza in current programme; confirms ongoing India availability</x:v>
      </x:c>
      <x:c r="D16" s="10" t="str">
        <x:v>https://play.google.com/store/apps/details?hl=en&amp;id=com.onemg.patientportal</x:v>
      </x:c>
    </x:row>
    <x:row r="17" ht="23" customHeight="1">
      <x:c r="A17" s="2"/>
      <x:c r="B17" s="2"/>
      <x:c r="C17" s="2"/>
      <x:c r="D17" s="2"/>
    </x:row>
    <x:row r="18" ht="23" customHeight="1">
      <x:c r="A18" s="2"/>
      <x:c r="B18" s="2"/>
      <x:c r="C18" s="2"/>
      <x:c r="D18" s="2"/>
    </x:row>
    <x:row r="19" ht="23" customHeight="1">
      <x:c r="A19" s="4" t="str">
        <x:v>Analytical scope</x:v>
      </x:c>
      <x:c r="B19" s="4"/>
      <x:c r="C19" s="4"/>
      <x:c r="D19" s="4"/>
    </x:row>
    <x:row r="20" ht="23" customHeight="1">
      <x:c r="A20" s="2"/>
      <x:c r="B20" s="2"/>
      <x:c r="C20" s="2"/>
      <x:c r="D20" s="2"/>
    </x:row>
    <x:row r="21" ht="23" customHeight="1">
      <x:c r="A21" s="2" t="str">
        <x:v>Industry growth rates are secondary IQVIA values reproduced by HSIE. The category includes immunomodulators; it is labelled a proxy throughout.</x:v>
      </x:c>
      <x:c r="B21" s="2"/>
      <x:c r="C21" s="2"/>
      <x:c r="D21" s="2"/>
    </x:row>
    <x:row r="22" ht="23" customHeight="1">
      <x:c r="A22" s="2" t="str">
        <x:v>The industry chart compounds reported rounded rates. Index values and CAGRs are analyst calculations; they are not reported market size estimates.</x:v>
      </x:c>
      <x:c r="B22" s="2"/>
      <x:c r="C22" s="2"/>
      <x:c r="D22" s="2"/>
    </x:row>
    <x:row r="23" ht="23" customHeight="1">
      <x:c r="A23" s="2" t="str">
        <x:v>FY21 is the starting index. Five growth observations FY22-FY26 are compounded. FY21 growth is not needed and is left blank.</x:v>
      </x:c>
      <x:c r="B23" s="2"/>
      <x:c r="C23" s="2"/>
      <x:c r="D23" s="2"/>
    </x:row>
    <x:row r="24" ht="23" customHeight="1">
      <x:c r="A24" s="2" t="str">
        <x:v>AstraZeneca revenues use direct annual-report therapy figures:11,171m in FY25 and16,101m in FY26. Divide by10 for INRcrore.</x:v>
      </x:c>
      <x:c r="B24" s="2"/>
      <x:c r="C24" s="2"/>
      <x:c r="D24" s="2"/>
    </x:row>
    <x:row r="25" ht="23" customHeight="1">
      <x:c r="A25" s="2" t="str">
        <x:v>AstraZeneca management rounds FY26 growth to44%; the revenue-derived calculation is44.132%. The visual uses44%.</x:v>
      </x:c>
      <x:c r="B25" s="2"/>
      <x:c r="C25" s="2"/>
      <x:c r="D25" s="2"/>
    </x:row>
    <x:row r="26" ht="23" customHeight="1">
      <x:c r="A26" s="2" t="str">
        <x:v>The44% company oncology figure and24% industry proxy use different scopes and sales bases. This is an illustrative adoption case, not a precise share-gain estimate.</x:v>
      </x:c>
      <x:c r="B26" s="2"/>
      <x:c r="C26" s="2"/>
      <x:c r="D26" s="2"/>
    </x:row>
    <x:row r="27" ht="23" customHeight="1">
      <x:c r="A27" s="2" t="str">
        <x:v>GSK launch-stage evidence is qualitative: leading Jemperli in the stated first-line endometrial niche and top-group Zejula in recurrent ovarian maintenance, company citing IPSOS MATDec25.</x:v>
      </x:c>
      <x:c r="B27" s="2"/>
      <x:c r="C27" s="2"/>
      <x:c r="D27" s="2"/>
    </x:row>
    <x:row r="28" ht="23" customHeight="1">
      <x:c r="A28" s="2" t="str">
        <x:v>No uniform seven-company India-only oncology sales series was identified in the public disclosures used. Missing figures remain not disclosed, not zero and not fabricated.</x:v>
      </x:c>
      <x:c r="B28" s="2"/>
      <x:c r="C28" s="2"/>
      <x:c r="D28" s="2"/>
    </x:row>
    <x:row r="29" ht="23" customHeight="1">
      <x:c r="A29" s="2" t="str">
        <x:v>The map uses selected marketed examples, not complete portfolios. It shows commercialization roles and mechanisms; it cannot prove aggregate MNC growth or clinical superiority.</x:v>
      </x:c>
      <x:c r="B29" s="2"/>
      <x:c r="C29" s="2"/>
      <x:c r="D29" s="2"/>
    </x:row>
    <x:row r="30" ht="23" customHeight="1">
      <x:c r="A30" s="2" t="str">
        <x:v>Pfizer group includes PPIPL. Novartis group includes Novartis Healthcare. Group-level portfolio presence must not be attributed to the listed company.</x:v>
      </x:c>
      <x:c r="B30" s="2"/>
      <x:c r="C30" s="2"/>
      <x:c r="D30" s="2"/>
    </x:row>
    <x:row r="31" ht="23" customHeight="1">
      <x:c r="A31" s="2" t="str">
        <x:v>Do not count GSK Blenrep pipeline as commercial here; do not count Sun UNLOXCYT US launch as India availability; do not count Cipla ImmunoACT Africa rights as India CAR-T.</x:v>
      </x:c>
      <x:c r="B31" s="2"/>
      <x:c r="C31" s="2"/>
      <x:c r="D31" s="2"/>
    </x:row>
    <x:row r="32" ht="23" customHeight="1">
      <x:c r="A32" s="2" t="str">
        <x:v>Cipla Roche distribution agreement is historical, but FY26 AR reiterates the oncology partnership. No inference about transfer pricing, revenue recognition or complete current rights is made.</x:v>
      </x:c>
      <x:c r="B32" s="2"/>
      <x:c r="C32" s="2"/>
      <x:c r="D32" s="2"/>
    </x:row>
    <x:row r="33" ht="23" customHeight="1">
      <x:c r="A33" s="2" t="str">
        <x:v>No forecasts or unsupported estimates are plotted. Classifications, compounding and exhibit interpretation are analyst work based on the cited facts.</x:v>
      </x:c>
      <x:c r="B33" s="2"/>
      <x:c r="C33" s="2"/>
      <x:c r="D33" s="2"/>
    </x:row>
    <x:row r="34" ht="23" customHeight="1">
      <x:c r="A34" s="2"/>
      <x:c r="B34" s="2"/>
      <x:c r="C34" s="2"/>
      <x:c r="D34" s="2"/>
    </x:row>
  </x:sheetData>
  <x:pageMargins left="0.7" right="0.7" top="0.75" bottom="0.75" header="0.3" footer="0.3"/>
</x:worksheet>
</file>