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97428de2141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Y27 Q1" sheetId="1" r:id="R9d6fa46e6b0b44f2"/>
    <x:sheet xmlns:r="http://schemas.openxmlformats.org/officeDocument/2006/relationships" name="Source workings" sheetId="2" r:id="Rafc61dd2004f40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&quot;-&quot;"/>
    <x:numFmt numFmtId="201" formatCode="#,##0;(#,##0);&quot;-&quot;"/>
    <x:numFmt numFmtId="202" formatCode="0%"/>
    <x:numFmt numFmtId="203" formatCode="0.0%"/>
    <x:numFmt numFmtId="204" formatCode="0.000;(0.000);0.000"/>
  </x:numFmts>
  <x:fonts count="6">
    <x:font>
      <x:sz val="11"/>
      <x:name val="Carlito"/>
    </x:font>
    <x:font>
      <x:sz val="11"/>
      <x:color rgb="FF202020"/>
      <x:name val="Calibri"/>
    </x:font>
    <x:font>
      <x:b/>
      <x:sz val="11"/>
      <x:color rgb="FF153C50"/>
      <x:name val="Calibri"/>
    </x:font>
    <x:font>
      <x:b/>
      <x:sz val="11"/>
      <x:color rgb="FF202020"/>
      <x:name val="Calibri"/>
    </x:font>
    <x:font>
      <x:i/>
      <x:sz val="11"/>
      <x:color rgb="FF202020"/>
      <x:name val="Calibri"/>
    </x:font>
    <x:font>
      <x:sz val="11"/>
      <x:color rgb="FF0000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00B0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/>
    <x:xf numFmtId="201" fontId="5" fillId="0" borderId="0" xfId="0" applyNumberFormat="1" applyFont="1" applyFill="1" applyBorder="1"/>
    <x:xf numFmtId="202" fontId="4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52ef52c5184b9e" /><Relationship Type="http://schemas.openxmlformats.org/officeDocument/2006/relationships/theme" Target="/xl/theme/theme1.xml" Id="R9eaefd1e71bd46fa" /><Relationship Type="http://schemas.openxmlformats.org/officeDocument/2006/relationships/sharedStrings" Target="/xl/sharedStrings.xml" Id="Raa66a29bd2e243c8" /><Relationship Type="http://schemas.openxmlformats.org/officeDocument/2006/relationships/worksheet" Target="/xl/worksheets/sheet1.xml" Id="R9d6fa46e6b0b44f2" /><Relationship Type="http://schemas.openxmlformats.org/officeDocument/2006/relationships/worksheet" Target="/xl/worksheets/sheet2.xml" Id="Rafc61dd2004f40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43" hidden="0" customWidth="1"/>
    <x:col min="3" max="3" width="16" hidden="0" customWidth="1"/>
  </x:cols>
  <x:sheetData>
    <x:row r="1" ht="15" customHeight="1">
      <x:c r="A1" s="1"/>
      <x:c r="B1" s="1"/>
      <x:c r="C1" s="1"/>
    </x:row>
    <x:row r="2" ht="15" customHeight="1">
      <x:c r="A2" s="1"/>
      <x:c r="B2" s="3" t="str">
        <x:v>Line Item (INR Bn)</x:v>
      </x:c>
      <x:c r="C2" s="4" t="str">
        <x:v>FY27 Q1</x:v>
      </x:c>
    </x:row>
    <x:row r="3" ht="15" customHeight="1">
      <x:c r="A3" s="1"/>
      <x:c r="B3" s="7" t="str">
        <x:v>Total Revenue</x:v>
      </x:c>
      <x:c r="C3" s="6" t="n">
        <x:f>SUM(C5:C10)</x:f>
        <x:v>82.17200000000001</x:v>
      </x:c>
    </x:row>
    <x:row r="4" ht="15" customHeight="1">
      <x:c r="A4" s="1"/>
      <x:c r="B4" s="8" t="str">
        <x:v>Total Revenue yoy growth</x:v>
      </x:c>
      <x:c r="C4" s="12" t="n">
        <x:f>C3/('Source workings'!C6/1000)-1</x:f>
        <x:v>0.33313864823647776</x:v>
      </x:c>
    </x:row>
    <x:row r="5" ht="15" customHeight="1">
      <x:c r="A5" s="1"/>
      <x:c r="B5" s="1" t="str">
        <x:v>India Revenue</x:v>
      </x:c>
      <x:c r="C5" s="6" t="n">
        <x:f>'Source workings'!C7/1000</x:f>
        <x:v>23.796</x:v>
      </x:c>
    </x:row>
    <x:row r="6" ht="15" customHeight="1">
      <x:c r="A6" s="1"/>
      <x:c r="B6" s="1" t="str">
        <x:v>North America</x:v>
      </x:c>
      <x:c r="C6" s="6" t="n">
        <x:f>'Source workings'!C8/1000</x:f>
        <x:v>35.908</x:v>
      </x:c>
    </x:row>
    <x:row r="7" ht="15" customHeight="1">
      <x:c r="A7" s="1"/>
      <x:c r="B7" s="1" t="str">
        <x:v>EMEA Revenue</x:v>
      </x:c>
      <x:c r="C7" s="6" t="n">
        <x:f>'Source workings'!C9/1000</x:f>
        <x:v>10.344</x:v>
      </x:c>
    </x:row>
    <x:row r="8" ht="15" customHeight="1">
      <x:c r="A8" s="1"/>
      <x:c r="B8" s="1" t="str">
        <x:v>Growth Markets Revenue</x:v>
      </x:c>
      <x:c r="C8" s="6" t="n">
        <x:f>SUM('Source workings'!C10:C11)/1000</x:f>
        <x:v>6.117</x:v>
      </x:c>
    </x:row>
    <x:row r="9" ht="15" customHeight="1">
      <x:c r="A9" s="1"/>
      <x:c r="B9" s="1" t="str">
        <x:v>ROW Revenue</x:v>
      </x:c>
      <x:c r="C9" s="6" t="n">
        <x:f>'Source workings'!C12/1000</x:f>
        <x:v>3.37</x:v>
      </x:c>
    </x:row>
    <x:row r="10" ht="15" customHeight="1">
      <x:c r="A10" s="1"/>
      <x:c r="B10" s="1" t="str">
        <x:v>API Revenue (CDMO combined)</x:v>
      </x:c>
      <x:c r="C10" s="6" t="n">
        <x:f>'Source workings'!C13/1000</x:f>
        <x:v>2.637</x:v>
      </x:c>
    </x:row>
    <x:row r="11" ht="15" customHeight="1">
      <x:c r="A11" s="1"/>
      <x:c r="B11" s="1" t="str">
        <x:v>Lupin Mfg (CDMO)</x:v>
      </x:c>
      <x:c r="C11" s="6" t="str">
        <x:v>-</x:v>
      </x:c>
    </x:row>
    <x:row r="12" ht="15" customHeight="1">
      <x:c r="A12" s="1"/>
      <x:c r="B12" s="1"/>
      <x:c r="C12" s="6"/>
    </x:row>
    <x:row r="13" ht="15" customHeight="1">
      <x:c r="A13" s="1"/>
      <x:c r="B13" s="1" t="str">
        <x:v>COGS</x:v>
      </x:c>
      <x:c r="C13" s="6" t="n">
        <x:f>'Source workings'!C14/1000</x:f>
        <x:v>20.892</x:v>
      </x:c>
    </x:row>
    <x:row r="14" ht="15" customHeight="1">
      <x:c r="A14" s="1"/>
      <x:c r="B14" s="7" t="str">
        <x:v>Gross Profit</x:v>
      </x:c>
      <x:c r="C14" s="6" t="n">
        <x:f>C3-C13</x:f>
        <x:v>61.280000000000015</x:v>
      </x:c>
    </x:row>
    <x:row r="15" ht="15" customHeight="1">
      <x:c r="A15" s="1"/>
      <x:c r="B15" s="1" t="str">
        <x:v>Gross Profit Margin</x:v>
      </x:c>
      <x:c r="C15" s="13" t="n">
        <x:f>C14/C3</x:f>
        <x:v>0.7457528111765566</x:v>
      </x:c>
    </x:row>
    <x:row r="16" ht="15" customHeight="1">
      <x:c r="A16" s="1"/>
      <x:c r="B16" s="1"/>
      <x:c r="C16" s="6"/>
    </x:row>
    <x:row r="17" ht="15" customHeight="1">
      <x:c r="A17" s="1"/>
      <x:c r="B17" s="1" t="str">
        <x:v>RnD Expense</x:v>
      </x:c>
      <x:c r="C17" s="6" t="n">
        <x:f>'Source workings'!C15/1000</x:f>
        <x:v>6.077</x:v>
      </x:c>
    </x:row>
    <x:row r="18" ht="15" customHeight="1">
      <x:c r="A18" s="1"/>
      <x:c r="B18" s="1" t="str">
        <x:v>RnD Expense as a % of Sales</x:v>
      </x:c>
      <x:c r="C18" s="14" t="n">
        <x:f>C17/C3</x:f>
        <x:v>0.07395463174804068</x:v>
      </x:c>
    </x:row>
    <x:row r="19" ht="15" customHeight="1">
      <x:c r="A19" s="1"/>
      <x:c r="B19" s="1"/>
      <x:c r="C19" s="6"/>
    </x:row>
    <x:row r="20" ht="15" customHeight="1">
      <x:c r="A20" s="1"/>
      <x:c r="B20" s="1" t="str">
        <x:v>Employee Benefit Expense</x:v>
      </x:c>
      <x:c r="C20" s="6" t="n">
        <x:f>'Source workings'!C16/1000</x:f>
        <x:v>13.83</x:v>
      </x:c>
    </x:row>
    <x:row r="21" ht="15" customHeight="1">
      <x:c r="A21" s="1"/>
      <x:c r="B21" s="1" t="str">
        <x:v>EBE as a % of Sales</x:v>
      </x:c>
      <x:c r="C21" s="14" t="n">
        <x:f>C20/C3</x:f>
        <x:v>0.16830550552499632</x:v>
      </x:c>
    </x:row>
    <x:row r="22" ht="15" customHeight="1">
      <x:c r="A22" s="1"/>
      <x:c r="B22" s="1"/>
      <x:c r="C22" s="6"/>
    </x:row>
    <x:row r="23" ht="15" customHeight="1">
      <x:c r="A23" s="1"/>
      <x:c r="B23" s="1" t="str">
        <x:v>Other Expenses</x:v>
      </x:c>
      <x:c r="C23" s="6" t="n">
        <x:f>('Source workings'!C17-'Source workings'!C15-'Source workings'!C18+'Source workings'!C19)/1000</x:f>
        <x:v>16.877</x:v>
      </x:c>
    </x:row>
    <x:row r="24" ht="15" customHeight="1">
      <x:c r="A24" s="1"/>
      <x:c r="B24" s="1" t="str">
        <x:v>Other Expenses as a % of Sales</x:v>
      </x:c>
      <x:c r="C24" s="13" t="n">
        <x:f>C23/C3</x:f>
        <x:v>0.20538626296061915</x:v>
      </x:c>
    </x:row>
    <x:row r="25" ht="15" customHeight="1">
      <x:c r="A25" s="1"/>
      <x:c r="B25" s="1"/>
      <x:c r="C25" s="6"/>
    </x:row>
    <x:row r="26" ht="15" customHeight="1">
      <x:c r="A26" s="1"/>
      <x:c r="B26" s="7" t="str">
        <x:v>EBITDA</x:v>
      </x:c>
      <x:c r="C26" s="6" t="n">
        <x:f>C14-C17-C20-C23</x:f>
        <x:v>24.49600000000002</x:v>
      </x:c>
    </x:row>
    <x:row r="27" ht="15" customHeight="1">
      <x:c r="A27" s="1"/>
      <x:c r="B27" s="7" t="str">
        <x:v>EBITDA Margin %</x:v>
      </x:c>
      <x:c r="C27" s="13" t="n">
        <x:f>C26/C3</x:f>
        <x:v>0.29810641094290047</x:v>
      </x:c>
    </x:row>
    <x:row r="28" ht="15" customHeight="1">
      <x:c r="A28" s="1"/>
      <x:c r="B28" s="1"/>
      <x:c r="C28" s="6"/>
    </x:row>
    <x:row r="29" ht="15" customHeight="1">
      <x:c r="A29" s="1"/>
      <x:c r="B29" s="1" t="str">
        <x:v>D&amp;A</x:v>
      </x:c>
      <x:c r="C29" s="6" t="n">
        <x:f>'Source workings'!C21/1000</x:f>
        <x:v>4.529</x:v>
      </x:c>
    </x:row>
    <x:row r="30" ht="15" customHeight="1">
      <x:c r="A30" s="1"/>
      <x:c r="B30" s="1" t="str">
        <x:v>D&amp;A as a % of Sales</x:v>
      </x:c>
      <x:c r="C30" s="13" t="n">
        <x:f>C29/C3</x:f>
        <x:v>0.055116097940904434</x:v>
      </x:c>
    </x:row>
    <x:row r="31" ht="15" customHeight="1">
      <x:c r="A31" s="1"/>
      <x:c r="B31" s="1"/>
      <x:c r="C31" s="6"/>
    </x:row>
    <x:row r="32" ht="15" customHeight="1">
      <x:c r="A32" s="1"/>
      <x:c r="B32" s="1" t="str">
        <x:v>Other Income</x:v>
      </x:c>
      <x:c r="C32" s="6" t="n">
        <x:f>'Source workings'!C20/1000</x:f>
        <x:v>1.303</x:v>
      </x:c>
    </x:row>
    <x:row r="33" ht="15" customHeight="1">
      <x:c r="A33" s="1"/>
      <x:c r="B33" s="1" t="str">
        <x:v>Interest Expense</x:v>
      </x:c>
      <x:c r="C33" s="6" t="n">
        <x:f>'Source workings'!C22/1000</x:f>
        <x:v>1.096</x:v>
      </x:c>
    </x:row>
    <x:row r="34" ht="15" customHeight="1">
      <x:c r="A34" s="1"/>
      <x:c r="B34" s="1"/>
      <x:c r="C34" s="6"/>
    </x:row>
    <x:row r="35" ht="15" customHeight="1">
      <x:c r="A35" s="1"/>
      <x:c r="B35" s="1" t="str">
        <x:v>PBT</x:v>
      </x:c>
      <x:c r="C35" s="6" t="n">
        <x:f>C26-C29+C32-C33</x:f>
        <x:v>20.17400000000002</x:v>
      </x:c>
    </x:row>
    <x:row r="36" ht="15" customHeight="1">
      <x:c r="A36" s="1"/>
      <x:c r="B36" s="1" t="str">
        <x:v>Tax</x:v>
      </x:c>
      <x:c r="C36" s="6" t="n">
        <x:f>'Source workings'!C23/1000</x:f>
        <x:v>6.004</x:v>
      </x:c>
    </x:row>
    <x:row r="37" ht="15" customHeight="1">
      <x:c r="A37" s="1"/>
      <x:c r="B37" s="1" t="str">
        <x:v>Tax Rate</x:v>
      </x:c>
      <x:c r="C37" s="13" t="n">
        <x:f>C36/C35</x:f>
        <x:v>0.29761078616040415</x:v>
      </x:c>
    </x:row>
    <x:row r="38" ht="15" customHeight="1">
      <x:c r="A38" s="1"/>
      <x:c r="B38" s="1"/>
      <x:c r="C38" s="6"/>
    </x:row>
    <x:row r="39" ht="15" customHeight="1">
      <x:c r="A39" s="1"/>
      <x:c r="B39" s="7" t="str">
        <x:v>PAT</x:v>
      </x:c>
      <x:c r="C39" s="6" t="n">
        <x:f>C35-C36-'Source workings'!C24/1000</x:f>
        <x:v>14.150000000000022</x:v>
      </x:c>
    </x:row>
    <x:row r="40" ht="15" customHeight="1">
      <x:c r="A40" s="1"/>
      <x:c r="B40" s="7" t="str">
        <x:v>PAT Margin</x:v>
      </x:c>
      <x:c r="C40" s="13" t="n">
        <x:f>C39/C3</x:f>
        <x:v>0.17219977607944337</x:v>
      </x:c>
    </x:row>
    <x:row r="41" ht="15" customHeight="1">
      <x:c r="A41" s="1"/>
      <x:c r="B41" s="1"/>
      <x:c r="C41" s="1"/>
    </x:row>
    <x:row r="42" ht="15" customHeight="1">
      <x:c r="A42" s="1"/>
      <x:c r="B42" s="1"/>
      <x:c r="C42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51" hidden="0" customWidth="1"/>
    <x:col min="3" max="3" width="20" hidden="0" customWidth="1"/>
    <x:col min="4" max="4" width="3" hidden="0" customWidth="1"/>
    <x:col min="5" max="5" width="62" hidden="0" customWidth="1"/>
    <x:col min="6" max="6" width="3" hidden="0" customWidth="1"/>
  </x:cols>
  <x:sheetData>
    <x:row r="1" ht="16" customHeight="1">
      <x:c r="A1" s="1"/>
      <x:c r="B1" s="1"/>
      <x:c r="C1" s="1"/>
      <x:c r="D1" s="1"/>
      <x:c r="E1" s="1"/>
      <x:c r="F1" s="1"/>
    </x:row>
    <x:row r="2" ht="16" customHeight="1">
      <x:c r="A2" s="1"/>
      <x:c r="B2" s="7" t="str">
        <x:v>Lupin consolidated actuals</x:v>
      </x:c>
      <x:c r="C2" s="1"/>
      <x:c r="D2" s="1"/>
      <x:c r="E2" s="1"/>
      <x:c r="F2" s="1"/>
    </x:row>
    <x:row r="3" ht="16" customHeight="1">
      <x:c r="A3" s="1"/>
      <x:c r="B3" s="1" t="str">
        <x:v>Quarter ended 30 June 2026. Source amounts in INR million.</x:v>
      </x:c>
      <x:c r="C3" s="1"/>
      <x:c r="D3" s="1"/>
      <x:c r="E3" s="1"/>
      <x:c r="F3" s="1"/>
    </x:row>
    <x:row r="4" ht="16" customHeight="1">
      <x:c r="A4" s="1"/>
      <x:c r="B4" s="3" t="str">
        <x:v>Reported metric</x:v>
      </x:c>
      <x:c r="C4" s="3" t="str">
        <x:v>INR million</x:v>
      </x:c>
      <x:c r="D4" s="1"/>
      <x:c r="E4" s="1"/>
      <x:c r="F4" s="1"/>
    </x:row>
    <x:row r="5" ht="16" customHeight="1">
      <x:c r="A5" s="1"/>
      <x:c r="B5" s="1" t="str">
        <x:v>Net sales</x:v>
      </x:c>
      <x:c r="C5" s="11" t="n">
        <x:v>82172</x:v>
      </x:c>
      <x:c r="D5" s="1"/>
      <x:c r="E5" s="1" t="str">
        <x:v>PR; presentation p.4</x:v>
      </x:c>
      <x:c r="F5" s="1"/>
    </x:row>
    <x:row r="6" ht="16" customHeight="1">
      <x:c r="A6" s="1"/>
      <x:c r="B6" s="1" t="str">
        <x:v>Q1 FY26 net sales (YoY denominator)</x:v>
      </x:c>
      <x:c r="C6" s="11" t="n">
        <x:v>61638</x:v>
      </x:c>
      <x:c r="D6" s="1"/>
      <x:c r="E6" s="1" t="str">
        <x:v>PR</x:v>
      </x:c>
      <x:c r="F6" s="1"/>
    </x:row>
    <x:row r="7" ht="16" customHeight="1">
      <x:c r="A7" s="1"/>
      <x:c r="B7" s="1" t="str">
        <x:v>India</x:v>
      </x:c>
      <x:c r="C7" s="11" t="n">
        <x:v>23796</x:v>
      </x:c>
      <x:c r="D7" s="1"/>
      <x:c r="E7" s="1" t="str">
        <x:v>Presentation p.4</x:v>
      </x:c>
      <x:c r="F7" s="1"/>
    </x:row>
    <x:row r="8" ht="16" customHeight="1">
      <x:c r="A8" s="1"/>
      <x:c r="B8" s="1" t="str">
        <x:v>North America</x:v>
      </x:c>
      <x:c r="C8" s="11" t="n">
        <x:v>35908</x:v>
      </x:c>
      <x:c r="D8" s="1"/>
      <x:c r="E8" s="1" t="str">
        <x:v>Presentation p.4</x:v>
      </x:c>
      <x:c r="F8" s="1"/>
    </x:row>
    <x:row r="9" ht="16" customHeight="1">
      <x:c r="A9" s="1"/>
      <x:c r="B9" s="1" t="str">
        <x:v>EMEA</x:v>
      </x:c>
      <x:c r="C9" s="11" t="n">
        <x:v>10344</x:v>
      </x:c>
      <x:c r="D9" s="1"/>
      <x:c r="E9" s="1" t="str">
        <x:v>Presentation p.4</x:v>
      </x:c>
      <x:c r="F9" s="1"/>
    </x:row>
    <x:row r="10" ht="16" customHeight="1">
      <x:c r="A10" s="1"/>
      <x:c r="B10" s="1" t="str">
        <x:v>LATAM</x:v>
      </x:c>
      <x:c r="C10" s="11" t="n">
        <x:v>2975</x:v>
      </x:c>
      <x:c r="D10" s="1"/>
      <x:c r="E10" s="1" t="str">
        <x:v>Presentation p.4</x:v>
      </x:c>
      <x:c r="F10" s="1"/>
    </x:row>
    <x:row r="11" ht="16" customHeight="1">
      <x:c r="A11" s="1"/>
      <x:c r="B11" s="1" t="str">
        <x:v>APAC</x:v>
      </x:c>
      <x:c r="C11" s="11" t="n">
        <x:v>3142</x:v>
      </x:c>
      <x:c r="D11" s="1"/>
      <x:c r="E11" s="1" t="str">
        <x:v>Presentation p.4</x:v>
      </x:c>
      <x:c r="F11" s="1"/>
    </x:row>
    <x:row r="12" ht="16" customHeight="1">
      <x:c r="A12" s="1"/>
      <x:c r="B12" s="1" t="str">
        <x:v>ROW</x:v>
      </x:c>
      <x:c r="C12" s="11" t="n">
        <x:v>3370</x:v>
      </x:c>
      <x:c r="D12" s="1"/>
      <x:c r="E12" s="1" t="str">
        <x:v>Presentation p.4</x:v>
      </x:c>
      <x:c r="F12" s="1"/>
    </x:row>
    <x:row r="13" ht="16" customHeight="1">
      <x:c r="A13" s="1"/>
      <x:c r="B13" s="1" t="str">
        <x:v>API</x:v>
      </x:c>
      <x:c r="C13" s="11" t="n">
        <x:v>2637</x:v>
      </x:c>
      <x:c r="D13" s="1"/>
      <x:c r="E13" s="1" t="str">
        <x:v>PR; presentation p.4</x:v>
      </x:c>
      <x:c r="F13" s="1"/>
    </x:row>
    <x:row r="14" ht="16" customHeight="1">
      <x:c r="A14" s="1"/>
      <x:c r="B14" s="1" t="str">
        <x:v>Material cost</x:v>
      </x:c>
      <x:c r="C14" s="11" t="n">
        <x:v>20892</x:v>
      </x:c>
      <x:c r="D14" s="1"/>
      <x:c r="E14" s="1" t="str">
        <x:v>PR</x:v>
      </x:c>
      <x:c r="F14" s="1"/>
    </x:row>
    <x:row r="15" ht="16" customHeight="1">
      <x:c r="A15" s="1"/>
      <x:c r="B15" s="1" t="str">
        <x:v>R&amp;D</x:v>
      </x:c>
      <x:c r="C15" s="11" t="n">
        <x:v>6077</x:v>
      </x:c>
      <x:c r="D15" s="1"/>
      <x:c r="E15" s="1" t="str">
        <x:v>PR; presentation p.11</x:v>
      </x:c>
      <x:c r="F15" s="1"/>
    </x:row>
    <x:row r="16" ht="16" customHeight="1">
      <x:c r="A16" s="1"/>
      <x:c r="B16" s="1" t="str">
        <x:v>Employee cost</x:v>
      </x:c>
      <x:c r="C16" s="11" t="n">
        <x:v>13830</x:v>
      </x:c>
      <x:c r="D16" s="1"/>
      <x:c r="E16" s="1" t="str">
        <x:v>PR</x:v>
      </x:c>
      <x:c r="F16" s="1"/>
    </x:row>
    <x:row r="17" ht="16" customHeight="1">
      <x:c r="A17" s="1"/>
      <x:c r="B17" s="1" t="str">
        <x:v>Manufacturing and other expenses (includes R&amp;D)</x:v>
      </x:c>
      <x:c r="C17" s="11" t="n">
        <x:v>23412</x:v>
      </x:c>
      <x:c r="D17" s="1"/>
      <x:c r="E17" s="1" t="str">
        <x:v>PR</x:v>
      </x:c>
      <x:c r="F17" s="1"/>
    </x:row>
    <x:row r="18" ht="16" customHeight="1">
      <x:c r="A18" s="1"/>
      <x:c r="B18" s="1" t="str">
        <x:v>Other operating income</x:v>
      </x:c>
      <x:c r="C18" s="11" t="n">
        <x:v>597</x:v>
      </x:c>
      <x:c r="D18" s="1"/>
      <x:c r="E18" s="1" t="str">
        <x:v>PR</x:v>
      </x:c>
      <x:c r="F18" s="1"/>
    </x:row>
    <x:row r="19" ht="16" customHeight="1">
      <x:c r="A19" s="1"/>
      <x:c r="B19" s="1" t="str">
        <x:v>Forex loss / (gain)</x:v>
      </x:c>
      <x:c r="C19" s="11" t="n">
        <x:v>139</x:v>
      </x:c>
      <x:c r="D19" s="1"/>
      <x:c r="E19" s="1" t="str">
        <x:v>PR; positive = expense</x:v>
      </x:c>
      <x:c r="F19" s="1"/>
    </x:row>
    <x:row r="20" ht="16" customHeight="1">
      <x:c r="A20" s="1"/>
      <x:c r="B20" s="1" t="str">
        <x:v>Other income</x:v>
      </x:c>
      <x:c r="C20" s="11" t="n">
        <x:v>1303</x:v>
      </x:c>
      <x:c r="D20" s="1"/>
      <x:c r="E20" s="1" t="str">
        <x:v>PR</x:v>
      </x:c>
      <x:c r="F20" s="1"/>
    </x:row>
    <x:row r="21" ht="16" customHeight="1">
      <x:c r="A21" s="1"/>
      <x:c r="B21" s="1" t="str">
        <x:v>Depreciation, amortization and impairment</x:v>
      </x:c>
      <x:c r="C21" s="11" t="n">
        <x:v>4529</x:v>
      </x:c>
      <x:c r="D21" s="1"/>
      <x:c r="E21" s="1" t="str">
        <x:v>PR</x:v>
      </x:c>
      <x:c r="F21" s="1"/>
    </x:row>
    <x:row r="22" ht="16" customHeight="1">
      <x:c r="A22" s="1"/>
      <x:c r="B22" s="1" t="str">
        <x:v>Finance cost</x:v>
      </x:c>
      <x:c r="C22" s="11" t="n">
        <x:v>1096</x:v>
      </x:c>
      <x:c r="D22" s="1"/>
      <x:c r="E22" s="1" t="str">
        <x:v>PR</x:v>
      </x:c>
      <x:c r="F22" s="1"/>
    </x:row>
    <x:row r="23" ht="16" customHeight="1">
      <x:c r="A23" s="1"/>
      <x:c r="B23" s="1" t="str">
        <x:v>Tax</x:v>
      </x:c>
      <x:c r="C23" s="11" t="n">
        <x:v>6004</x:v>
      </x:c>
      <x:c r="D23" s="1"/>
      <x:c r="E23" s="1" t="str">
        <x:v>PR</x:v>
      </x:c>
      <x:c r="F23" s="1"/>
    </x:row>
    <x:row r="24" ht="16" customHeight="1">
      <x:c r="A24" s="1"/>
      <x:c r="B24" s="1" t="str">
        <x:v>Non-controlling interest</x:v>
      </x:c>
      <x:c r="C24" s="11" t="n">
        <x:v>20</x:v>
      </x:c>
      <x:c r="D24" s="1"/>
      <x:c r="E24" s="1" t="str">
        <x:v>PR</x:v>
      </x:c>
      <x:c r="F24" s="1"/>
    </x:row>
    <x:row r="25" ht="16" customHeight="1">
      <x:c r="A25" s="1"/>
      <x:c r="B25" s="1" t="str">
        <x:v>Reported gross profit</x:v>
      </x:c>
      <x:c r="C25" s="11" t="n">
        <x:v>61280</x:v>
      </x:c>
      <x:c r="D25" s="1"/>
      <x:c r="E25" s="1" t="str">
        <x:v>PR</x:v>
      </x:c>
      <x:c r="F25" s="1"/>
    </x:row>
    <x:row r="26" ht="16" customHeight="1">
      <x:c r="A26" s="1"/>
      <x:c r="B26" s="1" t="str">
        <x:v>EBITDA including forex and other income</x:v>
      </x:c>
      <x:c r="C26" s="11" t="n">
        <x:v>25799</x:v>
      </x:c>
      <x:c r="D26" s="1"/>
      <x:c r="E26" s="1" t="str">
        <x:v>PR</x:v>
      </x:c>
      <x:c r="F26" s="1"/>
    </x:row>
    <x:row r="27" ht="16" customHeight="1">
      <x:c r="A27" s="1"/>
      <x:c r="B27" s="1" t="str">
        <x:v>EBITDA excluding forex and other income</x:v>
      </x:c>
      <x:c r="C27" s="11" t="n">
        <x:v>24635</x:v>
      </x:c>
      <x:c r="D27" s="1"/>
      <x:c r="E27" s="1" t="str">
        <x:v>Presentation pp.4,12</x:v>
      </x:c>
      <x:c r="F27" s="1"/>
    </x:row>
    <x:row r="28" ht="16" customHeight="1">
      <x:c r="A28" s="1"/>
      <x:c r="B28" s="1" t="str">
        <x:v>PBT</x:v>
      </x:c>
      <x:c r="C28" s="11" t="n">
        <x:v>20174</x:v>
      </x:c>
      <x:c r="D28" s="1"/>
      <x:c r="E28" s="1" t="str">
        <x:v>PR</x:v>
      </x:c>
      <x:c r="F28" s="1"/>
    </x:row>
    <x:row r="29" ht="16" customHeight="1">
      <x:c r="A29" s="1"/>
      <x:c r="B29" s="1" t="str">
        <x:v>PAT before non-controlling interest</x:v>
      </x:c>
      <x:c r="C29" s="11" t="n">
        <x:v>14170</x:v>
      </x:c>
      <x:c r="D29" s="1"/>
      <x:c r="E29" s="1" t="str">
        <x:v>PR</x:v>
      </x:c>
      <x:c r="F29" s="1"/>
    </x:row>
    <x:row r="30" ht="16" customHeight="1">
      <x:c r="A30" s="1"/>
      <x:c r="B30" s="1" t="str">
        <x:v>PAT attributable to owners</x:v>
      </x:c>
      <x:c r="C30" s="11" t="n">
        <x:v>14150</x:v>
      </x:c>
      <x:c r="D30" s="1"/>
      <x:c r="E30" s="1" t="str">
        <x:v>PR; presentation pp.4,12</x:v>
      </x:c>
      <x:c r="F30" s="1"/>
    </x:row>
    <x:row r="31" ht="16" customHeight="1">
      <x:c r="A31" s="1"/>
      <x:c r="B31" s="1"/>
      <x:c r="C31" s="1"/>
      <x:c r="D31" s="1"/>
      <x:c r="E31" s="1"/>
      <x:c r="F31" s="1"/>
    </x:row>
    <x:row r="32" ht="16" customHeight="1">
      <x:c r="A32" s="1"/>
      <x:c r="B32" s="1"/>
      <x:c r="C32" s="1"/>
      <x:c r="D32" s="1"/>
      <x:c r="E32" s="1"/>
      <x:c r="F32" s="1"/>
    </x:row>
    <x:row r="33" ht="16" customHeight="1">
      <x:c r="A33" s="1"/>
      <x:c r="B33" s="7" t="str">
        <x:v>Mapping and copy instructions</x:v>
      </x:c>
      <x:c r="C33" s="1"/>
      <x:c r="D33" s="1"/>
      <x:c r="E33" s="1"/>
      <x:c r="F33" s="1"/>
    </x:row>
    <x:row r="34" ht="43" customHeight="1">
      <x:c r="A34" s="1"/>
      <x:c r="B34" s="16" t="str">
        <x:v>Paste range</x:v>
      </x:c>
      <x:c r="C34" s="17" t="str">
        <x:v>Copy 'FY27 Q1'!C3:C40 and Paste Special &gt; Values into W3:W40 in the photographed sheet. Keep Skip blanks unchecked.</x:v>
      </x:c>
      <x:c r="D34" s="17"/>
      <x:c r="E34" s="17"/>
      <x:c r="F34" s="1"/>
    </x:row>
    <x:row r="35" ht="43" customHeight="1">
      <x:c r="A35" s="1"/>
      <x:c r="B35" s="16" t="str">
        <x:v>Row alignment</x:v>
      </x:c>
      <x:c r="C35" s="17" t="str">
        <x:v>Original row numbers and blank rows are retained. Row 3 is hidden in the photos; its Total Revenue label is inferred.</x:v>
      </x:c>
      <x:c r="D35" s="17"/>
      <x:c r="E35" s="17"/>
      <x:c r="F35" s="1"/>
    </x:row>
    <x:row r="36" ht="43" customHeight="1">
      <x:c r="A36" s="1"/>
      <x:c r="B36" s="16" t="str">
        <x:v>Revenue basis</x:v>
      </x:c>
      <x:c r="C36" s="17" t="str">
        <x:v>Product sales excluding other operating income, consistent with the historical geography sum and gross profit in the photos.</x:v>
      </x:c>
      <x:c r="D36" s="17"/>
      <x:c r="E36" s="17"/>
      <x:c r="F36" s="1"/>
    </x:row>
    <x:row r="37" ht="43" customHeight="1">
      <x:c r="A37" s="1"/>
      <x:c r="B37" s="16" t="str">
        <x:v>Growth Markets</x:v>
      </x:c>
      <x:c r="C37" s="17" t="str">
        <x:v>Mapped to LATAM + APAC. This is an inferred legacy mapping, supported by the Q1 FY26 split and the photographed historical row.</x:v>
      </x:c>
      <x:c r="D37" s="17"/>
      <x:c r="E37" s="17"/>
      <x:c r="F37" s="1"/>
    </x:row>
    <x:row r="38" ht="43" customHeight="1">
      <x:c r="A38" s="1"/>
      <x:c r="B38" s="16" t="str">
        <x:v>API / CDMO</x:v>
      </x:c>
      <x:c r="C38" s="17" t="str">
        <x:v>Keep API in the combined row. Separate CDMO revenue is not disclosed in the quarterly sales mix. The dash is a disclosure placeholder, not a measured zero.</x:v>
      </x:c>
      <x:c r="D38" s="17"/>
      <x:c r="E38" s="17"/>
      <x:c r="F38" s="1"/>
    </x:row>
    <x:row r="39" ht="43" customHeight="1">
      <x:c r="A39" s="1"/>
      <x:c r="B39" s="16" t="str">
        <x:v>EBITDA basis</x:v>
      </x:c>
      <x:c r="C39" s="17" t="str">
        <x:v>Historical Q1 FY26 EBITDA of ~17.27bn equals reported EBITDA less other income. FY27 Q1 uses the same inferred convention: includes forex, excludes other income.</x:v>
      </x:c>
      <x:c r="D39" s="17"/>
      <x:c r="E39" s="17"/>
      <x:c r="F39" s="1"/>
    </x:row>
    <x:row r="40" ht="43" customHeight="1">
      <x:c r="A40" s="1"/>
      <x:c r="B40" s="16" t="str">
        <x:v>Other Expenses</x:v>
      </x:c>
      <x:c r="C40" s="17" t="str">
        <x:v>Manufacturing and other expenses less R&amp;D, less other operating income, plus forex loss. This preserves the photographed EBITDA/PBT structure.</x:v>
      </x:c>
      <x:c r="D40" s="17"/>
      <x:c r="E40" s="17"/>
      <x:c r="F40" s="1"/>
    </x:row>
    <x:row r="41" ht="43" customHeight="1">
      <x:c r="A41" s="1"/>
      <x:c r="B41" s="16" t="str">
        <x:v>PAT basis</x:v>
      </x:c>
      <x:c r="C41" s="17" t="str">
        <x:v>PAT attributable to owners, after INR20mn NCI. The NCI deduction is included in the PAT formula because the template has no separate row.</x:v>
      </x:c>
      <x:c r="D41" s="17"/>
      <x:c r="E41" s="17"/>
      <x:c r="F41" s="1"/>
    </x:row>
    <x:row r="42" ht="43" customHeight="1">
      <x:c r="A42" s="1"/>
      <x:c r="B42" s="16" t="str">
        <x:v>Precision</x:v>
      </x:c>
      <x:c r="C42" s="17" t="str">
        <x:v>Reported INR million converted to INR billion without rounding the stored values. Display uses two decimals and the photographed percentage formats.</x:v>
      </x:c>
      <x:c r="D42" s="17"/>
      <x:c r="E42" s="17"/>
      <x:c r="F42" s="1"/>
    </x:row>
    <x:row r="43" ht="43" customHeight="1">
      <x:c r="A43" s="1"/>
      <x:c r="B43" s="16" t="str">
        <x:v>Primary sources</x:v>
      </x:c>
      <x:c r="C43" s="17" t="str">
        <x:v>PR: https://www.lupin.com/media/press-releases/lupin-q1-fy-2027-results</x:v>
      </x:c>
      <x:c r="D43" s="17"/>
      <x:c r="E43" s="17"/>
      <x:c r="F43" s="1"/>
    </x:row>
    <x:row r="44" ht="43" customHeight="1">
      <x:c r="A44" s="1"/>
      <x:c r="B44" s="16" t="str">
        <x:v>Presentation</x:v>
      </x:c>
      <x:c r="C44" s="17" t="str">
        <x:v>https://www.lupin.com/uploads/Lupin_Investor_Presentation_Q1_FY_27_v1_c353695f22.pdf</x:v>
      </x:c>
      <x:c r="D44" s="17"/>
      <x:c r="E44" s="17"/>
      <x:c r="F44" s="1"/>
    </x:row>
    <x:row r="45" ht="43" customHeight="1">
      <x:c r="A45" s="1"/>
      <x:c r="B45" s="16" t="str">
        <x:v>Prior-period mapping</x:v>
      </x:c>
      <x:c r="C45" s="17" t="str">
        <x:v>https://www.lupin.com/wp-content/uploads/2025/08/investor-presentation-q1fy26.pdf</x:v>
      </x:c>
      <x:c r="D45" s="17"/>
      <x:c r="E45" s="17"/>
      <x:c r="F45" s="1"/>
    </x:row>
    <x:row r="46" ht="16" customHeight="1">
      <x:c r="A46" s="1"/>
      <x:c r="B46" s="1"/>
      <x:c r="C46" s="1"/>
      <x:c r="D46" s="1"/>
      <x:c r="E46" s="1"/>
      <x:c r="F46" s="1"/>
    </x:row>
    <x:row r="47" ht="16" customHeight="1">
      <x:c r="A47" s="1"/>
      <x:c r="B47" s="1"/>
      <x:c r="C47" s="1"/>
      <x:c r="D47" s="1"/>
      <x:c r="E47" s="1"/>
      <x:c r="F47" s="1"/>
    </x:row>
    <x:row r="48" ht="16" customHeight="1">
      <x:c r="A48" s="1"/>
      <x:c r="B48" s="3" t="str">
        <x:v>Reconciliation</x:v>
      </x:c>
      <x:c r="C48" s="3" t="str">
        <x:v>Difference (INR bn)</x:v>
      </x:c>
      <x:c r="D48" s="1"/>
      <x:c r="E48" s="1"/>
      <x:c r="F48" s="1"/>
    </x:row>
    <x:row r="49" ht="16" customHeight="1">
      <x:c r="A49" s="1"/>
      <x:c r="B49" s="1" t="str">
        <x:v>Geographies vs reported net sales</x:v>
      </x:c>
      <x:c r="C49" s="18" t="n">
        <x:f>'FY27 Q1'!C3-C5/1000</x:f>
        <x:v>1.4210854715202004e-14</x:v>
      </x:c>
      <x:c r="D49" s="1"/>
      <x:c r="E49" s="1"/>
      <x:c r="F49" s="1"/>
    </x:row>
    <x:row r="50" ht="16" customHeight="1">
      <x:c r="A50" s="1"/>
      <x:c r="B50" s="1" t="str">
        <x:v>Gross profit vs reported</x:v>
      </x:c>
      <x:c r="C50" s="18" t="n">
        <x:f>'FY27 Q1'!C14-C25/1000</x:f>
        <x:v>1.4210854715202004e-14</x:v>
      </x:c>
      <x:c r="D50" s="1"/>
      <x:c r="E50" s="1"/>
      <x:c r="F50" s="1"/>
    </x:row>
    <x:row r="51" ht="16" customHeight="1">
      <x:c r="A51" s="1"/>
      <x:c r="B51" s="1" t="str">
        <x:v>EBITDA vs reported less other income</x:v>
      </x:c>
      <x:c r="C51" s="18" t="n">
        <x:f>'FY27 Q1'!C26-(C26-C20)/1000</x:f>
        <x:v>2.1316282072803006e-14</x:v>
      </x:c>
      <x:c r="D51" s="1"/>
      <x:c r="E51" s="1"/>
      <x:c r="F51" s="1"/>
    </x:row>
    <x:row r="52" ht="16" customHeight="1">
      <x:c r="A52" s="1"/>
      <x:c r="B52" s="1" t="str">
        <x:v>PBT vs reported</x:v>
      </x:c>
      <x:c r="C52" s="18" t="n">
        <x:f>'FY27 Q1'!C35-C28/1000</x:f>
        <x:v>2.1316282072803006e-14</x:v>
      </x:c>
      <x:c r="D52" s="1"/>
      <x:c r="E52" s="1"/>
      <x:c r="F52" s="1"/>
    </x:row>
    <x:row r="53" ht="16" customHeight="1">
      <x:c r="A53" s="1"/>
      <x:c r="B53" s="1" t="str">
        <x:v>PAT vs attributable reported profit</x:v>
      </x:c>
      <x:c r="C53" s="18" t="n">
        <x:f>'FY27 Q1'!C39-C30/1000</x:f>
        <x:v>2.1316282072803006e-14</x:v>
      </x:c>
      <x:c r="D53" s="1"/>
      <x:c r="E53" s="1"/>
      <x:c r="F53" s="1"/>
    </x:row>
    <x:row r="54" ht="16" customHeight="1">
      <x:c r="A54" s="1"/>
      <x:c r="B54" s="1" t="str">
        <x:v>Adjusted EBITDA bridge</x:v>
      </x:c>
      <x:c r="C54" s="18" t="n">
        <x:f>'FY27 Q1'!C26+C19/1000-C27/1000</x:f>
        <x:v>1.7763568394002505e-14</x:v>
      </x:c>
      <x:c r="D54" s="1"/>
      <x:c r="E54" s="1"/>
      <x:c r="F54" s="1"/>
    </x:row>
    <x:row r="55" ht="16" customHeight="1">
      <x:c r="A55" s="1"/>
      <x:c r="B55" s="1"/>
      <x:c r="C55" s="1"/>
      <x:c r="D55" s="1"/>
      <x:c r="E55" s="1"/>
      <x:c r="F55" s="1"/>
    </x:row>
    <x:row r="56" ht="16" customHeight="1">
      <x:c r="A56" s="1"/>
      <x:c r="B56" s="1"/>
      <x:c r="C56" s="1"/>
      <x:c r="D56" s="1"/>
      <x:c r="E56" s="1"/>
      <x:c r="F56" s="1"/>
    </x:row>
    <x:row r="57" ht="16" customHeight="1">
      <x:c r="A57" s="1"/>
      <x:c r="B57" s="1"/>
      <x:c r="C57" s="1"/>
      <x:c r="D57" s="1"/>
      <x:c r="E57" s="1"/>
      <x:c r="F57" s="1"/>
    </x:row>
    <x:row r="58" ht="16" customHeight="1">
      <x:c r="A58" s="1"/>
      <x:c r="B58" s="1"/>
      <x:c r="C58" s="1"/>
      <x:c r="D58" s="1"/>
      <x:c r="E58" s="1"/>
      <x:c r="F58" s="1"/>
    </x:row>
  </x:sheetData>
  <x:mergeCells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3:E43"/>
    <x:mergeCell ref="C44:E44"/>
    <x:mergeCell ref="C45:E45"/>
  </x:mergeCells>
  <x:conditionalFormatting sqref="C49:C54">
    <x:cfRule type="expression" dxfId="0" priority="1">
      <x:formula>ABS(C49)&gt;0.000001</x:formula>
    </x:cfRule>
  </x:conditionalFormatting>
  <x:pageMargins left="0.7" right="0.7" top="0.75" bottom="0.75" header="0.3" footer="0.3"/>
</x:worksheet>
</file>